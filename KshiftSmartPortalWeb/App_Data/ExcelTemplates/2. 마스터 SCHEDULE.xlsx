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backupFile="1" codeName="ThisWorkbook"/>
  <xr:revisionPtr revIDLastSave="0" documentId="13_ncr:1_{040E89D9-A7A0-4152-98D1-3F3D90C034B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소조1과(9월)" sheetId="235" state="hidden" r:id="rId1"/>
    <sheet name="소조2과(9월)" sheetId="236" state="hidden" r:id="rId2"/>
    <sheet name="SCHEDULE" sheetId="326" r:id="rId3"/>
  </sheets>
  <definedNames>
    <definedName name="_xlnm._FilterDatabase" localSheetId="2" hidden="1">SCHEDULE!$A$7:$CW$600</definedName>
    <definedName name="_xlnm.Print_Area" localSheetId="2">SCHEDULE!$F$2:$CV$6</definedName>
    <definedName name="_xlnm.Print_Titles" localSheetId="2">SCHEDULE!$4:$6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601" i="326" l="1"/>
  <c r="CT601" i="326"/>
  <c r="CS602" i="326"/>
  <c r="CT602" i="326"/>
  <c r="CS603" i="326"/>
  <c r="CT603" i="326"/>
  <c r="CS604" i="326"/>
  <c r="CT604" i="326"/>
  <c r="CS605" i="326"/>
  <c r="CT605" i="326"/>
  <c r="CS606" i="326"/>
  <c r="CT606" i="326"/>
  <c r="CS607" i="326"/>
  <c r="CT607" i="326"/>
  <c r="CS608" i="326"/>
  <c r="CT608" i="326"/>
  <c r="CS609" i="326"/>
  <c r="CT609" i="326"/>
  <c r="CS610" i="326"/>
  <c r="CT610" i="326"/>
  <c r="CS611" i="326"/>
  <c r="CT611" i="326"/>
  <c r="CS612" i="326"/>
  <c r="CT612" i="326"/>
  <c r="CS613" i="326"/>
  <c r="CT613" i="326"/>
  <c r="CS614" i="326"/>
  <c r="CT614" i="326"/>
  <c r="CS615" i="326"/>
  <c r="CT615" i="326"/>
  <c r="CS616" i="326"/>
  <c r="CT616" i="326"/>
  <c r="CS617" i="326"/>
  <c r="CT617" i="326"/>
  <c r="CS618" i="326"/>
  <c r="CT618" i="326"/>
  <c r="CS619" i="326"/>
  <c r="CT619" i="326"/>
  <c r="CS620" i="326"/>
  <c r="CT620" i="326"/>
  <c r="CS621" i="326"/>
  <c r="CT621" i="326"/>
  <c r="CS622" i="326"/>
  <c r="CT622" i="326"/>
  <c r="CS623" i="326"/>
  <c r="CT623" i="326"/>
  <c r="CS624" i="326"/>
  <c r="CT624" i="326"/>
  <c r="CS625" i="326"/>
  <c r="CT625" i="326"/>
  <c r="CS626" i="326"/>
  <c r="CT626" i="326"/>
  <c r="CS627" i="326"/>
  <c r="CT627" i="326"/>
  <c r="CS628" i="326"/>
  <c r="CT628" i="326"/>
  <c r="CS629" i="326"/>
  <c r="CT629" i="326"/>
  <c r="CS630" i="326"/>
  <c r="CT630" i="326"/>
  <c r="CS631" i="326"/>
  <c r="CT631" i="326"/>
  <c r="CS632" i="326"/>
  <c r="CT632" i="326"/>
  <c r="CS633" i="326"/>
  <c r="CT633" i="326"/>
  <c r="CS634" i="326"/>
  <c r="CT634" i="326"/>
  <c r="CS635" i="326"/>
  <c r="CT635" i="326"/>
  <c r="CS636" i="326"/>
  <c r="CT636" i="326"/>
  <c r="CS637" i="326"/>
  <c r="CT637" i="326"/>
  <c r="CS638" i="326"/>
  <c r="CT638" i="326"/>
  <c r="CS639" i="326"/>
  <c r="CT639" i="326"/>
  <c r="CS640" i="326"/>
  <c r="CT640" i="326"/>
  <c r="CS641" i="326"/>
  <c r="CT641" i="326"/>
  <c r="CS642" i="326"/>
  <c r="CT642" i="326"/>
  <c r="CS643" i="326"/>
  <c r="CT643" i="326"/>
  <c r="CS644" i="326"/>
  <c r="CT644" i="326"/>
  <c r="CS645" i="326"/>
  <c r="CT645" i="326"/>
  <c r="CS646" i="326"/>
  <c r="CT646" i="326"/>
  <c r="CS647" i="326"/>
  <c r="CT647" i="326"/>
  <c r="CS648" i="326"/>
  <c r="CT648" i="326"/>
  <c r="CS649" i="326"/>
  <c r="CT649" i="326"/>
  <c r="CS650" i="326"/>
  <c r="CT650" i="326"/>
  <c r="CS651" i="326"/>
  <c r="CT651" i="326"/>
  <c r="CS652" i="326"/>
  <c r="CT652" i="326"/>
  <c r="CS653" i="326"/>
  <c r="CT653" i="326"/>
  <c r="CS654" i="326"/>
  <c r="CT654" i="326"/>
  <c r="CS655" i="326"/>
  <c r="CT655" i="326"/>
  <c r="CS656" i="326"/>
  <c r="CT656" i="326"/>
  <c r="CS657" i="326"/>
  <c r="CT657" i="326"/>
  <c r="CS658" i="326"/>
  <c r="CT658" i="326"/>
  <c r="CS659" i="326"/>
  <c r="CT659" i="326"/>
  <c r="CS660" i="326"/>
  <c r="CT660" i="326"/>
  <c r="CS661" i="326"/>
  <c r="CT661" i="326"/>
  <c r="CS662" i="326"/>
  <c r="CT662" i="326"/>
  <c r="CS663" i="326"/>
  <c r="CT663" i="326"/>
  <c r="CS664" i="326"/>
  <c r="CT664" i="326"/>
  <c r="CS665" i="326"/>
  <c r="CT665" i="326"/>
  <c r="CS666" i="326"/>
  <c r="CT666" i="326"/>
  <c r="CS667" i="326"/>
  <c r="CT667" i="326"/>
  <c r="CS668" i="326"/>
  <c r="CT668" i="326"/>
  <c r="CS669" i="326"/>
  <c r="CT669" i="326"/>
  <c r="CS670" i="326"/>
  <c r="CT670" i="326"/>
  <c r="CS9" i="326"/>
  <c r="CT9" i="326"/>
  <c r="CS10" i="326"/>
  <c r="CT10" i="326"/>
  <c r="CS11" i="326"/>
  <c r="CT11" i="326"/>
  <c r="CS12" i="326"/>
  <c r="CT12" i="326"/>
  <c r="CS13" i="326"/>
  <c r="CT13" i="326"/>
  <c r="CS14" i="326"/>
  <c r="CT14" i="326"/>
  <c r="CS15" i="326"/>
  <c r="CT15" i="326"/>
  <c r="CS16" i="326"/>
  <c r="CT16" i="326"/>
  <c r="CS17" i="326"/>
  <c r="CT17" i="326"/>
  <c r="CS18" i="326"/>
  <c r="CT18" i="326"/>
  <c r="CS19" i="326"/>
  <c r="CT19" i="326"/>
  <c r="CS20" i="326"/>
  <c r="CT20" i="326"/>
  <c r="CS21" i="326"/>
  <c r="CT21" i="326"/>
  <c r="CS22" i="326"/>
  <c r="CT22" i="326"/>
  <c r="CS23" i="326"/>
  <c r="CT23" i="326"/>
  <c r="CS24" i="326"/>
  <c r="CT24" i="326"/>
  <c r="CS25" i="326"/>
  <c r="CT25" i="326"/>
  <c r="CS26" i="326"/>
  <c r="CT26" i="326"/>
  <c r="CS27" i="326"/>
  <c r="CT27" i="326"/>
  <c r="CS28" i="326"/>
  <c r="CT28" i="326"/>
  <c r="CS29" i="326"/>
  <c r="CT29" i="326"/>
  <c r="CS30" i="326"/>
  <c r="CT30" i="326"/>
  <c r="CS31" i="326"/>
  <c r="CT31" i="326"/>
  <c r="CS32" i="326"/>
  <c r="CT32" i="326"/>
  <c r="CS33" i="326"/>
  <c r="CT33" i="326"/>
  <c r="CS34" i="326"/>
  <c r="CT34" i="326"/>
  <c r="CS35" i="326"/>
  <c r="CT35" i="326"/>
  <c r="CS36" i="326"/>
  <c r="CT36" i="326"/>
  <c r="CS37" i="326"/>
  <c r="CT37" i="326"/>
  <c r="CS38" i="326"/>
  <c r="CT38" i="326"/>
  <c r="CS39" i="326"/>
  <c r="CT39" i="326"/>
  <c r="CS40" i="326"/>
  <c r="CT40" i="326"/>
  <c r="CS41" i="326"/>
  <c r="CT41" i="326"/>
  <c r="CS42" i="326"/>
  <c r="CT42" i="326"/>
  <c r="CS43" i="326"/>
  <c r="CT43" i="326"/>
  <c r="CS44" i="326"/>
  <c r="CT44" i="326"/>
  <c r="CS45" i="326"/>
  <c r="CT45" i="326"/>
  <c r="CS46" i="326"/>
  <c r="CT46" i="326"/>
  <c r="CS47" i="326"/>
  <c r="CT47" i="326"/>
  <c r="CS48" i="326"/>
  <c r="CT48" i="326"/>
  <c r="CS49" i="326"/>
  <c r="CT49" i="326"/>
  <c r="CS50" i="326"/>
  <c r="CT50" i="326"/>
  <c r="CS51" i="326"/>
  <c r="CT51" i="326"/>
  <c r="CS52" i="326"/>
  <c r="CT52" i="326"/>
  <c r="CS53" i="326"/>
  <c r="CT53" i="326"/>
  <c r="CS54" i="326"/>
  <c r="CT54" i="326"/>
  <c r="CS55" i="326"/>
  <c r="CT55" i="326"/>
  <c r="CS56" i="326"/>
  <c r="CT56" i="326"/>
  <c r="CS57" i="326"/>
  <c r="CT57" i="326"/>
  <c r="CS58" i="326"/>
  <c r="CT58" i="326"/>
  <c r="CS59" i="326"/>
  <c r="CT59" i="326"/>
  <c r="CS60" i="326"/>
  <c r="CT60" i="326"/>
  <c r="CS61" i="326"/>
  <c r="CT61" i="326"/>
  <c r="CS62" i="326"/>
  <c r="CT62" i="326"/>
  <c r="CS63" i="326"/>
  <c r="CT63" i="326"/>
  <c r="CS64" i="326"/>
  <c r="CT64" i="326"/>
  <c r="CS65" i="326"/>
  <c r="CT65" i="326"/>
  <c r="CS66" i="326"/>
  <c r="CT66" i="326"/>
  <c r="CS67" i="326"/>
  <c r="CT67" i="326"/>
  <c r="CS68" i="326"/>
  <c r="CT68" i="326"/>
  <c r="CS69" i="326"/>
  <c r="CT69" i="326"/>
  <c r="CS70" i="326"/>
  <c r="CT70" i="326"/>
  <c r="CS71" i="326"/>
  <c r="CT71" i="326"/>
  <c r="CS72" i="326"/>
  <c r="CT72" i="326"/>
  <c r="CS73" i="326"/>
  <c r="CT73" i="326"/>
  <c r="CS74" i="326"/>
  <c r="CT74" i="326"/>
  <c r="CS75" i="326"/>
  <c r="CT75" i="326"/>
  <c r="CS76" i="326"/>
  <c r="CT76" i="326"/>
  <c r="CS77" i="326"/>
  <c r="CT77" i="326"/>
  <c r="CS78" i="326"/>
  <c r="CT78" i="326"/>
  <c r="CS79" i="326"/>
  <c r="CT79" i="326"/>
  <c r="CS80" i="326"/>
  <c r="CT80" i="326"/>
  <c r="CS81" i="326"/>
  <c r="CT81" i="326"/>
  <c r="CS82" i="326"/>
  <c r="CT82" i="326"/>
  <c r="CS83" i="326"/>
  <c r="CT83" i="326"/>
  <c r="CS84" i="326"/>
  <c r="CT84" i="326"/>
  <c r="CS85" i="326"/>
  <c r="CT85" i="326"/>
  <c r="CS86" i="326"/>
  <c r="CT86" i="326"/>
  <c r="CS87" i="326"/>
  <c r="CT87" i="326"/>
  <c r="CS88" i="326"/>
  <c r="CT88" i="326"/>
  <c r="CS89" i="326"/>
  <c r="CT89" i="326"/>
  <c r="CS90" i="326"/>
  <c r="CT90" i="326"/>
  <c r="CS91" i="326"/>
  <c r="CT91" i="326"/>
  <c r="CS92" i="326"/>
  <c r="CT92" i="326"/>
  <c r="CS93" i="326"/>
  <c r="CT93" i="326"/>
  <c r="CS94" i="326"/>
  <c r="CT94" i="326"/>
  <c r="CS95" i="326"/>
  <c r="CT95" i="326"/>
  <c r="CS96" i="326"/>
  <c r="CT96" i="326"/>
  <c r="CS97" i="326"/>
  <c r="CT97" i="326"/>
  <c r="CS98" i="326"/>
  <c r="CT98" i="326"/>
  <c r="CS99" i="326"/>
  <c r="CT99" i="326"/>
  <c r="CS100" i="326"/>
  <c r="CT100" i="326"/>
  <c r="CS101" i="326"/>
  <c r="CT101" i="326"/>
  <c r="CS102" i="326"/>
  <c r="CT102" i="326"/>
  <c r="CS103" i="326"/>
  <c r="CT103" i="326"/>
  <c r="CS104" i="326"/>
  <c r="CT104" i="326"/>
  <c r="CS105" i="326"/>
  <c r="CT105" i="326"/>
  <c r="CS106" i="326"/>
  <c r="CT106" i="326"/>
  <c r="CS107" i="326"/>
  <c r="CT107" i="326"/>
  <c r="CS108" i="326"/>
  <c r="CT108" i="326"/>
  <c r="CS109" i="326"/>
  <c r="CT109" i="326"/>
  <c r="CS110" i="326"/>
  <c r="CT110" i="326"/>
  <c r="CS111" i="326"/>
  <c r="CT111" i="326"/>
  <c r="CS112" i="326"/>
  <c r="CT112" i="326"/>
  <c r="CS113" i="326"/>
  <c r="CT113" i="326"/>
  <c r="CS114" i="326"/>
  <c r="CT114" i="326"/>
  <c r="CS115" i="326"/>
  <c r="CT115" i="326"/>
  <c r="CS116" i="326"/>
  <c r="CT116" i="326"/>
  <c r="CS117" i="326"/>
  <c r="CT117" i="326"/>
  <c r="CS118" i="326"/>
  <c r="CT118" i="326"/>
  <c r="CS119" i="326"/>
  <c r="CT119" i="326"/>
  <c r="CS120" i="326"/>
  <c r="CT120" i="326"/>
  <c r="CS121" i="326"/>
  <c r="CT121" i="326"/>
  <c r="CS122" i="326"/>
  <c r="CT122" i="326"/>
  <c r="CS123" i="326"/>
  <c r="CT123" i="326"/>
  <c r="CS124" i="326"/>
  <c r="CT124" i="326"/>
  <c r="CS125" i="326"/>
  <c r="CT125" i="326"/>
  <c r="CS126" i="326"/>
  <c r="CT126" i="326"/>
  <c r="CS127" i="326"/>
  <c r="CT127" i="326"/>
  <c r="CS128" i="326"/>
  <c r="CT128" i="326"/>
  <c r="CS129" i="326"/>
  <c r="CT129" i="326"/>
  <c r="CS130" i="326"/>
  <c r="CT130" i="326"/>
  <c r="CS131" i="326"/>
  <c r="CT131" i="326"/>
  <c r="CS132" i="326"/>
  <c r="CT132" i="326"/>
  <c r="CS133" i="326"/>
  <c r="CT133" i="326"/>
  <c r="CS134" i="326"/>
  <c r="CT134" i="326"/>
  <c r="CS135" i="326"/>
  <c r="CT135" i="326"/>
  <c r="CS136" i="326"/>
  <c r="CT136" i="326"/>
  <c r="CS137" i="326"/>
  <c r="CT137" i="326"/>
  <c r="CS138" i="326"/>
  <c r="CT138" i="326"/>
  <c r="CS139" i="326"/>
  <c r="CT139" i="326"/>
  <c r="CS140" i="326"/>
  <c r="CT140" i="326"/>
  <c r="CS141" i="326"/>
  <c r="CT141" i="326"/>
  <c r="CS142" i="326"/>
  <c r="CT142" i="326"/>
  <c r="CS143" i="326"/>
  <c r="CT143" i="326"/>
  <c r="CS144" i="326"/>
  <c r="CT144" i="326"/>
  <c r="CS145" i="326"/>
  <c r="CT145" i="326"/>
  <c r="CS146" i="326"/>
  <c r="CT146" i="326"/>
  <c r="CS147" i="326"/>
  <c r="CT147" i="326"/>
  <c r="CS148" i="326"/>
  <c r="CT148" i="326"/>
  <c r="CS149" i="326"/>
  <c r="CT149" i="326"/>
  <c r="CS150" i="326"/>
  <c r="CT150" i="326"/>
  <c r="CS151" i="326"/>
  <c r="CT151" i="326"/>
  <c r="CS152" i="326"/>
  <c r="CT152" i="326"/>
  <c r="CS153" i="326"/>
  <c r="CT153" i="326"/>
  <c r="CS154" i="326"/>
  <c r="CT154" i="326"/>
  <c r="CS155" i="326"/>
  <c r="CT155" i="326"/>
  <c r="CS156" i="326"/>
  <c r="CT156" i="326"/>
  <c r="CS157" i="326"/>
  <c r="CT157" i="326"/>
  <c r="CS158" i="326"/>
  <c r="CT158" i="326"/>
  <c r="CS159" i="326"/>
  <c r="CT159" i="326"/>
  <c r="CS160" i="326"/>
  <c r="CT160" i="326"/>
  <c r="CS161" i="326"/>
  <c r="CT161" i="326"/>
  <c r="CS162" i="326"/>
  <c r="CT162" i="326"/>
  <c r="CS163" i="326"/>
  <c r="CT163" i="326"/>
  <c r="CS164" i="326"/>
  <c r="CT164" i="326"/>
  <c r="CS165" i="326"/>
  <c r="CT165" i="326"/>
  <c r="CS166" i="326"/>
  <c r="CT166" i="326"/>
  <c r="CS167" i="326"/>
  <c r="CT167" i="326"/>
  <c r="CS168" i="326"/>
  <c r="CT168" i="326"/>
  <c r="CS169" i="326"/>
  <c r="CT169" i="326"/>
  <c r="CS170" i="326"/>
  <c r="CT170" i="326"/>
  <c r="CS171" i="326"/>
  <c r="CT171" i="326"/>
  <c r="CS172" i="326"/>
  <c r="CT172" i="326"/>
  <c r="CS173" i="326"/>
  <c r="CT173" i="326"/>
  <c r="CS174" i="326"/>
  <c r="CT174" i="326"/>
  <c r="CS175" i="326"/>
  <c r="CT175" i="326"/>
  <c r="CS176" i="326"/>
  <c r="CT176" i="326"/>
  <c r="CS177" i="326"/>
  <c r="CT177" i="326"/>
  <c r="CS178" i="326"/>
  <c r="CT178" i="326"/>
  <c r="CS179" i="326"/>
  <c r="CT179" i="326"/>
  <c r="CS180" i="326"/>
  <c r="CT180" i="326"/>
  <c r="CS181" i="326"/>
  <c r="CT181" i="326"/>
  <c r="CS182" i="326"/>
  <c r="CT182" i="326"/>
  <c r="CS183" i="326"/>
  <c r="CT183" i="326"/>
  <c r="CS184" i="326"/>
  <c r="CT184" i="326"/>
  <c r="CS185" i="326"/>
  <c r="CT185" i="326"/>
  <c r="CS186" i="326"/>
  <c r="CT186" i="326"/>
  <c r="CS187" i="326"/>
  <c r="CT187" i="326"/>
  <c r="CS188" i="326"/>
  <c r="CT188" i="326"/>
  <c r="CS189" i="326"/>
  <c r="CT189" i="326"/>
  <c r="CS190" i="326"/>
  <c r="CT190" i="326"/>
  <c r="CS191" i="326"/>
  <c r="CT191" i="326"/>
  <c r="CS192" i="326"/>
  <c r="CT192" i="326"/>
  <c r="CS193" i="326"/>
  <c r="CT193" i="326"/>
  <c r="CS194" i="326"/>
  <c r="CT194" i="326"/>
  <c r="CS195" i="326"/>
  <c r="CT195" i="326"/>
  <c r="CS196" i="326"/>
  <c r="CT196" i="326"/>
  <c r="CS197" i="326"/>
  <c r="CT197" i="326"/>
  <c r="CS198" i="326"/>
  <c r="CT198" i="326"/>
  <c r="CS199" i="326"/>
  <c r="CT199" i="326"/>
  <c r="CS200" i="326"/>
  <c r="CT200" i="326"/>
  <c r="CS201" i="326"/>
  <c r="CT201" i="326"/>
  <c r="CS202" i="326"/>
  <c r="CT202" i="326"/>
  <c r="CS203" i="326"/>
  <c r="CT203" i="326"/>
  <c r="CS204" i="326"/>
  <c r="CT204" i="326"/>
  <c r="CS205" i="326"/>
  <c r="CT205" i="326"/>
  <c r="CS206" i="326"/>
  <c r="CT206" i="326"/>
  <c r="CS207" i="326"/>
  <c r="CT207" i="326"/>
  <c r="CS208" i="326"/>
  <c r="CT208" i="326"/>
  <c r="CS209" i="326"/>
  <c r="CT209" i="326"/>
  <c r="CS210" i="326"/>
  <c r="CT210" i="326"/>
  <c r="CS211" i="326"/>
  <c r="CT211" i="326"/>
  <c r="CS212" i="326"/>
  <c r="CT212" i="326"/>
  <c r="CS213" i="326"/>
  <c r="CT213" i="326"/>
  <c r="CS214" i="326"/>
  <c r="CT214" i="326"/>
  <c r="CS215" i="326"/>
  <c r="CT215" i="326"/>
  <c r="CS216" i="326"/>
  <c r="CT216" i="326"/>
  <c r="CS217" i="326"/>
  <c r="CT217" i="326"/>
  <c r="CS218" i="326"/>
  <c r="CT218" i="326"/>
  <c r="CS219" i="326"/>
  <c r="CT219" i="326"/>
  <c r="CS220" i="326"/>
  <c r="CT220" i="326"/>
  <c r="CS221" i="326"/>
  <c r="CT221" i="326"/>
  <c r="CS222" i="326"/>
  <c r="CT222" i="326"/>
  <c r="CS223" i="326"/>
  <c r="CT223" i="326"/>
  <c r="CS224" i="326"/>
  <c r="CT224" i="326"/>
  <c r="CS225" i="326"/>
  <c r="CT225" i="326"/>
  <c r="CS226" i="326"/>
  <c r="CT226" i="326"/>
  <c r="CS227" i="326"/>
  <c r="CT227" i="326"/>
  <c r="CS228" i="326"/>
  <c r="CT228" i="326"/>
  <c r="CS229" i="326"/>
  <c r="CT229" i="326"/>
  <c r="CS230" i="326"/>
  <c r="CT230" i="326"/>
  <c r="CS231" i="326"/>
  <c r="CT231" i="326"/>
  <c r="CS232" i="326"/>
  <c r="CT232" i="326"/>
  <c r="CS233" i="326"/>
  <c r="CT233" i="326"/>
  <c r="CS234" i="326"/>
  <c r="CT234" i="326"/>
  <c r="CS235" i="326"/>
  <c r="CT235" i="326"/>
  <c r="CS236" i="326"/>
  <c r="CT236" i="326"/>
  <c r="CS237" i="326"/>
  <c r="CT237" i="326"/>
  <c r="CS238" i="326"/>
  <c r="CT238" i="326"/>
  <c r="CS239" i="326"/>
  <c r="CT239" i="326"/>
  <c r="CS240" i="326"/>
  <c r="CT240" i="326"/>
  <c r="CS241" i="326"/>
  <c r="CT241" i="326"/>
  <c r="CS242" i="326"/>
  <c r="CT242" i="326"/>
  <c r="CS243" i="326"/>
  <c r="CT243" i="326"/>
  <c r="CS244" i="326"/>
  <c r="CT244" i="326"/>
  <c r="CS245" i="326"/>
  <c r="CT245" i="326"/>
  <c r="CS246" i="326"/>
  <c r="CT246" i="326"/>
  <c r="CS247" i="326"/>
  <c r="CT247" i="326"/>
  <c r="CS248" i="326"/>
  <c r="CT248" i="326"/>
  <c r="CS249" i="326"/>
  <c r="CT249" i="326"/>
  <c r="CS250" i="326"/>
  <c r="CT250" i="326"/>
  <c r="CS251" i="326"/>
  <c r="CT251" i="326"/>
  <c r="CS252" i="326"/>
  <c r="CT252" i="326"/>
  <c r="CS253" i="326"/>
  <c r="CT253" i="326"/>
  <c r="CS254" i="326"/>
  <c r="CT254" i="326"/>
  <c r="CS255" i="326"/>
  <c r="CT255" i="326"/>
  <c r="CS256" i="326"/>
  <c r="CT256" i="326"/>
  <c r="CS257" i="326"/>
  <c r="CT257" i="326"/>
  <c r="CS258" i="326"/>
  <c r="CT258" i="326"/>
  <c r="CS259" i="326"/>
  <c r="CT259" i="326"/>
  <c r="CS260" i="326"/>
  <c r="CT260" i="326"/>
  <c r="CS261" i="326"/>
  <c r="CT261" i="326"/>
  <c r="CS262" i="326"/>
  <c r="CT262" i="326"/>
  <c r="CS263" i="326"/>
  <c r="CT263" i="326"/>
  <c r="CS264" i="326"/>
  <c r="CT264" i="326"/>
  <c r="CS265" i="326"/>
  <c r="CT265" i="326"/>
  <c r="CS266" i="326"/>
  <c r="CT266" i="326"/>
  <c r="CS267" i="326"/>
  <c r="CT267" i="326"/>
  <c r="CS268" i="326"/>
  <c r="CT268" i="326"/>
  <c r="CS269" i="326"/>
  <c r="CT269" i="326"/>
  <c r="CS270" i="326"/>
  <c r="CT270" i="326"/>
  <c r="CS271" i="326"/>
  <c r="CT271" i="326"/>
  <c r="CS272" i="326"/>
  <c r="CT272" i="326"/>
  <c r="CS273" i="326"/>
  <c r="CT273" i="326"/>
  <c r="CS274" i="326"/>
  <c r="CT274" i="326"/>
  <c r="CS275" i="326"/>
  <c r="CT275" i="326"/>
  <c r="CS276" i="326"/>
  <c r="CT276" i="326"/>
  <c r="CS277" i="326"/>
  <c r="CT277" i="326"/>
  <c r="CS278" i="326"/>
  <c r="CT278" i="326"/>
  <c r="CS279" i="326"/>
  <c r="CT279" i="326"/>
  <c r="CS280" i="326"/>
  <c r="CT280" i="326"/>
  <c r="CS281" i="326"/>
  <c r="CT281" i="326"/>
  <c r="CS282" i="326"/>
  <c r="CT282" i="326"/>
  <c r="CS283" i="326"/>
  <c r="CT283" i="326"/>
  <c r="CS284" i="326"/>
  <c r="CT284" i="326"/>
  <c r="CS285" i="326"/>
  <c r="CT285" i="326"/>
  <c r="CS286" i="326"/>
  <c r="CT286" i="326"/>
  <c r="CS287" i="326"/>
  <c r="CT287" i="326"/>
  <c r="CS288" i="326"/>
  <c r="CT288" i="326"/>
  <c r="CS289" i="326"/>
  <c r="CT289" i="326"/>
  <c r="CS290" i="326"/>
  <c r="CT290" i="326"/>
  <c r="CS291" i="326"/>
  <c r="CT291" i="326"/>
  <c r="CS292" i="326"/>
  <c r="CT292" i="326"/>
  <c r="CS293" i="326"/>
  <c r="CT293" i="326"/>
  <c r="CS294" i="326"/>
  <c r="CT294" i="326"/>
  <c r="CS295" i="326"/>
  <c r="CT295" i="326"/>
  <c r="CS296" i="326"/>
  <c r="CT296" i="326"/>
  <c r="CS297" i="326"/>
  <c r="CT297" i="326"/>
  <c r="CS298" i="326"/>
  <c r="CT298" i="326"/>
  <c r="CS299" i="326"/>
  <c r="CT299" i="326"/>
  <c r="CS300" i="326"/>
  <c r="CT300" i="326"/>
  <c r="CS301" i="326"/>
  <c r="CT301" i="326"/>
  <c r="CS302" i="326"/>
  <c r="CT302" i="326"/>
  <c r="CS303" i="326"/>
  <c r="CT303" i="326"/>
  <c r="CS304" i="326"/>
  <c r="CT304" i="326"/>
  <c r="CS305" i="326"/>
  <c r="CT305" i="326"/>
  <c r="CS306" i="326"/>
  <c r="CT306" i="326"/>
  <c r="CS307" i="326"/>
  <c r="CT307" i="326"/>
  <c r="CS308" i="326"/>
  <c r="CT308" i="326"/>
  <c r="CS309" i="326"/>
  <c r="CT309" i="326"/>
  <c r="CS310" i="326"/>
  <c r="CT310" i="326"/>
  <c r="CS311" i="326"/>
  <c r="CT311" i="326"/>
  <c r="CS312" i="326"/>
  <c r="CT312" i="326"/>
  <c r="CS313" i="326"/>
  <c r="CT313" i="326"/>
  <c r="CS314" i="326"/>
  <c r="CT314" i="326"/>
  <c r="CS315" i="326"/>
  <c r="CT315" i="326"/>
  <c r="CS316" i="326"/>
  <c r="CT316" i="326"/>
  <c r="CS317" i="326"/>
  <c r="CT317" i="326"/>
  <c r="CS318" i="326"/>
  <c r="CT318" i="326"/>
  <c r="CS319" i="326"/>
  <c r="CT319" i="326"/>
  <c r="CS320" i="326"/>
  <c r="CT320" i="326"/>
  <c r="CS321" i="326"/>
  <c r="CT321" i="326"/>
  <c r="CS322" i="326"/>
  <c r="CT322" i="326"/>
  <c r="CS323" i="326"/>
  <c r="CT323" i="326"/>
  <c r="CS324" i="326"/>
  <c r="CT324" i="326"/>
  <c r="CS325" i="326"/>
  <c r="CT325" i="326"/>
  <c r="CS326" i="326"/>
  <c r="CT326" i="326"/>
  <c r="CS327" i="326"/>
  <c r="CT327" i="326"/>
  <c r="CS328" i="326"/>
  <c r="CT328" i="326"/>
  <c r="CS329" i="326"/>
  <c r="CT329" i="326"/>
  <c r="CS330" i="326"/>
  <c r="CT330" i="326"/>
  <c r="CS331" i="326"/>
  <c r="CT331" i="326"/>
  <c r="CS332" i="326"/>
  <c r="CT332" i="326"/>
  <c r="CS333" i="326"/>
  <c r="CT333" i="326"/>
  <c r="CS334" i="326"/>
  <c r="CT334" i="326"/>
  <c r="CS335" i="326"/>
  <c r="CT335" i="326"/>
  <c r="CS336" i="326"/>
  <c r="CT336" i="326"/>
  <c r="CS337" i="326"/>
  <c r="CT337" i="326"/>
  <c r="CS338" i="326"/>
  <c r="CT338" i="326"/>
  <c r="CS339" i="326"/>
  <c r="CT339" i="326"/>
  <c r="CS340" i="326"/>
  <c r="CT340" i="326"/>
  <c r="CS341" i="326"/>
  <c r="CT341" i="326"/>
  <c r="CS342" i="326"/>
  <c r="CT342" i="326"/>
  <c r="CS343" i="326"/>
  <c r="CT343" i="326"/>
  <c r="CS344" i="326"/>
  <c r="CT344" i="326"/>
  <c r="CS345" i="326"/>
  <c r="CT345" i="326"/>
  <c r="CS346" i="326"/>
  <c r="CT346" i="326"/>
  <c r="CS347" i="326"/>
  <c r="CT347" i="326"/>
  <c r="CS348" i="326"/>
  <c r="CT348" i="326"/>
  <c r="CS349" i="326"/>
  <c r="CT349" i="326"/>
  <c r="CS350" i="326"/>
  <c r="CT350" i="326"/>
  <c r="CS351" i="326"/>
  <c r="CT351" i="326"/>
  <c r="CS352" i="326"/>
  <c r="CT352" i="326"/>
  <c r="CS353" i="326"/>
  <c r="CT353" i="326"/>
  <c r="CS354" i="326"/>
  <c r="CT354" i="326"/>
  <c r="CS355" i="326"/>
  <c r="CT355" i="326"/>
  <c r="CS356" i="326"/>
  <c r="CT356" i="326"/>
  <c r="CS357" i="326"/>
  <c r="CT357" i="326"/>
  <c r="CS358" i="326"/>
  <c r="CT358" i="326"/>
  <c r="CS359" i="326"/>
  <c r="CT359" i="326"/>
  <c r="CS360" i="326"/>
  <c r="CT360" i="326"/>
  <c r="CS361" i="326"/>
  <c r="CT361" i="326"/>
  <c r="CS362" i="326"/>
  <c r="CT362" i="326"/>
  <c r="CS363" i="326"/>
  <c r="CT363" i="326"/>
  <c r="CS364" i="326"/>
  <c r="CT364" i="326"/>
  <c r="CS365" i="326"/>
  <c r="CT365" i="326"/>
  <c r="CS366" i="326"/>
  <c r="CT366" i="326"/>
  <c r="CS367" i="326"/>
  <c r="CT367" i="326"/>
  <c r="CS368" i="326"/>
  <c r="CT368" i="326"/>
  <c r="CS369" i="326"/>
  <c r="CT369" i="326"/>
  <c r="CS370" i="326"/>
  <c r="CT370" i="326"/>
  <c r="CS371" i="326"/>
  <c r="CT371" i="326"/>
  <c r="CS372" i="326"/>
  <c r="CT372" i="326"/>
  <c r="CS373" i="326"/>
  <c r="CT373" i="326"/>
  <c r="CS374" i="326"/>
  <c r="CT374" i="326"/>
  <c r="CS375" i="326"/>
  <c r="CT375" i="326"/>
  <c r="CS376" i="326"/>
  <c r="CT376" i="326"/>
  <c r="CS377" i="326"/>
  <c r="CT377" i="326"/>
  <c r="CS378" i="326"/>
  <c r="CT378" i="326"/>
  <c r="CS379" i="326"/>
  <c r="CT379" i="326"/>
  <c r="CS380" i="326"/>
  <c r="CT380" i="326"/>
  <c r="CS381" i="326"/>
  <c r="CT381" i="326"/>
  <c r="CS382" i="326"/>
  <c r="CT382" i="326"/>
  <c r="CS383" i="326"/>
  <c r="CT383" i="326"/>
  <c r="CS384" i="326"/>
  <c r="CT384" i="326"/>
  <c r="CS385" i="326"/>
  <c r="CT385" i="326"/>
  <c r="CS386" i="326"/>
  <c r="CT386" i="326"/>
  <c r="CS387" i="326"/>
  <c r="CT387" i="326"/>
  <c r="CS388" i="326"/>
  <c r="CT388" i="326"/>
  <c r="CS389" i="326"/>
  <c r="CT389" i="326"/>
  <c r="CS390" i="326"/>
  <c r="CT390" i="326"/>
  <c r="CS391" i="326"/>
  <c r="CT391" i="326"/>
  <c r="CS392" i="326"/>
  <c r="CT392" i="326"/>
  <c r="CS393" i="326"/>
  <c r="CT393" i="326"/>
  <c r="CS394" i="326"/>
  <c r="CT394" i="326"/>
  <c r="CS395" i="326"/>
  <c r="CT395" i="326"/>
  <c r="CS396" i="326"/>
  <c r="CT396" i="326"/>
  <c r="CS397" i="326"/>
  <c r="CT397" i="326"/>
  <c r="CS398" i="326"/>
  <c r="CT398" i="326"/>
  <c r="CS399" i="326"/>
  <c r="CT399" i="326"/>
  <c r="CS400" i="326"/>
  <c r="CT400" i="326"/>
  <c r="CS401" i="326"/>
  <c r="CT401" i="326"/>
  <c r="CS402" i="326"/>
  <c r="CT402" i="326"/>
  <c r="CS403" i="326"/>
  <c r="CT403" i="326"/>
  <c r="CS404" i="326"/>
  <c r="CT404" i="326"/>
  <c r="CS405" i="326"/>
  <c r="CT405" i="326"/>
  <c r="CS406" i="326"/>
  <c r="CT406" i="326"/>
  <c r="CS407" i="326"/>
  <c r="CT407" i="326"/>
  <c r="CS408" i="326"/>
  <c r="CT408" i="326"/>
  <c r="CS409" i="326"/>
  <c r="CT409" i="326"/>
  <c r="CS410" i="326"/>
  <c r="CT410" i="326"/>
  <c r="CS411" i="326"/>
  <c r="CT411" i="326"/>
  <c r="CS412" i="326"/>
  <c r="CT412" i="326"/>
  <c r="CS413" i="326"/>
  <c r="CT413" i="326"/>
  <c r="CS414" i="326"/>
  <c r="CT414" i="326"/>
  <c r="CS415" i="326"/>
  <c r="CT415" i="326"/>
  <c r="CS416" i="326"/>
  <c r="CT416" i="326"/>
  <c r="CS417" i="326"/>
  <c r="CT417" i="326"/>
  <c r="CS418" i="326"/>
  <c r="CT418" i="326"/>
  <c r="CS419" i="326"/>
  <c r="CT419" i="326"/>
  <c r="CS420" i="326"/>
  <c r="CT420" i="326"/>
  <c r="CS421" i="326"/>
  <c r="CT421" i="326"/>
  <c r="CS422" i="326"/>
  <c r="CT422" i="326"/>
  <c r="CS423" i="326"/>
  <c r="CT423" i="326"/>
  <c r="CS424" i="326"/>
  <c r="CT424" i="326"/>
  <c r="CS425" i="326"/>
  <c r="CT425" i="326"/>
  <c r="CS426" i="326"/>
  <c r="CT426" i="326"/>
  <c r="CS427" i="326"/>
  <c r="CT427" i="326"/>
  <c r="CS428" i="326"/>
  <c r="CT428" i="326"/>
  <c r="CS429" i="326"/>
  <c r="CT429" i="326"/>
  <c r="CS430" i="326"/>
  <c r="CT430" i="326"/>
  <c r="CS431" i="326"/>
  <c r="CT431" i="326"/>
  <c r="CS432" i="326"/>
  <c r="CT432" i="326"/>
  <c r="CS433" i="326"/>
  <c r="CT433" i="326"/>
  <c r="CS434" i="326"/>
  <c r="CT434" i="326"/>
  <c r="CS435" i="326"/>
  <c r="CT435" i="326"/>
  <c r="CS436" i="326"/>
  <c r="CT436" i="326"/>
  <c r="CS437" i="326"/>
  <c r="CT437" i="326"/>
  <c r="CS438" i="326"/>
  <c r="CT438" i="326"/>
  <c r="CS439" i="326"/>
  <c r="CT439" i="326"/>
  <c r="CS440" i="326"/>
  <c r="CT440" i="326"/>
  <c r="CS441" i="326"/>
  <c r="CT441" i="326"/>
  <c r="CS442" i="326"/>
  <c r="CT442" i="326"/>
  <c r="CS443" i="326"/>
  <c r="CT443" i="326"/>
  <c r="CS444" i="326"/>
  <c r="CT444" i="326"/>
  <c r="CS445" i="326"/>
  <c r="CT445" i="326"/>
  <c r="CS446" i="326"/>
  <c r="CT446" i="326"/>
  <c r="CS447" i="326"/>
  <c r="CT447" i="326"/>
  <c r="CS448" i="326"/>
  <c r="CT448" i="326"/>
  <c r="CS449" i="326"/>
  <c r="CT449" i="326"/>
  <c r="CS450" i="326"/>
  <c r="CT450" i="326"/>
  <c r="CS451" i="326"/>
  <c r="CT451" i="326"/>
  <c r="CS452" i="326"/>
  <c r="CT452" i="326"/>
  <c r="CS453" i="326"/>
  <c r="CT453" i="326"/>
  <c r="CS454" i="326"/>
  <c r="CT454" i="326"/>
  <c r="CS455" i="326"/>
  <c r="CT455" i="326"/>
  <c r="CS456" i="326"/>
  <c r="CT456" i="326"/>
  <c r="CS457" i="326"/>
  <c r="CT457" i="326"/>
  <c r="CS458" i="326"/>
  <c r="CT458" i="326"/>
  <c r="CS459" i="326"/>
  <c r="CT459" i="326"/>
  <c r="CS460" i="326"/>
  <c r="CT460" i="326"/>
  <c r="CS461" i="326"/>
  <c r="CT461" i="326"/>
  <c r="CS462" i="326"/>
  <c r="CT462" i="326"/>
  <c r="CS463" i="326"/>
  <c r="CT463" i="326"/>
  <c r="CS464" i="326"/>
  <c r="CT464" i="326"/>
  <c r="CS465" i="326"/>
  <c r="CT465" i="326"/>
  <c r="CS466" i="326"/>
  <c r="CT466" i="326"/>
  <c r="CS467" i="326"/>
  <c r="CT467" i="326"/>
  <c r="CS468" i="326"/>
  <c r="CT468" i="326"/>
  <c r="CS469" i="326"/>
  <c r="CT469" i="326"/>
  <c r="CS470" i="326"/>
  <c r="CT470" i="326"/>
  <c r="CS471" i="326"/>
  <c r="CT471" i="326"/>
  <c r="CS472" i="326"/>
  <c r="CT472" i="326"/>
  <c r="CS473" i="326"/>
  <c r="CT473" i="326"/>
  <c r="CS474" i="326"/>
  <c r="CT474" i="326"/>
  <c r="CS475" i="326"/>
  <c r="CT475" i="326"/>
  <c r="CS476" i="326"/>
  <c r="CT476" i="326"/>
  <c r="CS477" i="326"/>
  <c r="CT477" i="326"/>
  <c r="CS478" i="326"/>
  <c r="CT478" i="326"/>
  <c r="CS479" i="326"/>
  <c r="CT479" i="326"/>
  <c r="CS480" i="326"/>
  <c r="CT480" i="326"/>
  <c r="CS481" i="326"/>
  <c r="CT481" i="326"/>
  <c r="CS482" i="326"/>
  <c r="CT482" i="326"/>
  <c r="CS483" i="326"/>
  <c r="CT483" i="326"/>
  <c r="CS484" i="326"/>
  <c r="CT484" i="326"/>
  <c r="CS485" i="326"/>
  <c r="CT485" i="326"/>
  <c r="CS486" i="326"/>
  <c r="CT486" i="326"/>
  <c r="CS487" i="326"/>
  <c r="CT487" i="326"/>
  <c r="CS488" i="326"/>
  <c r="CT488" i="326"/>
  <c r="CS489" i="326"/>
  <c r="CT489" i="326"/>
  <c r="CS490" i="326"/>
  <c r="CT490" i="326"/>
  <c r="CS491" i="326"/>
  <c r="CT491" i="326"/>
  <c r="CS492" i="326"/>
  <c r="CT492" i="326"/>
  <c r="CS493" i="326"/>
  <c r="CT493" i="326"/>
  <c r="CS494" i="326"/>
  <c r="CT494" i="326"/>
  <c r="CS495" i="326"/>
  <c r="CT495" i="326"/>
  <c r="CS496" i="326"/>
  <c r="CT496" i="326"/>
  <c r="CS497" i="326"/>
  <c r="CT497" i="326"/>
  <c r="CS498" i="326"/>
  <c r="CT498" i="326"/>
  <c r="CS499" i="326"/>
  <c r="CT499" i="326"/>
  <c r="CS500" i="326"/>
  <c r="CT500" i="326"/>
  <c r="CS501" i="326"/>
  <c r="CT501" i="326"/>
  <c r="CS502" i="326"/>
  <c r="CT502" i="326"/>
  <c r="CS503" i="326"/>
  <c r="CT503" i="326"/>
  <c r="CS504" i="326"/>
  <c r="CT504" i="326"/>
  <c r="CS505" i="326"/>
  <c r="CT505" i="326"/>
  <c r="CS506" i="326"/>
  <c r="CT506" i="326"/>
  <c r="CS507" i="326"/>
  <c r="CT507" i="326"/>
  <c r="CS508" i="326"/>
  <c r="CT508" i="326"/>
  <c r="CS509" i="326"/>
  <c r="CT509" i="326"/>
  <c r="CS510" i="326"/>
  <c r="CT510" i="326"/>
  <c r="CS511" i="326"/>
  <c r="CT511" i="326"/>
  <c r="CS512" i="326"/>
  <c r="CT512" i="326"/>
  <c r="CS513" i="326"/>
  <c r="CT513" i="326"/>
  <c r="CS514" i="326"/>
  <c r="CT514" i="326"/>
  <c r="CS515" i="326"/>
  <c r="CT515" i="326"/>
  <c r="CS516" i="326"/>
  <c r="CT516" i="326"/>
  <c r="CS517" i="326"/>
  <c r="CT517" i="326"/>
  <c r="CS518" i="326"/>
  <c r="CT518" i="326"/>
  <c r="CS519" i="326"/>
  <c r="CT519" i="326"/>
  <c r="CS520" i="326"/>
  <c r="CT520" i="326"/>
  <c r="CS521" i="326"/>
  <c r="CT521" i="326"/>
  <c r="CS522" i="326"/>
  <c r="CT522" i="326"/>
  <c r="CS523" i="326"/>
  <c r="CT523" i="326"/>
  <c r="CS524" i="326"/>
  <c r="CT524" i="326"/>
  <c r="CS525" i="326"/>
  <c r="CT525" i="326"/>
  <c r="CS526" i="326"/>
  <c r="CT526" i="326"/>
  <c r="CS527" i="326"/>
  <c r="CT527" i="326"/>
  <c r="CS528" i="326"/>
  <c r="CT528" i="326"/>
  <c r="CS529" i="326"/>
  <c r="CT529" i="326"/>
  <c r="CS530" i="326"/>
  <c r="CT530" i="326"/>
  <c r="CS531" i="326"/>
  <c r="CT531" i="326"/>
  <c r="CS532" i="326"/>
  <c r="CT532" i="326"/>
  <c r="CS533" i="326"/>
  <c r="CT533" i="326"/>
  <c r="CS534" i="326"/>
  <c r="CT534" i="326"/>
  <c r="CS535" i="326"/>
  <c r="CT535" i="326"/>
  <c r="CS536" i="326"/>
  <c r="CT536" i="326"/>
  <c r="CS537" i="326"/>
  <c r="CT537" i="326"/>
  <c r="CS538" i="326"/>
  <c r="CT538" i="326"/>
  <c r="CS539" i="326"/>
  <c r="CT539" i="326"/>
  <c r="CS540" i="326"/>
  <c r="CT540" i="326"/>
  <c r="CS541" i="326"/>
  <c r="CT541" i="326"/>
  <c r="CS542" i="326"/>
  <c r="CT542" i="326"/>
  <c r="CS543" i="326"/>
  <c r="CT543" i="326"/>
  <c r="CS544" i="326"/>
  <c r="CT544" i="326"/>
  <c r="CS545" i="326"/>
  <c r="CT545" i="326"/>
  <c r="CS546" i="326"/>
  <c r="CT546" i="326"/>
  <c r="CS547" i="326"/>
  <c r="CT547" i="326"/>
  <c r="CS548" i="326"/>
  <c r="CT548" i="326"/>
  <c r="CS549" i="326"/>
  <c r="CT549" i="326"/>
  <c r="CS550" i="326"/>
  <c r="CT550" i="326"/>
  <c r="CS551" i="326"/>
  <c r="CT551" i="326"/>
  <c r="CS552" i="326"/>
  <c r="CT552" i="326"/>
  <c r="CS553" i="326"/>
  <c r="CT553" i="326"/>
  <c r="CS554" i="326"/>
  <c r="CT554" i="326"/>
  <c r="CS555" i="326"/>
  <c r="CT555" i="326"/>
  <c r="CS556" i="326"/>
  <c r="CT556" i="326"/>
  <c r="CS557" i="326"/>
  <c r="CT557" i="326"/>
  <c r="CS558" i="326"/>
  <c r="CT558" i="326"/>
  <c r="CS559" i="326"/>
  <c r="CT559" i="326"/>
  <c r="CS560" i="326"/>
  <c r="CT560" i="326"/>
  <c r="CS561" i="326"/>
  <c r="CT561" i="326"/>
  <c r="CS562" i="326"/>
  <c r="CT562" i="326"/>
  <c r="CS563" i="326"/>
  <c r="CT563" i="326"/>
  <c r="CS564" i="326"/>
  <c r="CT564" i="326"/>
  <c r="CS565" i="326"/>
  <c r="CT565" i="326"/>
  <c r="CS566" i="326"/>
  <c r="CT566" i="326"/>
  <c r="CS567" i="326"/>
  <c r="CT567" i="326"/>
  <c r="CS568" i="326"/>
  <c r="CT568" i="326"/>
  <c r="CS569" i="326"/>
  <c r="CT569" i="326"/>
  <c r="CS570" i="326"/>
  <c r="CT570" i="326"/>
  <c r="CS571" i="326"/>
  <c r="CT571" i="326"/>
  <c r="CS572" i="326"/>
  <c r="CT572" i="326"/>
  <c r="CS573" i="326"/>
  <c r="CT573" i="326"/>
  <c r="CS574" i="326"/>
  <c r="CT574" i="326"/>
  <c r="CS575" i="326"/>
  <c r="CT575" i="326"/>
  <c r="CS576" i="326"/>
  <c r="CT576" i="326"/>
  <c r="CS577" i="326"/>
  <c r="CT577" i="326"/>
  <c r="CS578" i="326"/>
  <c r="CT578" i="326"/>
  <c r="CS579" i="326"/>
  <c r="CT579" i="326"/>
  <c r="CS580" i="326"/>
  <c r="CT580" i="326"/>
  <c r="CS581" i="326"/>
  <c r="CT581" i="326"/>
  <c r="CS582" i="326"/>
  <c r="CT582" i="326"/>
  <c r="CS583" i="326"/>
  <c r="CT583" i="326"/>
  <c r="CS584" i="326"/>
  <c r="CT584" i="326"/>
  <c r="CS585" i="326"/>
  <c r="CT585" i="326"/>
  <c r="CS586" i="326"/>
  <c r="CT586" i="326"/>
  <c r="CS587" i="326"/>
  <c r="CT587" i="326"/>
  <c r="CS588" i="326"/>
  <c r="CT588" i="326"/>
  <c r="CS589" i="326"/>
  <c r="CT589" i="326"/>
  <c r="CS590" i="326"/>
  <c r="CT590" i="326"/>
  <c r="CS591" i="326"/>
  <c r="CT591" i="326"/>
  <c r="CS592" i="326"/>
  <c r="CT592" i="326"/>
  <c r="CS593" i="326"/>
  <c r="CT593" i="326"/>
  <c r="CS594" i="326"/>
  <c r="CT594" i="326"/>
  <c r="CS595" i="326"/>
  <c r="CT595" i="326"/>
  <c r="CS596" i="326"/>
  <c r="CT596" i="326"/>
  <c r="CS597" i="326"/>
  <c r="CT597" i="326"/>
  <c r="CS598" i="326"/>
  <c r="CT598" i="326"/>
  <c r="CS599" i="326"/>
  <c r="CT599" i="326"/>
  <c r="CS600" i="326"/>
  <c r="CT600" i="326"/>
  <c r="CT8" i="326"/>
  <c r="CS8" i="326"/>
  <c r="CP601" i="326"/>
  <c r="CP602" i="326"/>
  <c r="CP603" i="326"/>
  <c r="CP604" i="326"/>
  <c r="CP605" i="326"/>
  <c r="CP606" i="326"/>
  <c r="CP607" i="326"/>
  <c r="CP608" i="326"/>
  <c r="CP609" i="326"/>
  <c r="CP610" i="326"/>
  <c r="CP611" i="326"/>
  <c r="CP612" i="326"/>
  <c r="CP613" i="326"/>
  <c r="CP614" i="326"/>
  <c r="CP615" i="326"/>
  <c r="CP616" i="326"/>
  <c r="CP617" i="326"/>
  <c r="CP618" i="326"/>
  <c r="CP619" i="326"/>
  <c r="CP620" i="326"/>
  <c r="CP621" i="326"/>
  <c r="CP622" i="326"/>
  <c r="CP623" i="326"/>
  <c r="CP624" i="326"/>
  <c r="CP625" i="326"/>
  <c r="CP626" i="326"/>
  <c r="CP627" i="326"/>
  <c r="CP628" i="326"/>
  <c r="CP629" i="326"/>
  <c r="CP630" i="326"/>
  <c r="CP631" i="326"/>
  <c r="CP632" i="326"/>
  <c r="CP633" i="326"/>
  <c r="CP634" i="326"/>
  <c r="CP635" i="326"/>
  <c r="CP636" i="326"/>
  <c r="CP637" i="326"/>
  <c r="CP638" i="326"/>
  <c r="CP639" i="326"/>
  <c r="CP640" i="326"/>
  <c r="CP641" i="326"/>
  <c r="CP642" i="326"/>
  <c r="CP643" i="326"/>
  <c r="CP644" i="326"/>
  <c r="CP645" i="326"/>
  <c r="CP646" i="326"/>
  <c r="CP647" i="326"/>
  <c r="CP648" i="326"/>
  <c r="CP649" i="326"/>
  <c r="CP650" i="326"/>
  <c r="CP651" i="326"/>
  <c r="CP652" i="326"/>
  <c r="CP653" i="326"/>
  <c r="CP654" i="326"/>
  <c r="CP655" i="326"/>
  <c r="CP656" i="326"/>
  <c r="CP657" i="326"/>
  <c r="CP658" i="326"/>
  <c r="CP659" i="326"/>
  <c r="CP660" i="326"/>
  <c r="CP661" i="326"/>
  <c r="CP662" i="326"/>
  <c r="CP663" i="326"/>
  <c r="CP664" i="326"/>
  <c r="CP665" i="326"/>
  <c r="CP666" i="326"/>
  <c r="CP667" i="326"/>
  <c r="CP668" i="326"/>
  <c r="CP669" i="326"/>
  <c r="CP670" i="326"/>
  <c r="CP9" i="326"/>
  <c r="CP10" i="326"/>
  <c r="CP11" i="326"/>
  <c r="CP12" i="326"/>
  <c r="CP13" i="326"/>
  <c r="CP14" i="326"/>
  <c r="CP15" i="326"/>
  <c r="CP16" i="326"/>
  <c r="CP17" i="326"/>
  <c r="CP18" i="326"/>
  <c r="CP19" i="326"/>
  <c r="CP20" i="326"/>
  <c r="CP21" i="326"/>
  <c r="CP22" i="326"/>
  <c r="CP23" i="326"/>
  <c r="CP24" i="326"/>
  <c r="CP25" i="326"/>
  <c r="CP26" i="326"/>
  <c r="CP27" i="326"/>
  <c r="CP28" i="326"/>
  <c r="CP29" i="326"/>
  <c r="CP30" i="326"/>
  <c r="CP31" i="326"/>
  <c r="CP32" i="326"/>
  <c r="CP33" i="326"/>
  <c r="CP34" i="326"/>
  <c r="CP35" i="326"/>
  <c r="CP36" i="326"/>
  <c r="CP37" i="326"/>
  <c r="CP38" i="326"/>
  <c r="CP39" i="326"/>
  <c r="CP40" i="326"/>
  <c r="CP41" i="326"/>
  <c r="CP42" i="326"/>
  <c r="CP43" i="326"/>
  <c r="CP44" i="326"/>
  <c r="CP45" i="326"/>
  <c r="CP46" i="326"/>
  <c r="CP47" i="326"/>
  <c r="CP48" i="326"/>
  <c r="CP49" i="326"/>
  <c r="CP50" i="326"/>
  <c r="CP51" i="326"/>
  <c r="CP52" i="326"/>
  <c r="CP53" i="326"/>
  <c r="CP54" i="326"/>
  <c r="CP55" i="326"/>
  <c r="CP56" i="326"/>
  <c r="CP57" i="326"/>
  <c r="CP58" i="326"/>
  <c r="CP59" i="326"/>
  <c r="CP60" i="326"/>
  <c r="CP61" i="326"/>
  <c r="CP62" i="326"/>
  <c r="CP63" i="326"/>
  <c r="CP64" i="326"/>
  <c r="CP65" i="326"/>
  <c r="CP66" i="326"/>
  <c r="CP67" i="326"/>
  <c r="CP68" i="326"/>
  <c r="CP69" i="326"/>
  <c r="CP70" i="326"/>
  <c r="CP71" i="326"/>
  <c r="CP72" i="326"/>
  <c r="CP73" i="326"/>
  <c r="CP74" i="326"/>
  <c r="CP75" i="326"/>
  <c r="CP76" i="326"/>
  <c r="CP77" i="326"/>
  <c r="CP78" i="326"/>
  <c r="CP79" i="326"/>
  <c r="CP80" i="326"/>
  <c r="CP81" i="326"/>
  <c r="CP82" i="326"/>
  <c r="CP83" i="326"/>
  <c r="CP84" i="326"/>
  <c r="CP85" i="326"/>
  <c r="CP86" i="326"/>
  <c r="CP87" i="326"/>
  <c r="CP88" i="326"/>
  <c r="CP89" i="326"/>
  <c r="CP90" i="326"/>
  <c r="CP91" i="326"/>
  <c r="CP92" i="326"/>
  <c r="CP93" i="326"/>
  <c r="CP94" i="326"/>
  <c r="CP95" i="326"/>
  <c r="CP96" i="326"/>
  <c r="CP97" i="326"/>
  <c r="CP98" i="326"/>
  <c r="CP99" i="326"/>
  <c r="CP100" i="326"/>
  <c r="CP101" i="326"/>
  <c r="CP102" i="326"/>
  <c r="CP103" i="326"/>
  <c r="CP104" i="326"/>
  <c r="CP105" i="326"/>
  <c r="CP106" i="326"/>
  <c r="CP107" i="326"/>
  <c r="CP108" i="326"/>
  <c r="CP109" i="326"/>
  <c r="CP110" i="326"/>
  <c r="CP111" i="326"/>
  <c r="CP112" i="326"/>
  <c r="CP113" i="326"/>
  <c r="CP114" i="326"/>
  <c r="CP115" i="326"/>
  <c r="CP116" i="326"/>
  <c r="CP117" i="326"/>
  <c r="CP118" i="326"/>
  <c r="CP119" i="326"/>
  <c r="CP120" i="326"/>
  <c r="CP121" i="326"/>
  <c r="CP122" i="326"/>
  <c r="CP123" i="326"/>
  <c r="CP124" i="326"/>
  <c r="CP125" i="326"/>
  <c r="CP126" i="326"/>
  <c r="CP127" i="326"/>
  <c r="CP128" i="326"/>
  <c r="CP129" i="326"/>
  <c r="CP130" i="326"/>
  <c r="CP131" i="326"/>
  <c r="CP132" i="326"/>
  <c r="CP133" i="326"/>
  <c r="CP134" i="326"/>
  <c r="CP135" i="326"/>
  <c r="CP136" i="326"/>
  <c r="CP137" i="326"/>
  <c r="CP138" i="326"/>
  <c r="CP139" i="326"/>
  <c r="CP140" i="326"/>
  <c r="CP141" i="326"/>
  <c r="CP142" i="326"/>
  <c r="CP143" i="326"/>
  <c r="CP144" i="326"/>
  <c r="CP145" i="326"/>
  <c r="CP146" i="326"/>
  <c r="CP147" i="326"/>
  <c r="CP148" i="326"/>
  <c r="CP149" i="326"/>
  <c r="CP150" i="326"/>
  <c r="CP151" i="326"/>
  <c r="CP152" i="326"/>
  <c r="CP153" i="326"/>
  <c r="CP154" i="326"/>
  <c r="CP155" i="326"/>
  <c r="CP156" i="326"/>
  <c r="CP157" i="326"/>
  <c r="CP158" i="326"/>
  <c r="CP159" i="326"/>
  <c r="CP160" i="326"/>
  <c r="CP161" i="326"/>
  <c r="CP162" i="326"/>
  <c r="CP163" i="326"/>
  <c r="CP164" i="326"/>
  <c r="CP165" i="326"/>
  <c r="CP166" i="326"/>
  <c r="CP167" i="326"/>
  <c r="CP168" i="326"/>
  <c r="CP169" i="326"/>
  <c r="CP170" i="326"/>
  <c r="CP171" i="326"/>
  <c r="CP172" i="326"/>
  <c r="CP173" i="326"/>
  <c r="CP174" i="326"/>
  <c r="CP175" i="326"/>
  <c r="CP176" i="326"/>
  <c r="CP177" i="326"/>
  <c r="CP178" i="326"/>
  <c r="CP179" i="326"/>
  <c r="CP180" i="326"/>
  <c r="CP181" i="326"/>
  <c r="CP182" i="326"/>
  <c r="CP183" i="326"/>
  <c r="CP184" i="326"/>
  <c r="CP185" i="326"/>
  <c r="CP186" i="326"/>
  <c r="CP187" i="326"/>
  <c r="CP188" i="326"/>
  <c r="CP189" i="326"/>
  <c r="CP190" i="326"/>
  <c r="CP191" i="326"/>
  <c r="CP192" i="326"/>
  <c r="CP193" i="326"/>
  <c r="CP194" i="326"/>
  <c r="CP195" i="326"/>
  <c r="CP196" i="326"/>
  <c r="CP197" i="326"/>
  <c r="CP198" i="326"/>
  <c r="CP199" i="326"/>
  <c r="CP200" i="326"/>
  <c r="CP201" i="326"/>
  <c r="CP202" i="326"/>
  <c r="CP203" i="326"/>
  <c r="CP204" i="326"/>
  <c r="CP205" i="326"/>
  <c r="CP206" i="326"/>
  <c r="CP207" i="326"/>
  <c r="CP208" i="326"/>
  <c r="CP209" i="326"/>
  <c r="CP210" i="326"/>
  <c r="CP211" i="326"/>
  <c r="CP212" i="326"/>
  <c r="CP213" i="326"/>
  <c r="CP214" i="326"/>
  <c r="CP215" i="326"/>
  <c r="CP216" i="326"/>
  <c r="CP217" i="326"/>
  <c r="CP218" i="326"/>
  <c r="CP219" i="326"/>
  <c r="CP220" i="326"/>
  <c r="CP221" i="326"/>
  <c r="CP222" i="326"/>
  <c r="CP223" i="326"/>
  <c r="CP224" i="326"/>
  <c r="CP225" i="326"/>
  <c r="CP226" i="326"/>
  <c r="CP227" i="326"/>
  <c r="CP228" i="326"/>
  <c r="CP229" i="326"/>
  <c r="CP230" i="326"/>
  <c r="CP231" i="326"/>
  <c r="CP232" i="326"/>
  <c r="CP233" i="326"/>
  <c r="CP234" i="326"/>
  <c r="CP235" i="326"/>
  <c r="CP236" i="326"/>
  <c r="CP237" i="326"/>
  <c r="CP238" i="326"/>
  <c r="CP239" i="326"/>
  <c r="CP240" i="326"/>
  <c r="CP241" i="326"/>
  <c r="CP242" i="326"/>
  <c r="CP243" i="326"/>
  <c r="CP244" i="326"/>
  <c r="CP245" i="326"/>
  <c r="CP246" i="326"/>
  <c r="CP247" i="326"/>
  <c r="CP248" i="326"/>
  <c r="CP249" i="326"/>
  <c r="CP250" i="326"/>
  <c r="CP251" i="326"/>
  <c r="CP252" i="326"/>
  <c r="CP253" i="326"/>
  <c r="CP254" i="326"/>
  <c r="CP255" i="326"/>
  <c r="CP256" i="326"/>
  <c r="CP257" i="326"/>
  <c r="CP258" i="326"/>
  <c r="CP259" i="326"/>
  <c r="CP260" i="326"/>
  <c r="CP261" i="326"/>
  <c r="CP262" i="326"/>
  <c r="CP263" i="326"/>
  <c r="CP264" i="326"/>
  <c r="CP265" i="326"/>
  <c r="CP266" i="326"/>
  <c r="CP267" i="326"/>
  <c r="CP268" i="326"/>
  <c r="CP269" i="326"/>
  <c r="CP270" i="326"/>
  <c r="CP271" i="326"/>
  <c r="CP272" i="326"/>
  <c r="CP273" i="326"/>
  <c r="CP274" i="326"/>
  <c r="CP275" i="326"/>
  <c r="CP276" i="326"/>
  <c r="CP277" i="326"/>
  <c r="CP278" i="326"/>
  <c r="CP279" i="326"/>
  <c r="CP280" i="326"/>
  <c r="CP281" i="326"/>
  <c r="CP282" i="326"/>
  <c r="CP283" i="326"/>
  <c r="CP284" i="326"/>
  <c r="CP285" i="326"/>
  <c r="CP286" i="326"/>
  <c r="CP287" i="326"/>
  <c r="CP288" i="326"/>
  <c r="CP289" i="326"/>
  <c r="CP290" i="326"/>
  <c r="CP291" i="326"/>
  <c r="CP292" i="326"/>
  <c r="CP293" i="326"/>
  <c r="CP294" i="326"/>
  <c r="CP295" i="326"/>
  <c r="CP296" i="326"/>
  <c r="CP297" i="326"/>
  <c r="CP298" i="326"/>
  <c r="CP299" i="326"/>
  <c r="CP300" i="326"/>
  <c r="CP301" i="326"/>
  <c r="CP302" i="326"/>
  <c r="CP303" i="326"/>
  <c r="CP304" i="326"/>
  <c r="CP305" i="326"/>
  <c r="CP306" i="326"/>
  <c r="CP307" i="326"/>
  <c r="CP308" i="326"/>
  <c r="CP309" i="326"/>
  <c r="CP310" i="326"/>
  <c r="CP311" i="326"/>
  <c r="CP312" i="326"/>
  <c r="CP313" i="326"/>
  <c r="CP314" i="326"/>
  <c r="CP315" i="326"/>
  <c r="CP316" i="326"/>
  <c r="CP317" i="326"/>
  <c r="CP318" i="326"/>
  <c r="CP319" i="326"/>
  <c r="CP320" i="326"/>
  <c r="CP321" i="326"/>
  <c r="CP322" i="326"/>
  <c r="CP323" i="326"/>
  <c r="CP324" i="326"/>
  <c r="CP325" i="326"/>
  <c r="CP326" i="326"/>
  <c r="CP327" i="326"/>
  <c r="CP328" i="326"/>
  <c r="CP329" i="326"/>
  <c r="CP330" i="326"/>
  <c r="CP331" i="326"/>
  <c r="CP332" i="326"/>
  <c r="CP333" i="326"/>
  <c r="CP334" i="326"/>
  <c r="CP335" i="326"/>
  <c r="CP336" i="326"/>
  <c r="CP337" i="326"/>
  <c r="CP338" i="326"/>
  <c r="CP339" i="326"/>
  <c r="CP340" i="326"/>
  <c r="CP341" i="326"/>
  <c r="CP342" i="326"/>
  <c r="CP343" i="326"/>
  <c r="CP344" i="326"/>
  <c r="CP345" i="326"/>
  <c r="CP346" i="326"/>
  <c r="CP347" i="326"/>
  <c r="CP348" i="326"/>
  <c r="CP349" i="326"/>
  <c r="CP350" i="326"/>
  <c r="CP351" i="326"/>
  <c r="CP352" i="326"/>
  <c r="CP353" i="326"/>
  <c r="CP354" i="326"/>
  <c r="CP355" i="326"/>
  <c r="CP356" i="326"/>
  <c r="CP357" i="326"/>
  <c r="CP358" i="326"/>
  <c r="CP359" i="326"/>
  <c r="CP360" i="326"/>
  <c r="CP361" i="326"/>
  <c r="CP362" i="326"/>
  <c r="CP363" i="326"/>
  <c r="CP364" i="326"/>
  <c r="CP365" i="326"/>
  <c r="CP366" i="326"/>
  <c r="CP367" i="326"/>
  <c r="CP368" i="326"/>
  <c r="CP369" i="326"/>
  <c r="CP370" i="326"/>
  <c r="CP371" i="326"/>
  <c r="CP372" i="326"/>
  <c r="CP373" i="326"/>
  <c r="CP374" i="326"/>
  <c r="CP375" i="326"/>
  <c r="CP376" i="326"/>
  <c r="CP377" i="326"/>
  <c r="CP378" i="326"/>
  <c r="CP379" i="326"/>
  <c r="CP380" i="326"/>
  <c r="CP381" i="326"/>
  <c r="CP382" i="326"/>
  <c r="CP383" i="326"/>
  <c r="CP384" i="326"/>
  <c r="CP385" i="326"/>
  <c r="CP386" i="326"/>
  <c r="CP387" i="326"/>
  <c r="CP388" i="326"/>
  <c r="CP389" i="326"/>
  <c r="CP390" i="326"/>
  <c r="CP391" i="326"/>
  <c r="CP392" i="326"/>
  <c r="CP393" i="326"/>
  <c r="CP394" i="326"/>
  <c r="CP395" i="326"/>
  <c r="CP396" i="326"/>
  <c r="CP397" i="326"/>
  <c r="CP398" i="326"/>
  <c r="CP399" i="326"/>
  <c r="CP400" i="326"/>
  <c r="CP401" i="326"/>
  <c r="CP402" i="326"/>
  <c r="CP403" i="326"/>
  <c r="CP404" i="326"/>
  <c r="CP405" i="326"/>
  <c r="CP406" i="326"/>
  <c r="CP407" i="326"/>
  <c r="CP408" i="326"/>
  <c r="CP409" i="326"/>
  <c r="CP410" i="326"/>
  <c r="CP411" i="326"/>
  <c r="CP412" i="326"/>
  <c r="CP413" i="326"/>
  <c r="CP414" i="326"/>
  <c r="CP415" i="326"/>
  <c r="CP416" i="326"/>
  <c r="CP417" i="326"/>
  <c r="CP418" i="326"/>
  <c r="CP419" i="326"/>
  <c r="CP420" i="326"/>
  <c r="CP421" i="326"/>
  <c r="CP422" i="326"/>
  <c r="CP423" i="326"/>
  <c r="CP424" i="326"/>
  <c r="CP425" i="326"/>
  <c r="CP426" i="326"/>
  <c r="CP427" i="326"/>
  <c r="CP428" i="326"/>
  <c r="CP429" i="326"/>
  <c r="CP430" i="326"/>
  <c r="CP431" i="326"/>
  <c r="CP432" i="326"/>
  <c r="CP433" i="326"/>
  <c r="CP434" i="326"/>
  <c r="CP435" i="326"/>
  <c r="CP436" i="326"/>
  <c r="CP437" i="326"/>
  <c r="CP438" i="326"/>
  <c r="CP439" i="326"/>
  <c r="CP440" i="326"/>
  <c r="CP441" i="326"/>
  <c r="CP442" i="326"/>
  <c r="CP443" i="326"/>
  <c r="CP444" i="326"/>
  <c r="CP445" i="326"/>
  <c r="CP446" i="326"/>
  <c r="CP447" i="326"/>
  <c r="CP448" i="326"/>
  <c r="CP449" i="326"/>
  <c r="CP450" i="326"/>
  <c r="CP451" i="326"/>
  <c r="CP452" i="326"/>
  <c r="CP453" i="326"/>
  <c r="CP454" i="326"/>
  <c r="CP455" i="326"/>
  <c r="CP456" i="326"/>
  <c r="CP457" i="326"/>
  <c r="CP458" i="326"/>
  <c r="CP459" i="326"/>
  <c r="CP460" i="326"/>
  <c r="CP461" i="326"/>
  <c r="CP462" i="326"/>
  <c r="CP463" i="326"/>
  <c r="CP464" i="326"/>
  <c r="CP465" i="326"/>
  <c r="CP466" i="326"/>
  <c r="CP467" i="326"/>
  <c r="CP468" i="326"/>
  <c r="CP469" i="326"/>
  <c r="CP470" i="326"/>
  <c r="CP471" i="326"/>
  <c r="CP472" i="326"/>
  <c r="CP473" i="326"/>
  <c r="CP474" i="326"/>
  <c r="CP475" i="326"/>
  <c r="CP476" i="326"/>
  <c r="CP477" i="326"/>
  <c r="CP478" i="326"/>
  <c r="CP479" i="326"/>
  <c r="CP480" i="326"/>
  <c r="CP481" i="326"/>
  <c r="CP482" i="326"/>
  <c r="CP483" i="326"/>
  <c r="CP484" i="326"/>
  <c r="CP485" i="326"/>
  <c r="CP486" i="326"/>
  <c r="CP487" i="326"/>
  <c r="CP488" i="326"/>
  <c r="CP489" i="326"/>
  <c r="CP490" i="326"/>
  <c r="CP491" i="326"/>
  <c r="CP492" i="326"/>
  <c r="CP493" i="326"/>
  <c r="CP494" i="326"/>
  <c r="CP495" i="326"/>
  <c r="CP496" i="326"/>
  <c r="CP497" i="326"/>
  <c r="CP498" i="326"/>
  <c r="CP499" i="326"/>
  <c r="CP500" i="326"/>
  <c r="CP501" i="326"/>
  <c r="CP502" i="326"/>
  <c r="CP503" i="326"/>
  <c r="CP504" i="326"/>
  <c r="CP505" i="326"/>
  <c r="CP506" i="326"/>
  <c r="CP507" i="326"/>
  <c r="CP508" i="326"/>
  <c r="CP509" i="326"/>
  <c r="CP510" i="326"/>
  <c r="CP511" i="326"/>
  <c r="CP512" i="326"/>
  <c r="CP513" i="326"/>
  <c r="CP514" i="326"/>
  <c r="CP515" i="326"/>
  <c r="CP516" i="326"/>
  <c r="CP517" i="326"/>
  <c r="CP518" i="326"/>
  <c r="CP519" i="326"/>
  <c r="CP520" i="326"/>
  <c r="CP521" i="326"/>
  <c r="CP522" i="326"/>
  <c r="CP523" i="326"/>
  <c r="CP524" i="326"/>
  <c r="CP525" i="326"/>
  <c r="CP526" i="326"/>
  <c r="CP527" i="326"/>
  <c r="CP528" i="326"/>
  <c r="CP529" i="326"/>
  <c r="CP530" i="326"/>
  <c r="CP531" i="326"/>
  <c r="CP532" i="326"/>
  <c r="CP533" i="326"/>
  <c r="CP534" i="326"/>
  <c r="CP535" i="326"/>
  <c r="CP536" i="326"/>
  <c r="CP537" i="326"/>
  <c r="CP538" i="326"/>
  <c r="CP539" i="326"/>
  <c r="CP540" i="326"/>
  <c r="CP541" i="326"/>
  <c r="CP542" i="326"/>
  <c r="CP543" i="326"/>
  <c r="CP544" i="326"/>
  <c r="CP545" i="326"/>
  <c r="CP546" i="326"/>
  <c r="CP547" i="326"/>
  <c r="CP548" i="326"/>
  <c r="CP549" i="326"/>
  <c r="CP550" i="326"/>
  <c r="CP551" i="326"/>
  <c r="CP552" i="326"/>
  <c r="CP553" i="326"/>
  <c r="CP554" i="326"/>
  <c r="CP555" i="326"/>
  <c r="CP556" i="326"/>
  <c r="CP557" i="326"/>
  <c r="CP558" i="326"/>
  <c r="CP559" i="326"/>
  <c r="CP560" i="326"/>
  <c r="CP561" i="326"/>
  <c r="CP562" i="326"/>
  <c r="CP563" i="326"/>
  <c r="CP564" i="326"/>
  <c r="CP565" i="326"/>
  <c r="CP566" i="326"/>
  <c r="CP567" i="326"/>
  <c r="CP568" i="326"/>
  <c r="CP569" i="326"/>
  <c r="CP570" i="326"/>
  <c r="CP571" i="326"/>
  <c r="CP572" i="326"/>
  <c r="CP573" i="326"/>
  <c r="CP574" i="326"/>
  <c r="CP575" i="326"/>
  <c r="CP576" i="326"/>
  <c r="CP577" i="326"/>
  <c r="CP578" i="326"/>
  <c r="CP579" i="326"/>
  <c r="CP580" i="326"/>
  <c r="CP581" i="326"/>
  <c r="CP582" i="326"/>
  <c r="CP583" i="326"/>
  <c r="CP584" i="326"/>
  <c r="CP585" i="326"/>
  <c r="CP586" i="326"/>
  <c r="CP587" i="326"/>
  <c r="CP588" i="326"/>
  <c r="CP589" i="326"/>
  <c r="CP590" i="326"/>
  <c r="CP591" i="326"/>
  <c r="CP592" i="326"/>
  <c r="CP593" i="326"/>
  <c r="CP594" i="326"/>
  <c r="CP595" i="326"/>
  <c r="CP596" i="326"/>
  <c r="CP597" i="326"/>
  <c r="CP598" i="326"/>
  <c r="CP599" i="326"/>
  <c r="CP600" i="326"/>
  <c r="CP8" i="326"/>
  <c r="CL601" i="326"/>
  <c r="CM601" i="326"/>
  <c r="CL602" i="326"/>
  <c r="CM602" i="326"/>
  <c r="CL603" i="326"/>
  <c r="CM603" i="326"/>
  <c r="CL604" i="326"/>
  <c r="CM604" i="326"/>
  <c r="CL605" i="326"/>
  <c r="CM605" i="326"/>
  <c r="CL606" i="326"/>
  <c r="CM606" i="326"/>
  <c r="CL607" i="326"/>
  <c r="CM607" i="326"/>
  <c r="CL608" i="326"/>
  <c r="CM608" i="326"/>
  <c r="CL609" i="326"/>
  <c r="CM609" i="326"/>
  <c r="CL610" i="326"/>
  <c r="CM610" i="326"/>
  <c r="CL611" i="326"/>
  <c r="CM611" i="326"/>
  <c r="CL612" i="326"/>
  <c r="CM612" i="326"/>
  <c r="CL613" i="326"/>
  <c r="CM613" i="326"/>
  <c r="CL614" i="326"/>
  <c r="CM614" i="326"/>
  <c r="CL615" i="326"/>
  <c r="CM615" i="326"/>
  <c r="CL616" i="326"/>
  <c r="CM616" i="326"/>
  <c r="CL617" i="326"/>
  <c r="CM617" i="326"/>
  <c r="CL618" i="326"/>
  <c r="CM618" i="326"/>
  <c r="CL619" i="326"/>
  <c r="CM619" i="326"/>
  <c r="CL620" i="326"/>
  <c r="CM620" i="326"/>
  <c r="CL621" i="326"/>
  <c r="CM621" i="326"/>
  <c r="CL622" i="326"/>
  <c r="CM622" i="326"/>
  <c r="CL623" i="326"/>
  <c r="CM623" i="326"/>
  <c r="CL624" i="326"/>
  <c r="CM624" i="326"/>
  <c r="CL625" i="326"/>
  <c r="CM625" i="326"/>
  <c r="CL626" i="326"/>
  <c r="CM626" i="326"/>
  <c r="CL627" i="326"/>
  <c r="CM627" i="326"/>
  <c r="CL628" i="326"/>
  <c r="CM628" i="326"/>
  <c r="CL629" i="326"/>
  <c r="CM629" i="326"/>
  <c r="CL630" i="326"/>
  <c r="CM630" i="326"/>
  <c r="CL631" i="326"/>
  <c r="CM631" i="326"/>
  <c r="CL632" i="326"/>
  <c r="CM632" i="326"/>
  <c r="CL633" i="326"/>
  <c r="CM633" i="326"/>
  <c r="CL634" i="326"/>
  <c r="CM634" i="326"/>
  <c r="CL635" i="326"/>
  <c r="CM635" i="326"/>
  <c r="CL636" i="326"/>
  <c r="CM636" i="326"/>
  <c r="CL637" i="326"/>
  <c r="CM637" i="326"/>
  <c r="CL638" i="326"/>
  <c r="CM638" i="326"/>
  <c r="CL639" i="326"/>
  <c r="CM639" i="326"/>
  <c r="CL640" i="326"/>
  <c r="CM640" i="326"/>
  <c r="CL641" i="326"/>
  <c r="CM641" i="326"/>
  <c r="CL642" i="326"/>
  <c r="CM642" i="326"/>
  <c r="CL643" i="326"/>
  <c r="CM643" i="326"/>
  <c r="CL644" i="326"/>
  <c r="CM644" i="326"/>
  <c r="CL645" i="326"/>
  <c r="CM645" i="326"/>
  <c r="CL646" i="326"/>
  <c r="CM646" i="326"/>
  <c r="CL647" i="326"/>
  <c r="CM647" i="326"/>
  <c r="CL648" i="326"/>
  <c r="CM648" i="326"/>
  <c r="CL649" i="326"/>
  <c r="CM649" i="326"/>
  <c r="CL650" i="326"/>
  <c r="CM650" i="326"/>
  <c r="CL651" i="326"/>
  <c r="CM651" i="326"/>
  <c r="CL652" i="326"/>
  <c r="CM652" i="326"/>
  <c r="CL653" i="326"/>
  <c r="CM653" i="326"/>
  <c r="CL654" i="326"/>
  <c r="CM654" i="326"/>
  <c r="CL655" i="326"/>
  <c r="CM655" i="326"/>
  <c r="CL656" i="326"/>
  <c r="CM656" i="326"/>
  <c r="CL657" i="326"/>
  <c r="CM657" i="326"/>
  <c r="CL658" i="326"/>
  <c r="CM658" i="326"/>
  <c r="CL659" i="326"/>
  <c r="CM659" i="326"/>
  <c r="CL660" i="326"/>
  <c r="CM660" i="326"/>
  <c r="CL661" i="326"/>
  <c r="CM661" i="326"/>
  <c r="CL662" i="326"/>
  <c r="CM662" i="326"/>
  <c r="CL663" i="326"/>
  <c r="CM663" i="326"/>
  <c r="CL664" i="326"/>
  <c r="CM664" i="326"/>
  <c r="CL665" i="326"/>
  <c r="CM665" i="326"/>
  <c r="CL666" i="326"/>
  <c r="CM666" i="326"/>
  <c r="CL667" i="326"/>
  <c r="CM667" i="326"/>
  <c r="CL668" i="326"/>
  <c r="CM668" i="326"/>
  <c r="CL669" i="326"/>
  <c r="CM669" i="326"/>
  <c r="CL670" i="326"/>
  <c r="CM670" i="326"/>
  <c r="CL9" i="326"/>
  <c r="CM9" i="326"/>
  <c r="CL10" i="326"/>
  <c r="CM10" i="326"/>
  <c r="CL11" i="326"/>
  <c r="CM11" i="326"/>
  <c r="CL12" i="326"/>
  <c r="CM12" i="326"/>
  <c r="CL13" i="326"/>
  <c r="CM13" i="326"/>
  <c r="CL14" i="326"/>
  <c r="CM14" i="326"/>
  <c r="CL15" i="326"/>
  <c r="CM15" i="326"/>
  <c r="CL16" i="326"/>
  <c r="CM16" i="326"/>
  <c r="CL17" i="326"/>
  <c r="CM17" i="326"/>
  <c r="CL18" i="326"/>
  <c r="CM18" i="326"/>
  <c r="CL19" i="326"/>
  <c r="CM19" i="326"/>
  <c r="CL20" i="326"/>
  <c r="CM20" i="326"/>
  <c r="CL21" i="326"/>
  <c r="CM21" i="326"/>
  <c r="CL22" i="326"/>
  <c r="CM22" i="326"/>
  <c r="CL23" i="326"/>
  <c r="CM23" i="326"/>
  <c r="CL24" i="326"/>
  <c r="CM24" i="326"/>
  <c r="CL25" i="326"/>
  <c r="CM25" i="326"/>
  <c r="CL26" i="326"/>
  <c r="CM26" i="326"/>
  <c r="CL27" i="326"/>
  <c r="CM27" i="326"/>
  <c r="CL28" i="326"/>
  <c r="CM28" i="326"/>
  <c r="CL29" i="326"/>
  <c r="CM29" i="326"/>
  <c r="CL30" i="326"/>
  <c r="CM30" i="326"/>
  <c r="CL31" i="326"/>
  <c r="CM31" i="326"/>
  <c r="CL32" i="326"/>
  <c r="CM32" i="326"/>
  <c r="CL33" i="326"/>
  <c r="CM33" i="326"/>
  <c r="CL34" i="326"/>
  <c r="CM34" i="326"/>
  <c r="CL35" i="326"/>
  <c r="CM35" i="326"/>
  <c r="CL36" i="326"/>
  <c r="CM36" i="326"/>
  <c r="CL37" i="326"/>
  <c r="CM37" i="326"/>
  <c r="CL38" i="326"/>
  <c r="CM38" i="326"/>
  <c r="CL39" i="326"/>
  <c r="CM39" i="326"/>
  <c r="CL40" i="326"/>
  <c r="CM40" i="326"/>
  <c r="CL41" i="326"/>
  <c r="CM41" i="326"/>
  <c r="CL42" i="326"/>
  <c r="CM42" i="326"/>
  <c r="CL43" i="326"/>
  <c r="CM43" i="326"/>
  <c r="CL44" i="326"/>
  <c r="CM44" i="326"/>
  <c r="CL45" i="326"/>
  <c r="CM45" i="326"/>
  <c r="CL46" i="326"/>
  <c r="CM46" i="326"/>
  <c r="CL47" i="326"/>
  <c r="CM47" i="326"/>
  <c r="CL48" i="326"/>
  <c r="CM48" i="326"/>
  <c r="CL49" i="326"/>
  <c r="CM49" i="326"/>
  <c r="CL50" i="326"/>
  <c r="CM50" i="326"/>
  <c r="CL51" i="326"/>
  <c r="CM51" i="326"/>
  <c r="CL52" i="326"/>
  <c r="CM52" i="326"/>
  <c r="CL53" i="326"/>
  <c r="CM53" i="326"/>
  <c r="CL54" i="326"/>
  <c r="CM54" i="326"/>
  <c r="CL55" i="326"/>
  <c r="CM55" i="326"/>
  <c r="CL56" i="326"/>
  <c r="CM56" i="326"/>
  <c r="CL57" i="326"/>
  <c r="CM57" i="326"/>
  <c r="CL58" i="326"/>
  <c r="CM58" i="326"/>
  <c r="CL59" i="326"/>
  <c r="CM59" i="326"/>
  <c r="CL60" i="326"/>
  <c r="CM60" i="326"/>
  <c r="CL61" i="326"/>
  <c r="CM61" i="326"/>
  <c r="CL62" i="326"/>
  <c r="CM62" i="326"/>
  <c r="CL63" i="326"/>
  <c r="CM63" i="326"/>
  <c r="CL64" i="326"/>
  <c r="CM64" i="326"/>
  <c r="CL65" i="326"/>
  <c r="CM65" i="326"/>
  <c r="CL66" i="326"/>
  <c r="CM66" i="326"/>
  <c r="CL67" i="326"/>
  <c r="CM67" i="326"/>
  <c r="CL68" i="326"/>
  <c r="CM68" i="326"/>
  <c r="CL69" i="326"/>
  <c r="CM69" i="326"/>
  <c r="CL70" i="326"/>
  <c r="CM70" i="326"/>
  <c r="CL71" i="326"/>
  <c r="CM71" i="326"/>
  <c r="CL72" i="326"/>
  <c r="CM72" i="326"/>
  <c r="CL73" i="326"/>
  <c r="CM73" i="326"/>
  <c r="CL74" i="326"/>
  <c r="CM74" i="326"/>
  <c r="CL75" i="326"/>
  <c r="CM75" i="326"/>
  <c r="CL76" i="326"/>
  <c r="CM76" i="326"/>
  <c r="CL77" i="326"/>
  <c r="CM77" i="326"/>
  <c r="CL78" i="326"/>
  <c r="CM78" i="326"/>
  <c r="CL79" i="326"/>
  <c r="CM79" i="326"/>
  <c r="CL80" i="326"/>
  <c r="CM80" i="326"/>
  <c r="CL81" i="326"/>
  <c r="CM81" i="326"/>
  <c r="CL82" i="326"/>
  <c r="CM82" i="326"/>
  <c r="CL83" i="326"/>
  <c r="CM83" i="326"/>
  <c r="CL84" i="326"/>
  <c r="CM84" i="326"/>
  <c r="CL85" i="326"/>
  <c r="CM85" i="326"/>
  <c r="CL86" i="326"/>
  <c r="CM86" i="326"/>
  <c r="CL87" i="326"/>
  <c r="CM87" i="326"/>
  <c r="CL88" i="326"/>
  <c r="CM88" i="326"/>
  <c r="CL89" i="326"/>
  <c r="CM89" i="326"/>
  <c r="CL90" i="326"/>
  <c r="CM90" i="326"/>
  <c r="CL91" i="326"/>
  <c r="CM91" i="326"/>
  <c r="CL92" i="326"/>
  <c r="CM92" i="326"/>
  <c r="CL93" i="326"/>
  <c r="CM93" i="326"/>
  <c r="CL94" i="326"/>
  <c r="CM94" i="326"/>
  <c r="CL95" i="326"/>
  <c r="CM95" i="326"/>
  <c r="CL96" i="326"/>
  <c r="CM96" i="326"/>
  <c r="CL97" i="326"/>
  <c r="CM97" i="326"/>
  <c r="CL98" i="326"/>
  <c r="CM98" i="326"/>
  <c r="CL99" i="326"/>
  <c r="CM99" i="326"/>
  <c r="CL100" i="326"/>
  <c r="CM100" i="326"/>
  <c r="CL101" i="326"/>
  <c r="CM101" i="326"/>
  <c r="CL102" i="326"/>
  <c r="CM102" i="326"/>
  <c r="CL103" i="326"/>
  <c r="CM103" i="326"/>
  <c r="CL104" i="326"/>
  <c r="CM104" i="326"/>
  <c r="CL105" i="326"/>
  <c r="CM105" i="326"/>
  <c r="CL106" i="326"/>
  <c r="CM106" i="326"/>
  <c r="CL107" i="326"/>
  <c r="CM107" i="326"/>
  <c r="CL108" i="326"/>
  <c r="CM108" i="326"/>
  <c r="CL109" i="326"/>
  <c r="CM109" i="326"/>
  <c r="CL110" i="326"/>
  <c r="CM110" i="326"/>
  <c r="CL111" i="326"/>
  <c r="CM111" i="326"/>
  <c r="CL112" i="326"/>
  <c r="CM112" i="326"/>
  <c r="CL113" i="326"/>
  <c r="CM113" i="326"/>
  <c r="CL114" i="326"/>
  <c r="CM114" i="326"/>
  <c r="CL115" i="326"/>
  <c r="CM115" i="326"/>
  <c r="CL116" i="326"/>
  <c r="CM116" i="326"/>
  <c r="CL117" i="326"/>
  <c r="CM117" i="326"/>
  <c r="CL118" i="326"/>
  <c r="CM118" i="326"/>
  <c r="CL119" i="326"/>
  <c r="CM119" i="326"/>
  <c r="CL120" i="326"/>
  <c r="CM120" i="326"/>
  <c r="CL121" i="326"/>
  <c r="CM121" i="326"/>
  <c r="CL122" i="326"/>
  <c r="CM122" i="326"/>
  <c r="CL123" i="326"/>
  <c r="CM123" i="326"/>
  <c r="CL124" i="326"/>
  <c r="CM124" i="326"/>
  <c r="CL125" i="326"/>
  <c r="CM125" i="326"/>
  <c r="CL126" i="326"/>
  <c r="CM126" i="326"/>
  <c r="CL127" i="326"/>
  <c r="CM127" i="326"/>
  <c r="CL128" i="326"/>
  <c r="CM128" i="326"/>
  <c r="CL129" i="326"/>
  <c r="CM129" i="326"/>
  <c r="CL130" i="326"/>
  <c r="CM130" i="326"/>
  <c r="CL131" i="326"/>
  <c r="CM131" i="326"/>
  <c r="CL132" i="326"/>
  <c r="CM132" i="326"/>
  <c r="CL133" i="326"/>
  <c r="CM133" i="326"/>
  <c r="CL134" i="326"/>
  <c r="CM134" i="326"/>
  <c r="CL135" i="326"/>
  <c r="CM135" i="326"/>
  <c r="CL136" i="326"/>
  <c r="CM136" i="326"/>
  <c r="CL137" i="326"/>
  <c r="CM137" i="326"/>
  <c r="CL138" i="326"/>
  <c r="CM138" i="326"/>
  <c r="CL139" i="326"/>
  <c r="CM139" i="326"/>
  <c r="CL140" i="326"/>
  <c r="CM140" i="326"/>
  <c r="CL141" i="326"/>
  <c r="CM141" i="326"/>
  <c r="CL142" i="326"/>
  <c r="CM142" i="326"/>
  <c r="CL143" i="326"/>
  <c r="CM143" i="326"/>
  <c r="CL144" i="326"/>
  <c r="CM144" i="326"/>
  <c r="CL145" i="326"/>
  <c r="CM145" i="326"/>
  <c r="CL146" i="326"/>
  <c r="CM146" i="326"/>
  <c r="CL147" i="326"/>
  <c r="CM147" i="326"/>
  <c r="CL148" i="326"/>
  <c r="CM148" i="326"/>
  <c r="CL149" i="326"/>
  <c r="CM149" i="326"/>
  <c r="CL150" i="326"/>
  <c r="CM150" i="326"/>
  <c r="CL151" i="326"/>
  <c r="CM151" i="326"/>
  <c r="CL152" i="326"/>
  <c r="CM152" i="326"/>
  <c r="CL153" i="326"/>
  <c r="CM153" i="326"/>
  <c r="CL154" i="326"/>
  <c r="CM154" i="326"/>
  <c r="CL155" i="326"/>
  <c r="CM155" i="326"/>
  <c r="CL156" i="326"/>
  <c r="CM156" i="326"/>
  <c r="CL157" i="326"/>
  <c r="CM157" i="326"/>
  <c r="CL158" i="326"/>
  <c r="CM158" i="326"/>
  <c r="CL159" i="326"/>
  <c r="CM159" i="326"/>
  <c r="CL160" i="326"/>
  <c r="CM160" i="326"/>
  <c r="CL161" i="326"/>
  <c r="CM161" i="326"/>
  <c r="CL162" i="326"/>
  <c r="CM162" i="326"/>
  <c r="CL163" i="326"/>
  <c r="CM163" i="326"/>
  <c r="CL164" i="326"/>
  <c r="CM164" i="326"/>
  <c r="CL165" i="326"/>
  <c r="CM165" i="326"/>
  <c r="CL166" i="326"/>
  <c r="CM166" i="326"/>
  <c r="CL167" i="326"/>
  <c r="CM167" i="326"/>
  <c r="CL168" i="326"/>
  <c r="CM168" i="326"/>
  <c r="CL169" i="326"/>
  <c r="CM169" i="326"/>
  <c r="CL170" i="326"/>
  <c r="CM170" i="326"/>
  <c r="CL171" i="326"/>
  <c r="CM171" i="326"/>
  <c r="CL172" i="326"/>
  <c r="CM172" i="326"/>
  <c r="CL173" i="326"/>
  <c r="CM173" i="326"/>
  <c r="CL174" i="326"/>
  <c r="CM174" i="326"/>
  <c r="CL175" i="326"/>
  <c r="CM175" i="326"/>
  <c r="CL176" i="326"/>
  <c r="CM176" i="326"/>
  <c r="CL177" i="326"/>
  <c r="CM177" i="326"/>
  <c r="CL178" i="326"/>
  <c r="CM178" i="326"/>
  <c r="CL179" i="326"/>
  <c r="CM179" i="326"/>
  <c r="CL180" i="326"/>
  <c r="CM180" i="326"/>
  <c r="CL181" i="326"/>
  <c r="CM181" i="326"/>
  <c r="CL182" i="326"/>
  <c r="CM182" i="326"/>
  <c r="CL183" i="326"/>
  <c r="CM183" i="326"/>
  <c r="CL184" i="326"/>
  <c r="CM184" i="326"/>
  <c r="CL185" i="326"/>
  <c r="CM185" i="326"/>
  <c r="CL186" i="326"/>
  <c r="CM186" i="326"/>
  <c r="CL187" i="326"/>
  <c r="CM187" i="326"/>
  <c r="CL188" i="326"/>
  <c r="CM188" i="326"/>
  <c r="CL189" i="326"/>
  <c r="CM189" i="326"/>
  <c r="CL190" i="326"/>
  <c r="CM190" i="326"/>
  <c r="CL191" i="326"/>
  <c r="CM191" i="326"/>
  <c r="CL192" i="326"/>
  <c r="CM192" i="326"/>
  <c r="CL193" i="326"/>
  <c r="CM193" i="326"/>
  <c r="CL194" i="326"/>
  <c r="CM194" i="326"/>
  <c r="CL195" i="326"/>
  <c r="CM195" i="326"/>
  <c r="CL196" i="326"/>
  <c r="CM196" i="326"/>
  <c r="CL197" i="326"/>
  <c r="CM197" i="326"/>
  <c r="CL198" i="326"/>
  <c r="CM198" i="326"/>
  <c r="CL199" i="326"/>
  <c r="CM199" i="326"/>
  <c r="CL200" i="326"/>
  <c r="CM200" i="326"/>
  <c r="CL201" i="326"/>
  <c r="CM201" i="326"/>
  <c r="CL202" i="326"/>
  <c r="CM202" i="326"/>
  <c r="CL203" i="326"/>
  <c r="CM203" i="326"/>
  <c r="CL204" i="326"/>
  <c r="CM204" i="326"/>
  <c r="CL205" i="326"/>
  <c r="CM205" i="326"/>
  <c r="CL206" i="326"/>
  <c r="CM206" i="326"/>
  <c r="CL207" i="326"/>
  <c r="CM207" i="326"/>
  <c r="CL208" i="326"/>
  <c r="CM208" i="326"/>
  <c r="CL209" i="326"/>
  <c r="CM209" i="326"/>
  <c r="CL210" i="326"/>
  <c r="CM210" i="326"/>
  <c r="CL211" i="326"/>
  <c r="CM211" i="326"/>
  <c r="CL212" i="326"/>
  <c r="CM212" i="326"/>
  <c r="CL213" i="326"/>
  <c r="CM213" i="326"/>
  <c r="CL214" i="326"/>
  <c r="CM214" i="326"/>
  <c r="CL215" i="326"/>
  <c r="CM215" i="326"/>
  <c r="CL216" i="326"/>
  <c r="CM216" i="326"/>
  <c r="CL217" i="326"/>
  <c r="CM217" i="326"/>
  <c r="CL218" i="326"/>
  <c r="CM218" i="326"/>
  <c r="CL219" i="326"/>
  <c r="CM219" i="326"/>
  <c r="CL220" i="326"/>
  <c r="CM220" i="326"/>
  <c r="CL221" i="326"/>
  <c r="CM221" i="326"/>
  <c r="CL222" i="326"/>
  <c r="CM222" i="326"/>
  <c r="CL223" i="326"/>
  <c r="CM223" i="326"/>
  <c r="CL224" i="326"/>
  <c r="CM224" i="326"/>
  <c r="CL225" i="326"/>
  <c r="CM225" i="326"/>
  <c r="CL226" i="326"/>
  <c r="CM226" i="326"/>
  <c r="CL227" i="326"/>
  <c r="CM227" i="326"/>
  <c r="CL228" i="326"/>
  <c r="CM228" i="326"/>
  <c r="CL229" i="326"/>
  <c r="CM229" i="326"/>
  <c r="CL230" i="326"/>
  <c r="CM230" i="326"/>
  <c r="CL231" i="326"/>
  <c r="CM231" i="326"/>
  <c r="CL232" i="326"/>
  <c r="CM232" i="326"/>
  <c r="CL233" i="326"/>
  <c r="CM233" i="326"/>
  <c r="CL234" i="326"/>
  <c r="CM234" i="326"/>
  <c r="CL235" i="326"/>
  <c r="CM235" i="326"/>
  <c r="CL236" i="326"/>
  <c r="CM236" i="326"/>
  <c r="CL237" i="326"/>
  <c r="CM237" i="326"/>
  <c r="CL238" i="326"/>
  <c r="CM238" i="326"/>
  <c r="CL239" i="326"/>
  <c r="CM239" i="326"/>
  <c r="CL240" i="326"/>
  <c r="CM240" i="326"/>
  <c r="CL241" i="326"/>
  <c r="CM241" i="326"/>
  <c r="CL242" i="326"/>
  <c r="CM242" i="326"/>
  <c r="CL243" i="326"/>
  <c r="CM243" i="326"/>
  <c r="CL244" i="326"/>
  <c r="CM244" i="326"/>
  <c r="CL245" i="326"/>
  <c r="CM245" i="326"/>
  <c r="CL246" i="326"/>
  <c r="CM246" i="326"/>
  <c r="CL247" i="326"/>
  <c r="CM247" i="326"/>
  <c r="CL248" i="326"/>
  <c r="CM248" i="326"/>
  <c r="CL249" i="326"/>
  <c r="CM249" i="326"/>
  <c r="CL250" i="326"/>
  <c r="CM250" i="326"/>
  <c r="CL251" i="326"/>
  <c r="CM251" i="326"/>
  <c r="CL252" i="326"/>
  <c r="CM252" i="326"/>
  <c r="CL253" i="326"/>
  <c r="CM253" i="326"/>
  <c r="CL254" i="326"/>
  <c r="CM254" i="326"/>
  <c r="CL255" i="326"/>
  <c r="CM255" i="326"/>
  <c r="CL256" i="326"/>
  <c r="CM256" i="326"/>
  <c r="CL257" i="326"/>
  <c r="CM257" i="326"/>
  <c r="CL258" i="326"/>
  <c r="CM258" i="326"/>
  <c r="CL259" i="326"/>
  <c r="CM259" i="326"/>
  <c r="CL260" i="326"/>
  <c r="CM260" i="326"/>
  <c r="CL261" i="326"/>
  <c r="CM261" i="326"/>
  <c r="CL262" i="326"/>
  <c r="CM262" i="326"/>
  <c r="CL263" i="326"/>
  <c r="CM263" i="326"/>
  <c r="CL264" i="326"/>
  <c r="CM264" i="326"/>
  <c r="CL265" i="326"/>
  <c r="CM265" i="326"/>
  <c r="CL266" i="326"/>
  <c r="CM266" i="326"/>
  <c r="CL267" i="326"/>
  <c r="CM267" i="326"/>
  <c r="CL268" i="326"/>
  <c r="CM268" i="326"/>
  <c r="CL269" i="326"/>
  <c r="CM269" i="326"/>
  <c r="CL270" i="326"/>
  <c r="CM270" i="326"/>
  <c r="CL271" i="326"/>
  <c r="CM271" i="326"/>
  <c r="CL272" i="326"/>
  <c r="CM272" i="326"/>
  <c r="CL273" i="326"/>
  <c r="CM273" i="326"/>
  <c r="CL274" i="326"/>
  <c r="CM274" i="326"/>
  <c r="CL275" i="326"/>
  <c r="CM275" i="326"/>
  <c r="CL276" i="326"/>
  <c r="CM276" i="326"/>
  <c r="CL277" i="326"/>
  <c r="CM277" i="326"/>
  <c r="CL278" i="326"/>
  <c r="CM278" i="326"/>
  <c r="CL279" i="326"/>
  <c r="CM279" i="326"/>
  <c r="CL280" i="326"/>
  <c r="CM280" i="326"/>
  <c r="CL281" i="326"/>
  <c r="CM281" i="326"/>
  <c r="CL282" i="326"/>
  <c r="CM282" i="326"/>
  <c r="CL283" i="326"/>
  <c r="CM283" i="326"/>
  <c r="CL284" i="326"/>
  <c r="CM284" i="326"/>
  <c r="CL285" i="326"/>
  <c r="CM285" i="326"/>
  <c r="CL286" i="326"/>
  <c r="CM286" i="326"/>
  <c r="CL287" i="326"/>
  <c r="CM287" i="326"/>
  <c r="CL288" i="326"/>
  <c r="CM288" i="326"/>
  <c r="CL289" i="326"/>
  <c r="CM289" i="326"/>
  <c r="CL290" i="326"/>
  <c r="CM290" i="326"/>
  <c r="CL291" i="326"/>
  <c r="CM291" i="326"/>
  <c r="CL292" i="326"/>
  <c r="CM292" i="326"/>
  <c r="CL293" i="326"/>
  <c r="CM293" i="326"/>
  <c r="CL294" i="326"/>
  <c r="CM294" i="326"/>
  <c r="CL295" i="326"/>
  <c r="CM295" i="326"/>
  <c r="CL296" i="326"/>
  <c r="CM296" i="326"/>
  <c r="CL297" i="326"/>
  <c r="CM297" i="326"/>
  <c r="CL298" i="326"/>
  <c r="CM298" i="326"/>
  <c r="CL299" i="326"/>
  <c r="CM299" i="326"/>
  <c r="CL300" i="326"/>
  <c r="CM300" i="326"/>
  <c r="CL301" i="326"/>
  <c r="CM301" i="326"/>
  <c r="CL302" i="326"/>
  <c r="CM302" i="326"/>
  <c r="CL303" i="326"/>
  <c r="CM303" i="326"/>
  <c r="CL304" i="326"/>
  <c r="CM304" i="326"/>
  <c r="CL305" i="326"/>
  <c r="CM305" i="326"/>
  <c r="CL306" i="326"/>
  <c r="CM306" i="326"/>
  <c r="CL307" i="326"/>
  <c r="CM307" i="326"/>
  <c r="CL308" i="326"/>
  <c r="CM308" i="326"/>
  <c r="CL309" i="326"/>
  <c r="CM309" i="326"/>
  <c r="CL310" i="326"/>
  <c r="CM310" i="326"/>
  <c r="CL311" i="326"/>
  <c r="CM311" i="326"/>
  <c r="CL312" i="326"/>
  <c r="CM312" i="326"/>
  <c r="CL313" i="326"/>
  <c r="CM313" i="326"/>
  <c r="CL314" i="326"/>
  <c r="CM314" i="326"/>
  <c r="CL315" i="326"/>
  <c r="CM315" i="326"/>
  <c r="CL316" i="326"/>
  <c r="CM316" i="326"/>
  <c r="CL317" i="326"/>
  <c r="CM317" i="326"/>
  <c r="CL318" i="326"/>
  <c r="CM318" i="326"/>
  <c r="CL319" i="326"/>
  <c r="CM319" i="326"/>
  <c r="CL320" i="326"/>
  <c r="CM320" i="326"/>
  <c r="CL321" i="326"/>
  <c r="CM321" i="326"/>
  <c r="CL322" i="326"/>
  <c r="CM322" i="326"/>
  <c r="CL323" i="326"/>
  <c r="CM323" i="326"/>
  <c r="CL324" i="326"/>
  <c r="CM324" i="326"/>
  <c r="CL325" i="326"/>
  <c r="CM325" i="326"/>
  <c r="CL326" i="326"/>
  <c r="CM326" i="326"/>
  <c r="CL327" i="326"/>
  <c r="CM327" i="326"/>
  <c r="CL328" i="326"/>
  <c r="CM328" i="326"/>
  <c r="CL329" i="326"/>
  <c r="CM329" i="326"/>
  <c r="CL330" i="326"/>
  <c r="CM330" i="326"/>
  <c r="CL331" i="326"/>
  <c r="CM331" i="326"/>
  <c r="CL332" i="326"/>
  <c r="CM332" i="326"/>
  <c r="CL333" i="326"/>
  <c r="CM333" i="326"/>
  <c r="CL334" i="326"/>
  <c r="CM334" i="326"/>
  <c r="CL335" i="326"/>
  <c r="CM335" i="326"/>
  <c r="CL336" i="326"/>
  <c r="CM336" i="326"/>
  <c r="CL337" i="326"/>
  <c r="CM337" i="326"/>
  <c r="CL338" i="326"/>
  <c r="CM338" i="326"/>
  <c r="CL339" i="326"/>
  <c r="CM339" i="326"/>
  <c r="CL340" i="326"/>
  <c r="CM340" i="326"/>
  <c r="CL341" i="326"/>
  <c r="CM341" i="326"/>
  <c r="CL342" i="326"/>
  <c r="CM342" i="326"/>
  <c r="CL343" i="326"/>
  <c r="CM343" i="326"/>
  <c r="CL344" i="326"/>
  <c r="CM344" i="326"/>
  <c r="CL345" i="326"/>
  <c r="CM345" i="326"/>
  <c r="CL346" i="326"/>
  <c r="CM346" i="326"/>
  <c r="CL347" i="326"/>
  <c r="CM347" i="326"/>
  <c r="CL348" i="326"/>
  <c r="CM348" i="326"/>
  <c r="CL349" i="326"/>
  <c r="CM349" i="326"/>
  <c r="CL350" i="326"/>
  <c r="CM350" i="326"/>
  <c r="CL351" i="326"/>
  <c r="CM351" i="326"/>
  <c r="CL352" i="326"/>
  <c r="CM352" i="326"/>
  <c r="CL353" i="326"/>
  <c r="CM353" i="326"/>
  <c r="CL354" i="326"/>
  <c r="CM354" i="326"/>
  <c r="CL355" i="326"/>
  <c r="CM355" i="326"/>
  <c r="CL356" i="326"/>
  <c r="CM356" i="326"/>
  <c r="CL357" i="326"/>
  <c r="CM357" i="326"/>
  <c r="CL358" i="326"/>
  <c r="CM358" i="326"/>
  <c r="CL359" i="326"/>
  <c r="CM359" i="326"/>
  <c r="CL360" i="326"/>
  <c r="CM360" i="326"/>
  <c r="CL361" i="326"/>
  <c r="CM361" i="326"/>
  <c r="CL362" i="326"/>
  <c r="CM362" i="326"/>
  <c r="CL363" i="326"/>
  <c r="CM363" i="326"/>
  <c r="CL364" i="326"/>
  <c r="CM364" i="326"/>
  <c r="CL365" i="326"/>
  <c r="CM365" i="326"/>
  <c r="CL366" i="326"/>
  <c r="CM366" i="326"/>
  <c r="CL367" i="326"/>
  <c r="CM367" i="326"/>
  <c r="CL368" i="326"/>
  <c r="CM368" i="326"/>
  <c r="CL369" i="326"/>
  <c r="CM369" i="326"/>
  <c r="CL370" i="326"/>
  <c r="CM370" i="326"/>
  <c r="CL371" i="326"/>
  <c r="CM371" i="326"/>
  <c r="CL372" i="326"/>
  <c r="CM372" i="326"/>
  <c r="CL373" i="326"/>
  <c r="CM373" i="326"/>
  <c r="CL374" i="326"/>
  <c r="CM374" i="326"/>
  <c r="CL375" i="326"/>
  <c r="CM375" i="326"/>
  <c r="CL376" i="326"/>
  <c r="CM376" i="326"/>
  <c r="CL377" i="326"/>
  <c r="CM377" i="326"/>
  <c r="CL378" i="326"/>
  <c r="CM378" i="326"/>
  <c r="CL379" i="326"/>
  <c r="CM379" i="326"/>
  <c r="CL380" i="326"/>
  <c r="CM380" i="326"/>
  <c r="CL381" i="326"/>
  <c r="CM381" i="326"/>
  <c r="CL382" i="326"/>
  <c r="CM382" i="326"/>
  <c r="CL383" i="326"/>
  <c r="CM383" i="326"/>
  <c r="CL384" i="326"/>
  <c r="CM384" i="326"/>
  <c r="CL385" i="326"/>
  <c r="CM385" i="326"/>
  <c r="CL386" i="326"/>
  <c r="CM386" i="326"/>
  <c r="CL387" i="326"/>
  <c r="CM387" i="326"/>
  <c r="CL388" i="326"/>
  <c r="CM388" i="326"/>
  <c r="CL389" i="326"/>
  <c r="CM389" i="326"/>
  <c r="CL390" i="326"/>
  <c r="CM390" i="326"/>
  <c r="CL391" i="326"/>
  <c r="CM391" i="326"/>
  <c r="CL392" i="326"/>
  <c r="CM392" i="326"/>
  <c r="CL393" i="326"/>
  <c r="CM393" i="326"/>
  <c r="CL394" i="326"/>
  <c r="CM394" i="326"/>
  <c r="CL395" i="326"/>
  <c r="CM395" i="326"/>
  <c r="CL396" i="326"/>
  <c r="CM396" i="326"/>
  <c r="CL397" i="326"/>
  <c r="CM397" i="326"/>
  <c r="CL398" i="326"/>
  <c r="CM398" i="326"/>
  <c r="CL399" i="326"/>
  <c r="CM399" i="326"/>
  <c r="CL400" i="326"/>
  <c r="CM400" i="326"/>
  <c r="CL401" i="326"/>
  <c r="CM401" i="326"/>
  <c r="CL402" i="326"/>
  <c r="CM402" i="326"/>
  <c r="CL403" i="326"/>
  <c r="CM403" i="326"/>
  <c r="CL404" i="326"/>
  <c r="CM404" i="326"/>
  <c r="CL405" i="326"/>
  <c r="CM405" i="326"/>
  <c r="CL406" i="326"/>
  <c r="CM406" i="326"/>
  <c r="CL407" i="326"/>
  <c r="CM407" i="326"/>
  <c r="CL408" i="326"/>
  <c r="CM408" i="326"/>
  <c r="CL409" i="326"/>
  <c r="CM409" i="326"/>
  <c r="CL410" i="326"/>
  <c r="CM410" i="326"/>
  <c r="CL411" i="326"/>
  <c r="CM411" i="326"/>
  <c r="CL412" i="326"/>
  <c r="CM412" i="326"/>
  <c r="CL413" i="326"/>
  <c r="CM413" i="326"/>
  <c r="CL414" i="326"/>
  <c r="CM414" i="326"/>
  <c r="CL415" i="326"/>
  <c r="CM415" i="326"/>
  <c r="CL416" i="326"/>
  <c r="CM416" i="326"/>
  <c r="CL417" i="326"/>
  <c r="CM417" i="326"/>
  <c r="CL418" i="326"/>
  <c r="CM418" i="326"/>
  <c r="CL419" i="326"/>
  <c r="CM419" i="326"/>
  <c r="CL420" i="326"/>
  <c r="CM420" i="326"/>
  <c r="CL421" i="326"/>
  <c r="CM421" i="326"/>
  <c r="CL422" i="326"/>
  <c r="CM422" i="326"/>
  <c r="CL423" i="326"/>
  <c r="CM423" i="326"/>
  <c r="CL424" i="326"/>
  <c r="CM424" i="326"/>
  <c r="CL425" i="326"/>
  <c r="CM425" i="326"/>
  <c r="CL426" i="326"/>
  <c r="CM426" i="326"/>
  <c r="CL427" i="326"/>
  <c r="CM427" i="326"/>
  <c r="CL428" i="326"/>
  <c r="CM428" i="326"/>
  <c r="CL429" i="326"/>
  <c r="CM429" i="326"/>
  <c r="CL430" i="326"/>
  <c r="CM430" i="326"/>
  <c r="CL431" i="326"/>
  <c r="CM431" i="326"/>
  <c r="CL432" i="326"/>
  <c r="CM432" i="326"/>
  <c r="CL433" i="326"/>
  <c r="CM433" i="326"/>
  <c r="CL434" i="326"/>
  <c r="CM434" i="326"/>
  <c r="CL435" i="326"/>
  <c r="CM435" i="326"/>
  <c r="CL436" i="326"/>
  <c r="CM436" i="326"/>
  <c r="CL437" i="326"/>
  <c r="CM437" i="326"/>
  <c r="CL438" i="326"/>
  <c r="CM438" i="326"/>
  <c r="CL439" i="326"/>
  <c r="CM439" i="326"/>
  <c r="CL440" i="326"/>
  <c r="CM440" i="326"/>
  <c r="CL441" i="326"/>
  <c r="CM441" i="326"/>
  <c r="CL442" i="326"/>
  <c r="CM442" i="326"/>
  <c r="CL443" i="326"/>
  <c r="CM443" i="326"/>
  <c r="CL444" i="326"/>
  <c r="CM444" i="326"/>
  <c r="CL445" i="326"/>
  <c r="CM445" i="326"/>
  <c r="CL446" i="326"/>
  <c r="CM446" i="326"/>
  <c r="CL447" i="326"/>
  <c r="CM447" i="326"/>
  <c r="CL448" i="326"/>
  <c r="CM448" i="326"/>
  <c r="CL449" i="326"/>
  <c r="CM449" i="326"/>
  <c r="CL450" i="326"/>
  <c r="CM450" i="326"/>
  <c r="CL451" i="326"/>
  <c r="CM451" i="326"/>
  <c r="CL452" i="326"/>
  <c r="CM452" i="326"/>
  <c r="CL453" i="326"/>
  <c r="CM453" i="326"/>
  <c r="CL454" i="326"/>
  <c r="CM454" i="326"/>
  <c r="CL455" i="326"/>
  <c r="CM455" i="326"/>
  <c r="CL456" i="326"/>
  <c r="CM456" i="326"/>
  <c r="CL457" i="326"/>
  <c r="CM457" i="326"/>
  <c r="CL458" i="326"/>
  <c r="CM458" i="326"/>
  <c r="CL459" i="326"/>
  <c r="CM459" i="326"/>
  <c r="CL460" i="326"/>
  <c r="CM460" i="326"/>
  <c r="CL461" i="326"/>
  <c r="CM461" i="326"/>
  <c r="CL462" i="326"/>
  <c r="CM462" i="326"/>
  <c r="CL463" i="326"/>
  <c r="CM463" i="326"/>
  <c r="CL464" i="326"/>
  <c r="CM464" i="326"/>
  <c r="CL465" i="326"/>
  <c r="CM465" i="326"/>
  <c r="CL466" i="326"/>
  <c r="CM466" i="326"/>
  <c r="CL467" i="326"/>
  <c r="CM467" i="326"/>
  <c r="CL468" i="326"/>
  <c r="CM468" i="326"/>
  <c r="CL469" i="326"/>
  <c r="CM469" i="326"/>
  <c r="CL470" i="326"/>
  <c r="CM470" i="326"/>
  <c r="CL471" i="326"/>
  <c r="CM471" i="326"/>
  <c r="CL472" i="326"/>
  <c r="CM472" i="326"/>
  <c r="CL473" i="326"/>
  <c r="CM473" i="326"/>
  <c r="CL474" i="326"/>
  <c r="CM474" i="326"/>
  <c r="CL475" i="326"/>
  <c r="CM475" i="326"/>
  <c r="CL476" i="326"/>
  <c r="CM476" i="326"/>
  <c r="CL477" i="326"/>
  <c r="CM477" i="326"/>
  <c r="CL478" i="326"/>
  <c r="CM478" i="326"/>
  <c r="CL479" i="326"/>
  <c r="CM479" i="326"/>
  <c r="CL480" i="326"/>
  <c r="CM480" i="326"/>
  <c r="CL481" i="326"/>
  <c r="CM481" i="326"/>
  <c r="CL482" i="326"/>
  <c r="CM482" i="326"/>
  <c r="CL483" i="326"/>
  <c r="CM483" i="326"/>
  <c r="CL484" i="326"/>
  <c r="CM484" i="326"/>
  <c r="CL485" i="326"/>
  <c r="CM485" i="326"/>
  <c r="CL486" i="326"/>
  <c r="CM486" i="326"/>
  <c r="CL487" i="326"/>
  <c r="CM487" i="326"/>
  <c r="CL488" i="326"/>
  <c r="CM488" i="326"/>
  <c r="CL489" i="326"/>
  <c r="CM489" i="326"/>
  <c r="CL490" i="326"/>
  <c r="CM490" i="326"/>
  <c r="CL491" i="326"/>
  <c r="CM491" i="326"/>
  <c r="CL492" i="326"/>
  <c r="CM492" i="326"/>
  <c r="CL493" i="326"/>
  <c r="CM493" i="326"/>
  <c r="CL494" i="326"/>
  <c r="CM494" i="326"/>
  <c r="CL495" i="326"/>
  <c r="CM495" i="326"/>
  <c r="CL496" i="326"/>
  <c r="CM496" i="326"/>
  <c r="CL497" i="326"/>
  <c r="CM497" i="326"/>
  <c r="CL498" i="326"/>
  <c r="CM498" i="326"/>
  <c r="CL499" i="326"/>
  <c r="CM499" i="326"/>
  <c r="CL500" i="326"/>
  <c r="CM500" i="326"/>
  <c r="CL501" i="326"/>
  <c r="CM501" i="326"/>
  <c r="CL502" i="326"/>
  <c r="CM502" i="326"/>
  <c r="CL503" i="326"/>
  <c r="CM503" i="326"/>
  <c r="CL504" i="326"/>
  <c r="CM504" i="326"/>
  <c r="CL505" i="326"/>
  <c r="CM505" i="326"/>
  <c r="CL506" i="326"/>
  <c r="CM506" i="326"/>
  <c r="CL507" i="326"/>
  <c r="CM507" i="326"/>
  <c r="CL508" i="326"/>
  <c r="CM508" i="326"/>
  <c r="CL509" i="326"/>
  <c r="CM509" i="326"/>
  <c r="CL510" i="326"/>
  <c r="CM510" i="326"/>
  <c r="CL511" i="326"/>
  <c r="CM511" i="326"/>
  <c r="CL512" i="326"/>
  <c r="CM512" i="326"/>
  <c r="CL513" i="326"/>
  <c r="CM513" i="326"/>
  <c r="CL514" i="326"/>
  <c r="CM514" i="326"/>
  <c r="CL515" i="326"/>
  <c r="CM515" i="326"/>
  <c r="CL516" i="326"/>
  <c r="CM516" i="326"/>
  <c r="CL517" i="326"/>
  <c r="CM517" i="326"/>
  <c r="CL518" i="326"/>
  <c r="CM518" i="326"/>
  <c r="CL519" i="326"/>
  <c r="CM519" i="326"/>
  <c r="CL520" i="326"/>
  <c r="CM520" i="326"/>
  <c r="CL521" i="326"/>
  <c r="CM521" i="326"/>
  <c r="CL522" i="326"/>
  <c r="CM522" i="326"/>
  <c r="CL523" i="326"/>
  <c r="CM523" i="326"/>
  <c r="CL524" i="326"/>
  <c r="CM524" i="326"/>
  <c r="CL525" i="326"/>
  <c r="CM525" i="326"/>
  <c r="CL526" i="326"/>
  <c r="CM526" i="326"/>
  <c r="CL527" i="326"/>
  <c r="CM527" i="326"/>
  <c r="CL528" i="326"/>
  <c r="CM528" i="326"/>
  <c r="CL529" i="326"/>
  <c r="CM529" i="326"/>
  <c r="CL530" i="326"/>
  <c r="CM530" i="326"/>
  <c r="CL531" i="326"/>
  <c r="CM531" i="326"/>
  <c r="CL532" i="326"/>
  <c r="CM532" i="326"/>
  <c r="CL533" i="326"/>
  <c r="CM533" i="326"/>
  <c r="CL534" i="326"/>
  <c r="CM534" i="326"/>
  <c r="CL535" i="326"/>
  <c r="CM535" i="326"/>
  <c r="CL536" i="326"/>
  <c r="CM536" i="326"/>
  <c r="CL537" i="326"/>
  <c r="CM537" i="326"/>
  <c r="CL538" i="326"/>
  <c r="CM538" i="326"/>
  <c r="CL539" i="326"/>
  <c r="CM539" i="326"/>
  <c r="CL540" i="326"/>
  <c r="CM540" i="326"/>
  <c r="CL541" i="326"/>
  <c r="CM541" i="326"/>
  <c r="CL542" i="326"/>
  <c r="CM542" i="326"/>
  <c r="CL543" i="326"/>
  <c r="CM543" i="326"/>
  <c r="CL544" i="326"/>
  <c r="CM544" i="326"/>
  <c r="CL545" i="326"/>
  <c r="CM545" i="326"/>
  <c r="CL546" i="326"/>
  <c r="CM546" i="326"/>
  <c r="CL547" i="326"/>
  <c r="CM547" i="326"/>
  <c r="CL548" i="326"/>
  <c r="CM548" i="326"/>
  <c r="CL549" i="326"/>
  <c r="CM549" i="326"/>
  <c r="CL550" i="326"/>
  <c r="CM550" i="326"/>
  <c r="CL551" i="326"/>
  <c r="CM551" i="326"/>
  <c r="CL552" i="326"/>
  <c r="CM552" i="326"/>
  <c r="CL553" i="326"/>
  <c r="CM553" i="326"/>
  <c r="CL554" i="326"/>
  <c r="CM554" i="326"/>
  <c r="CL555" i="326"/>
  <c r="CM555" i="326"/>
  <c r="CL556" i="326"/>
  <c r="CM556" i="326"/>
  <c r="CL557" i="326"/>
  <c r="CM557" i="326"/>
  <c r="CL558" i="326"/>
  <c r="CM558" i="326"/>
  <c r="CL559" i="326"/>
  <c r="CM559" i="326"/>
  <c r="CL560" i="326"/>
  <c r="CM560" i="326"/>
  <c r="CL561" i="326"/>
  <c r="CM561" i="326"/>
  <c r="CL562" i="326"/>
  <c r="CM562" i="326"/>
  <c r="CL563" i="326"/>
  <c r="CM563" i="326"/>
  <c r="CL564" i="326"/>
  <c r="CM564" i="326"/>
  <c r="CL565" i="326"/>
  <c r="CM565" i="326"/>
  <c r="CL566" i="326"/>
  <c r="CM566" i="326"/>
  <c r="CL567" i="326"/>
  <c r="CM567" i="326"/>
  <c r="CL568" i="326"/>
  <c r="CM568" i="326"/>
  <c r="CL569" i="326"/>
  <c r="CM569" i="326"/>
  <c r="CL570" i="326"/>
  <c r="CM570" i="326"/>
  <c r="CL571" i="326"/>
  <c r="CM571" i="326"/>
  <c r="CL572" i="326"/>
  <c r="CM572" i="326"/>
  <c r="CL573" i="326"/>
  <c r="CM573" i="326"/>
  <c r="CL574" i="326"/>
  <c r="CM574" i="326"/>
  <c r="CL575" i="326"/>
  <c r="CM575" i="326"/>
  <c r="CL576" i="326"/>
  <c r="CM576" i="326"/>
  <c r="CL577" i="326"/>
  <c r="CM577" i="326"/>
  <c r="CL578" i="326"/>
  <c r="CM578" i="326"/>
  <c r="CL579" i="326"/>
  <c r="CM579" i="326"/>
  <c r="CL580" i="326"/>
  <c r="CM580" i="326"/>
  <c r="CL581" i="326"/>
  <c r="CM581" i="326"/>
  <c r="CL582" i="326"/>
  <c r="CM582" i="326"/>
  <c r="CL583" i="326"/>
  <c r="CM583" i="326"/>
  <c r="CL584" i="326"/>
  <c r="CM584" i="326"/>
  <c r="CL585" i="326"/>
  <c r="CM585" i="326"/>
  <c r="CL586" i="326"/>
  <c r="CM586" i="326"/>
  <c r="CL587" i="326"/>
  <c r="CM587" i="326"/>
  <c r="CL588" i="326"/>
  <c r="CM588" i="326"/>
  <c r="CL589" i="326"/>
  <c r="CM589" i="326"/>
  <c r="CL590" i="326"/>
  <c r="CM590" i="326"/>
  <c r="CL591" i="326"/>
  <c r="CM591" i="326"/>
  <c r="CL592" i="326"/>
  <c r="CM592" i="326"/>
  <c r="CL593" i="326"/>
  <c r="CM593" i="326"/>
  <c r="CL594" i="326"/>
  <c r="CM594" i="326"/>
  <c r="CL595" i="326"/>
  <c r="CM595" i="326"/>
  <c r="CL596" i="326"/>
  <c r="CM596" i="326"/>
  <c r="CL597" i="326"/>
  <c r="CM597" i="326"/>
  <c r="CL598" i="326"/>
  <c r="CM598" i="326"/>
  <c r="CL599" i="326"/>
  <c r="CM599" i="326"/>
  <c r="CL600" i="326"/>
  <c r="CM600" i="326"/>
  <c r="CM8" i="326"/>
  <c r="CL8" i="326"/>
  <c r="CD601" i="326"/>
  <c r="CE601" i="326"/>
  <c r="CF601" i="326"/>
  <c r="CG601" i="326"/>
  <c r="CH601" i="326"/>
  <c r="CD602" i="326"/>
  <c r="CE602" i="326"/>
  <c r="CF602" i="326"/>
  <c r="CG602" i="326"/>
  <c r="CH602" i="326"/>
  <c r="CD603" i="326"/>
  <c r="CE603" i="326"/>
  <c r="CF603" i="326"/>
  <c r="CG603" i="326"/>
  <c r="CH603" i="326"/>
  <c r="CD604" i="326"/>
  <c r="CE604" i="326"/>
  <c r="CF604" i="326"/>
  <c r="CG604" i="326"/>
  <c r="CH604" i="326"/>
  <c r="CD605" i="326"/>
  <c r="CE605" i="326"/>
  <c r="CF605" i="326"/>
  <c r="CG605" i="326"/>
  <c r="CH605" i="326"/>
  <c r="CD606" i="326"/>
  <c r="CE606" i="326"/>
  <c r="CF606" i="326"/>
  <c r="CG606" i="326"/>
  <c r="CH606" i="326"/>
  <c r="CD607" i="326"/>
  <c r="CE607" i="326"/>
  <c r="CF607" i="326"/>
  <c r="CG607" i="326"/>
  <c r="CH607" i="326"/>
  <c r="CD608" i="326"/>
  <c r="CE608" i="326"/>
  <c r="CF608" i="326"/>
  <c r="CG608" i="326"/>
  <c r="CH608" i="326"/>
  <c r="CD609" i="326"/>
  <c r="CE609" i="326"/>
  <c r="CF609" i="326"/>
  <c r="CG609" i="326"/>
  <c r="CH609" i="326"/>
  <c r="CD610" i="326"/>
  <c r="CE610" i="326"/>
  <c r="CF610" i="326"/>
  <c r="CG610" i="326"/>
  <c r="CH610" i="326"/>
  <c r="CD611" i="326"/>
  <c r="CE611" i="326"/>
  <c r="CF611" i="326"/>
  <c r="CG611" i="326"/>
  <c r="CH611" i="326"/>
  <c r="CD612" i="326"/>
  <c r="CE612" i="326"/>
  <c r="CF612" i="326"/>
  <c r="CG612" i="326"/>
  <c r="CH612" i="326"/>
  <c r="CD613" i="326"/>
  <c r="CE613" i="326"/>
  <c r="CF613" i="326"/>
  <c r="CG613" i="326"/>
  <c r="CH613" i="326"/>
  <c r="CD614" i="326"/>
  <c r="CE614" i="326"/>
  <c r="CF614" i="326"/>
  <c r="CG614" i="326"/>
  <c r="CH614" i="326"/>
  <c r="CD615" i="326"/>
  <c r="CE615" i="326"/>
  <c r="CF615" i="326"/>
  <c r="CG615" i="326"/>
  <c r="CH615" i="326"/>
  <c r="CD616" i="326"/>
  <c r="CE616" i="326"/>
  <c r="CF616" i="326"/>
  <c r="CG616" i="326"/>
  <c r="CH616" i="326"/>
  <c r="CD617" i="326"/>
  <c r="CE617" i="326"/>
  <c r="CF617" i="326"/>
  <c r="CG617" i="326"/>
  <c r="CH617" i="326"/>
  <c r="CD618" i="326"/>
  <c r="CE618" i="326"/>
  <c r="CF618" i="326"/>
  <c r="CG618" i="326"/>
  <c r="CH618" i="326"/>
  <c r="CD619" i="326"/>
  <c r="CE619" i="326"/>
  <c r="CF619" i="326"/>
  <c r="CG619" i="326"/>
  <c r="CH619" i="326"/>
  <c r="CD620" i="326"/>
  <c r="CE620" i="326"/>
  <c r="CF620" i="326"/>
  <c r="CG620" i="326"/>
  <c r="CH620" i="326"/>
  <c r="CD621" i="326"/>
  <c r="CE621" i="326"/>
  <c r="CF621" i="326"/>
  <c r="CG621" i="326"/>
  <c r="CH621" i="326"/>
  <c r="CD622" i="326"/>
  <c r="CE622" i="326"/>
  <c r="CF622" i="326"/>
  <c r="CG622" i="326"/>
  <c r="CH622" i="326"/>
  <c r="CD623" i="326"/>
  <c r="CE623" i="326"/>
  <c r="CF623" i="326"/>
  <c r="CG623" i="326"/>
  <c r="CH623" i="326"/>
  <c r="CD624" i="326"/>
  <c r="CE624" i="326"/>
  <c r="CF624" i="326"/>
  <c r="CG624" i="326"/>
  <c r="CH624" i="326"/>
  <c r="CD625" i="326"/>
  <c r="CE625" i="326"/>
  <c r="CF625" i="326"/>
  <c r="CG625" i="326"/>
  <c r="CH625" i="326"/>
  <c r="CD626" i="326"/>
  <c r="CE626" i="326"/>
  <c r="CF626" i="326"/>
  <c r="CG626" i="326"/>
  <c r="CH626" i="326"/>
  <c r="CD627" i="326"/>
  <c r="CE627" i="326"/>
  <c r="CF627" i="326"/>
  <c r="CG627" i="326"/>
  <c r="CH627" i="326"/>
  <c r="CD628" i="326"/>
  <c r="CE628" i="326"/>
  <c r="CF628" i="326"/>
  <c r="CG628" i="326"/>
  <c r="CH628" i="326"/>
  <c r="CD629" i="326"/>
  <c r="CE629" i="326"/>
  <c r="CF629" i="326"/>
  <c r="CG629" i="326"/>
  <c r="CH629" i="326"/>
  <c r="CD630" i="326"/>
  <c r="CE630" i="326"/>
  <c r="CF630" i="326"/>
  <c r="CG630" i="326"/>
  <c r="CH630" i="326"/>
  <c r="CD631" i="326"/>
  <c r="CE631" i="326"/>
  <c r="CF631" i="326"/>
  <c r="CG631" i="326"/>
  <c r="CH631" i="326"/>
  <c r="CD632" i="326"/>
  <c r="CE632" i="326"/>
  <c r="CF632" i="326"/>
  <c r="CG632" i="326"/>
  <c r="CH632" i="326"/>
  <c r="CD633" i="326"/>
  <c r="CE633" i="326"/>
  <c r="CF633" i="326"/>
  <c r="CG633" i="326"/>
  <c r="CH633" i="326"/>
  <c r="CD634" i="326"/>
  <c r="CE634" i="326"/>
  <c r="CF634" i="326"/>
  <c r="CG634" i="326"/>
  <c r="CH634" i="326"/>
  <c r="CD635" i="326"/>
  <c r="CE635" i="326"/>
  <c r="CF635" i="326"/>
  <c r="CG635" i="326"/>
  <c r="CH635" i="326"/>
  <c r="CD636" i="326"/>
  <c r="CE636" i="326"/>
  <c r="CF636" i="326"/>
  <c r="CG636" i="326"/>
  <c r="CH636" i="326"/>
  <c r="CD637" i="326"/>
  <c r="CE637" i="326"/>
  <c r="CF637" i="326"/>
  <c r="CG637" i="326"/>
  <c r="CH637" i="326"/>
  <c r="CD638" i="326"/>
  <c r="CE638" i="326"/>
  <c r="CF638" i="326"/>
  <c r="CG638" i="326"/>
  <c r="CH638" i="326"/>
  <c r="CD639" i="326"/>
  <c r="CE639" i="326"/>
  <c r="CF639" i="326"/>
  <c r="CG639" i="326"/>
  <c r="CH639" i="326"/>
  <c r="CD640" i="326"/>
  <c r="CE640" i="326"/>
  <c r="CF640" i="326"/>
  <c r="CG640" i="326"/>
  <c r="CH640" i="326"/>
  <c r="CD641" i="326"/>
  <c r="CE641" i="326"/>
  <c r="CF641" i="326"/>
  <c r="CG641" i="326"/>
  <c r="CH641" i="326"/>
  <c r="CD642" i="326"/>
  <c r="CE642" i="326"/>
  <c r="CF642" i="326"/>
  <c r="CG642" i="326"/>
  <c r="CH642" i="326"/>
  <c r="CD643" i="326"/>
  <c r="CE643" i="326"/>
  <c r="CF643" i="326"/>
  <c r="CG643" i="326"/>
  <c r="CH643" i="326"/>
  <c r="CD644" i="326"/>
  <c r="CE644" i="326"/>
  <c r="CF644" i="326"/>
  <c r="CG644" i="326"/>
  <c r="CH644" i="326"/>
  <c r="CD645" i="326"/>
  <c r="CE645" i="326"/>
  <c r="CF645" i="326"/>
  <c r="CG645" i="326"/>
  <c r="CH645" i="326"/>
  <c r="CD646" i="326"/>
  <c r="CE646" i="326"/>
  <c r="CF646" i="326"/>
  <c r="CG646" i="326"/>
  <c r="CH646" i="326"/>
  <c r="CD647" i="326"/>
  <c r="CE647" i="326"/>
  <c r="CF647" i="326"/>
  <c r="CG647" i="326"/>
  <c r="CH647" i="326"/>
  <c r="CD648" i="326"/>
  <c r="CE648" i="326"/>
  <c r="CF648" i="326"/>
  <c r="CG648" i="326"/>
  <c r="CH648" i="326"/>
  <c r="CD649" i="326"/>
  <c r="CE649" i="326"/>
  <c r="CF649" i="326"/>
  <c r="CG649" i="326"/>
  <c r="CH649" i="326"/>
  <c r="CD650" i="326"/>
  <c r="CE650" i="326"/>
  <c r="CF650" i="326"/>
  <c r="CG650" i="326"/>
  <c r="CH650" i="326"/>
  <c r="CD651" i="326"/>
  <c r="CE651" i="326"/>
  <c r="CF651" i="326"/>
  <c r="CG651" i="326"/>
  <c r="CH651" i="326"/>
  <c r="CD652" i="326"/>
  <c r="CE652" i="326"/>
  <c r="CF652" i="326"/>
  <c r="CG652" i="326"/>
  <c r="CH652" i="326"/>
  <c r="CD653" i="326"/>
  <c r="CE653" i="326"/>
  <c r="CF653" i="326"/>
  <c r="CG653" i="326"/>
  <c r="CH653" i="326"/>
  <c r="CD654" i="326"/>
  <c r="CE654" i="326"/>
  <c r="CF654" i="326"/>
  <c r="CG654" i="326"/>
  <c r="CH654" i="326"/>
  <c r="CD655" i="326"/>
  <c r="CE655" i="326"/>
  <c r="CF655" i="326"/>
  <c r="CG655" i="326"/>
  <c r="CH655" i="326"/>
  <c r="CD656" i="326"/>
  <c r="CE656" i="326"/>
  <c r="CF656" i="326"/>
  <c r="CG656" i="326"/>
  <c r="CH656" i="326"/>
  <c r="CD657" i="326"/>
  <c r="CE657" i="326"/>
  <c r="CF657" i="326"/>
  <c r="CG657" i="326"/>
  <c r="CH657" i="326"/>
  <c r="CD658" i="326"/>
  <c r="CE658" i="326"/>
  <c r="CF658" i="326"/>
  <c r="CG658" i="326"/>
  <c r="CH658" i="326"/>
  <c r="CD659" i="326"/>
  <c r="CE659" i="326"/>
  <c r="CF659" i="326"/>
  <c r="CG659" i="326"/>
  <c r="CH659" i="326"/>
  <c r="CD660" i="326"/>
  <c r="CE660" i="326"/>
  <c r="CF660" i="326"/>
  <c r="CG660" i="326"/>
  <c r="CH660" i="326"/>
  <c r="CD661" i="326"/>
  <c r="CE661" i="326"/>
  <c r="CF661" i="326"/>
  <c r="CG661" i="326"/>
  <c r="CH661" i="326"/>
  <c r="CD662" i="326"/>
  <c r="CE662" i="326"/>
  <c r="CF662" i="326"/>
  <c r="CG662" i="326"/>
  <c r="CH662" i="326"/>
  <c r="CD663" i="326"/>
  <c r="CE663" i="326"/>
  <c r="CF663" i="326"/>
  <c r="CG663" i="326"/>
  <c r="CH663" i="326"/>
  <c r="CD664" i="326"/>
  <c r="CE664" i="326"/>
  <c r="CF664" i="326"/>
  <c r="CG664" i="326"/>
  <c r="CH664" i="326"/>
  <c r="CD665" i="326"/>
  <c r="CE665" i="326"/>
  <c r="CF665" i="326"/>
  <c r="CG665" i="326"/>
  <c r="CH665" i="326"/>
  <c r="CD666" i="326"/>
  <c r="CE666" i="326"/>
  <c r="CF666" i="326"/>
  <c r="CG666" i="326"/>
  <c r="CH666" i="326"/>
  <c r="CD667" i="326"/>
  <c r="CE667" i="326"/>
  <c r="CF667" i="326"/>
  <c r="CG667" i="326"/>
  <c r="CH667" i="326"/>
  <c r="CD668" i="326"/>
  <c r="CE668" i="326"/>
  <c r="CF668" i="326"/>
  <c r="CG668" i="326"/>
  <c r="CH668" i="326"/>
  <c r="CD669" i="326"/>
  <c r="CE669" i="326"/>
  <c r="CF669" i="326"/>
  <c r="CG669" i="326"/>
  <c r="CH669" i="326"/>
  <c r="CD670" i="326"/>
  <c r="CE670" i="326"/>
  <c r="CF670" i="326"/>
  <c r="CG670" i="326"/>
  <c r="CH670" i="326"/>
  <c r="CD9" i="326"/>
  <c r="CE9" i="326"/>
  <c r="CF9" i="326"/>
  <c r="CG9" i="326"/>
  <c r="CH9" i="326"/>
  <c r="CD10" i="326"/>
  <c r="CE10" i="326"/>
  <c r="CF10" i="326"/>
  <c r="CG10" i="326"/>
  <c r="CH10" i="326"/>
  <c r="CD11" i="326"/>
  <c r="CE11" i="326"/>
  <c r="CF11" i="326"/>
  <c r="CG11" i="326"/>
  <c r="CH11" i="326"/>
  <c r="CD12" i="326"/>
  <c r="CE12" i="326"/>
  <c r="CF12" i="326"/>
  <c r="CG12" i="326"/>
  <c r="CH12" i="326"/>
  <c r="CD13" i="326"/>
  <c r="CE13" i="326"/>
  <c r="CF13" i="326"/>
  <c r="CG13" i="326"/>
  <c r="CH13" i="326"/>
  <c r="CD14" i="326"/>
  <c r="CE14" i="326"/>
  <c r="CF14" i="326"/>
  <c r="CG14" i="326"/>
  <c r="CH14" i="326"/>
  <c r="CD15" i="326"/>
  <c r="CE15" i="326"/>
  <c r="CF15" i="326"/>
  <c r="CG15" i="326"/>
  <c r="CH15" i="326"/>
  <c r="CD16" i="326"/>
  <c r="CE16" i="326"/>
  <c r="CF16" i="326"/>
  <c r="CG16" i="326"/>
  <c r="CH16" i="326"/>
  <c r="CD17" i="326"/>
  <c r="CE17" i="326"/>
  <c r="CF17" i="326"/>
  <c r="CG17" i="326"/>
  <c r="CH17" i="326"/>
  <c r="CD18" i="326"/>
  <c r="CE18" i="326"/>
  <c r="CF18" i="326"/>
  <c r="CG18" i="326"/>
  <c r="CH18" i="326"/>
  <c r="CD19" i="326"/>
  <c r="CE19" i="326"/>
  <c r="CF19" i="326"/>
  <c r="CG19" i="326"/>
  <c r="CH19" i="326"/>
  <c r="CD20" i="326"/>
  <c r="CE20" i="326"/>
  <c r="CF20" i="326"/>
  <c r="CG20" i="326"/>
  <c r="CH20" i="326"/>
  <c r="CD21" i="326"/>
  <c r="CE21" i="326"/>
  <c r="CF21" i="326"/>
  <c r="CG21" i="326"/>
  <c r="CH21" i="326"/>
  <c r="CD22" i="326"/>
  <c r="CE22" i="326"/>
  <c r="CF22" i="326"/>
  <c r="CG22" i="326"/>
  <c r="CH22" i="326"/>
  <c r="CD23" i="326"/>
  <c r="CE23" i="326"/>
  <c r="CF23" i="326"/>
  <c r="CG23" i="326"/>
  <c r="CH23" i="326"/>
  <c r="CD24" i="326"/>
  <c r="CE24" i="326"/>
  <c r="CF24" i="326"/>
  <c r="CG24" i="326"/>
  <c r="CH24" i="326"/>
  <c r="CD25" i="326"/>
  <c r="CE25" i="326"/>
  <c r="CF25" i="326"/>
  <c r="CG25" i="326"/>
  <c r="CH25" i="326"/>
  <c r="CD26" i="326"/>
  <c r="CE26" i="326"/>
  <c r="CF26" i="326"/>
  <c r="CG26" i="326"/>
  <c r="CH26" i="326"/>
  <c r="CD27" i="326"/>
  <c r="CE27" i="326"/>
  <c r="CF27" i="326"/>
  <c r="CG27" i="326"/>
  <c r="CH27" i="326"/>
  <c r="CD28" i="326"/>
  <c r="CE28" i="326"/>
  <c r="CF28" i="326"/>
  <c r="CG28" i="326"/>
  <c r="CH28" i="326"/>
  <c r="CD29" i="326"/>
  <c r="CE29" i="326"/>
  <c r="CF29" i="326"/>
  <c r="CG29" i="326"/>
  <c r="CH29" i="326"/>
  <c r="CD30" i="326"/>
  <c r="CE30" i="326"/>
  <c r="CF30" i="326"/>
  <c r="CG30" i="326"/>
  <c r="CH30" i="326"/>
  <c r="CD31" i="326"/>
  <c r="CE31" i="326"/>
  <c r="CF31" i="326"/>
  <c r="CG31" i="326"/>
  <c r="CH31" i="326"/>
  <c r="CD32" i="326"/>
  <c r="CE32" i="326"/>
  <c r="CF32" i="326"/>
  <c r="CG32" i="326"/>
  <c r="CH32" i="326"/>
  <c r="CD33" i="326"/>
  <c r="CE33" i="326"/>
  <c r="CF33" i="326"/>
  <c r="CG33" i="326"/>
  <c r="CH33" i="326"/>
  <c r="CD34" i="326"/>
  <c r="CE34" i="326"/>
  <c r="CF34" i="326"/>
  <c r="CG34" i="326"/>
  <c r="CH34" i="326"/>
  <c r="CD35" i="326"/>
  <c r="CE35" i="326"/>
  <c r="CF35" i="326"/>
  <c r="CG35" i="326"/>
  <c r="CH35" i="326"/>
  <c r="CD36" i="326"/>
  <c r="CE36" i="326"/>
  <c r="CF36" i="326"/>
  <c r="CG36" i="326"/>
  <c r="CH36" i="326"/>
  <c r="CD37" i="326"/>
  <c r="CE37" i="326"/>
  <c r="CF37" i="326"/>
  <c r="CG37" i="326"/>
  <c r="CH37" i="326"/>
  <c r="CD38" i="326"/>
  <c r="CE38" i="326"/>
  <c r="CF38" i="326"/>
  <c r="CG38" i="326"/>
  <c r="CH38" i="326"/>
  <c r="CD39" i="326"/>
  <c r="CE39" i="326"/>
  <c r="CF39" i="326"/>
  <c r="CG39" i="326"/>
  <c r="CH39" i="326"/>
  <c r="CD40" i="326"/>
  <c r="CE40" i="326"/>
  <c r="CF40" i="326"/>
  <c r="CG40" i="326"/>
  <c r="CH40" i="326"/>
  <c r="CD41" i="326"/>
  <c r="CE41" i="326"/>
  <c r="CF41" i="326"/>
  <c r="CG41" i="326"/>
  <c r="CH41" i="326"/>
  <c r="CD42" i="326"/>
  <c r="CE42" i="326"/>
  <c r="CF42" i="326"/>
  <c r="CG42" i="326"/>
  <c r="CH42" i="326"/>
  <c r="CD43" i="326"/>
  <c r="CE43" i="326"/>
  <c r="CF43" i="326"/>
  <c r="CG43" i="326"/>
  <c r="CH43" i="326"/>
  <c r="CD44" i="326"/>
  <c r="CE44" i="326"/>
  <c r="CF44" i="326"/>
  <c r="CG44" i="326"/>
  <c r="CH44" i="326"/>
  <c r="CD45" i="326"/>
  <c r="CE45" i="326"/>
  <c r="CF45" i="326"/>
  <c r="CG45" i="326"/>
  <c r="CH45" i="326"/>
  <c r="CD46" i="326"/>
  <c r="CE46" i="326"/>
  <c r="CF46" i="326"/>
  <c r="CG46" i="326"/>
  <c r="CH46" i="326"/>
  <c r="CD47" i="326"/>
  <c r="CE47" i="326"/>
  <c r="CF47" i="326"/>
  <c r="CG47" i="326"/>
  <c r="CH47" i="326"/>
  <c r="CD48" i="326"/>
  <c r="CE48" i="326"/>
  <c r="CF48" i="326"/>
  <c r="CG48" i="326"/>
  <c r="CH48" i="326"/>
  <c r="CD49" i="326"/>
  <c r="CE49" i="326"/>
  <c r="CF49" i="326"/>
  <c r="CG49" i="326"/>
  <c r="CH49" i="326"/>
  <c r="CD50" i="326"/>
  <c r="CE50" i="326"/>
  <c r="CF50" i="326"/>
  <c r="CG50" i="326"/>
  <c r="CH50" i="326"/>
  <c r="CD51" i="326"/>
  <c r="CE51" i="326"/>
  <c r="CF51" i="326"/>
  <c r="CG51" i="326"/>
  <c r="CH51" i="326"/>
  <c r="CD52" i="326"/>
  <c r="CE52" i="326"/>
  <c r="CF52" i="326"/>
  <c r="CG52" i="326"/>
  <c r="CH52" i="326"/>
  <c r="CD53" i="326"/>
  <c r="CE53" i="326"/>
  <c r="CF53" i="326"/>
  <c r="CG53" i="326"/>
  <c r="CH53" i="326"/>
  <c r="CD54" i="326"/>
  <c r="CE54" i="326"/>
  <c r="CF54" i="326"/>
  <c r="CG54" i="326"/>
  <c r="CH54" i="326"/>
  <c r="CD55" i="326"/>
  <c r="CE55" i="326"/>
  <c r="CF55" i="326"/>
  <c r="CG55" i="326"/>
  <c r="CH55" i="326"/>
  <c r="CD56" i="326"/>
  <c r="CE56" i="326"/>
  <c r="CF56" i="326"/>
  <c r="CG56" i="326"/>
  <c r="CH56" i="326"/>
  <c r="CD57" i="326"/>
  <c r="CE57" i="326"/>
  <c r="CF57" i="326"/>
  <c r="CG57" i="326"/>
  <c r="CH57" i="326"/>
  <c r="CD58" i="326"/>
  <c r="CE58" i="326"/>
  <c r="CF58" i="326"/>
  <c r="CG58" i="326"/>
  <c r="CH58" i="326"/>
  <c r="CD59" i="326"/>
  <c r="CE59" i="326"/>
  <c r="CF59" i="326"/>
  <c r="CG59" i="326"/>
  <c r="CH59" i="326"/>
  <c r="CD60" i="326"/>
  <c r="CE60" i="326"/>
  <c r="CF60" i="326"/>
  <c r="CG60" i="326"/>
  <c r="CH60" i="326"/>
  <c r="CD61" i="326"/>
  <c r="CE61" i="326"/>
  <c r="CF61" i="326"/>
  <c r="CG61" i="326"/>
  <c r="CH61" i="326"/>
  <c r="CD62" i="326"/>
  <c r="CE62" i="326"/>
  <c r="CF62" i="326"/>
  <c r="CG62" i="326"/>
  <c r="CH62" i="326"/>
  <c r="CD63" i="326"/>
  <c r="CE63" i="326"/>
  <c r="CF63" i="326"/>
  <c r="CG63" i="326"/>
  <c r="CH63" i="326"/>
  <c r="CD64" i="326"/>
  <c r="CE64" i="326"/>
  <c r="CF64" i="326"/>
  <c r="CG64" i="326"/>
  <c r="CH64" i="326"/>
  <c r="CD65" i="326"/>
  <c r="CE65" i="326"/>
  <c r="CF65" i="326"/>
  <c r="CG65" i="326"/>
  <c r="CH65" i="326"/>
  <c r="CD66" i="326"/>
  <c r="CE66" i="326"/>
  <c r="CF66" i="326"/>
  <c r="CG66" i="326"/>
  <c r="CH66" i="326"/>
  <c r="CD67" i="326"/>
  <c r="CE67" i="326"/>
  <c r="CF67" i="326"/>
  <c r="CG67" i="326"/>
  <c r="CH67" i="326"/>
  <c r="CD68" i="326"/>
  <c r="CE68" i="326"/>
  <c r="CF68" i="326"/>
  <c r="CG68" i="326"/>
  <c r="CH68" i="326"/>
  <c r="CD69" i="326"/>
  <c r="CE69" i="326"/>
  <c r="CF69" i="326"/>
  <c r="CG69" i="326"/>
  <c r="CH69" i="326"/>
  <c r="CD70" i="326"/>
  <c r="CE70" i="326"/>
  <c r="CF70" i="326"/>
  <c r="CG70" i="326"/>
  <c r="CH70" i="326"/>
  <c r="CD71" i="326"/>
  <c r="CE71" i="326"/>
  <c r="CF71" i="326"/>
  <c r="CG71" i="326"/>
  <c r="CH71" i="326"/>
  <c r="CD72" i="326"/>
  <c r="CE72" i="326"/>
  <c r="CF72" i="326"/>
  <c r="CG72" i="326"/>
  <c r="CH72" i="326"/>
  <c r="CD73" i="326"/>
  <c r="CE73" i="326"/>
  <c r="CF73" i="326"/>
  <c r="CG73" i="326"/>
  <c r="CH73" i="326"/>
  <c r="CD74" i="326"/>
  <c r="CE74" i="326"/>
  <c r="CF74" i="326"/>
  <c r="CG74" i="326"/>
  <c r="CH74" i="326"/>
  <c r="CD75" i="326"/>
  <c r="CE75" i="326"/>
  <c r="CF75" i="326"/>
  <c r="CG75" i="326"/>
  <c r="CH75" i="326"/>
  <c r="CD76" i="326"/>
  <c r="CE76" i="326"/>
  <c r="CF76" i="326"/>
  <c r="CG76" i="326"/>
  <c r="CH76" i="326"/>
  <c r="CD77" i="326"/>
  <c r="CE77" i="326"/>
  <c r="CF77" i="326"/>
  <c r="CG77" i="326"/>
  <c r="CH77" i="326"/>
  <c r="CD78" i="326"/>
  <c r="CE78" i="326"/>
  <c r="CF78" i="326"/>
  <c r="CG78" i="326"/>
  <c r="CH78" i="326"/>
  <c r="CD79" i="326"/>
  <c r="CE79" i="326"/>
  <c r="CF79" i="326"/>
  <c r="CG79" i="326"/>
  <c r="CH79" i="326"/>
  <c r="CD80" i="326"/>
  <c r="CE80" i="326"/>
  <c r="CF80" i="326"/>
  <c r="CG80" i="326"/>
  <c r="CH80" i="326"/>
  <c r="CD81" i="326"/>
  <c r="CE81" i="326"/>
  <c r="CF81" i="326"/>
  <c r="CG81" i="326"/>
  <c r="CH81" i="326"/>
  <c r="CD82" i="326"/>
  <c r="CE82" i="326"/>
  <c r="CF82" i="326"/>
  <c r="CG82" i="326"/>
  <c r="CH82" i="326"/>
  <c r="CD83" i="326"/>
  <c r="CE83" i="326"/>
  <c r="CF83" i="326"/>
  <c r="CG83" i="326"/>
  <c r="CH83" i="326"/>
  <c r="CD84" i="326"/>
  <c r="CE84" i="326"/>
  <c r="CF84" i="326"/>
  <c r="CG84" i="326"/>
  <c r="CH84" i="326"/>
  <c r="CD85" i="326"/>
  <c r="CE85" i="326"/>
  <c r="CF85" i="326"/>
  <c r="CG85" i="326"/>
  <c r="CH85" i="326"/>
  <c r="CD86" i="326"/>
  <c r="CE86" i="326"/>
  <c r="CF86" i="326"/>
  <c r="CG86" i="326"/>
  <c r="CH86" i="326"/>
  <c r="CD87" i="326"/>
  <c r="CE87" i="326"/>
  <c r="CF87" i="326"/>
  <c r="CG87" i="326"/>
  <c r="CH87" i="326"/>
  <c r="CD88" i="326"/>
  <c r="CE88" i="326"/>
  <c r="CF88" i="326"/>
  <c r="CG88" i="326"/>
  <c r="CH88" i="326"/>
  <c r="CD89" i="326"/>
  <c r="CE89" i="326"/>
  <c r="CF89" i="326"/>
  <c r="CG89" i="326"/>
  <c r="CH89" i="326"/>
  <c r="CD90" i="326"/>
  <c r="CE90" i="326"/>
  <c r="CF90" i="326"/>
  <c r="CG90" i="326"/>
  <c r="CH90" i="326"/>
  <c r="CD91" i="326"/>
  <c r="CE91" i="326"/>
  <c r="CF91" i="326"/>
  <c r="CG91" i="326"/>
  <c r="CH91" i="326"/>
  <c r="CD92" i="326"/>
  <c r="CE92" i="326"/>
  <c r="CF92" i="326"/>
  <c r="CG92" i="326"/>
  <c r="CH92" i="326"/>
  <c r="CD93" i="326"/>
  <c r="CE93" i="326"/>
  <c r="CF93" i="326"/>
  <c r="CG93" i="326"/>
  <c r="CH93" i="326"/>
  <c r="CD94" i="326"/>
  <c r="CE94" i="326"/>
  <c r="CF94" i="326"/>
  <c r="CG94" i="326"/>
  <c r="CH94" i="326"/>
  <c r="CD95" i="326"/>
  <c r="CE95" i="326"/>
  <c r="CF95" i="326"/>
  <c r="CG95" i="326"/>
  <c r="CH95" i="326"/>
  <c r="CD96" i="326"/>
  <c r="CE96" i="326"/>
  <c r="CF96" i="326"/>
  <c r="CG96" i="326"/>
  <c r="CH96" i="326"/>
  <c r="CD97" i="326"/>
  <c r="CE97" i="326"/>
  <c r="CF97" i="326"/>
  <c r="CG97" i="326"/>
  <c r="CH97" i="326"/>
  <c r="CD98" i="326"/>
  <c r="CE98" i="326"/>
  <c r="CF98" i="326"/>
  <c r="CG98" i="326"/>
  <c r="CH98" i="326"/>
  <c r="CD99" i="326"/>
  <c r="CE99" i="326"/>
  <c r="CF99" i="326"/>
  <c r="CG99" i="326"/>
  <c r="CH99" i="326"/>
  <c r="CD100" i="326"/>
  <c r="CE100" i="326"/>
  <c r="CF100" i="326"/>
  <c r="CG100" i="326"/>
  <c r="CH100" i="326"/>
  <c r="CD101" i="326"/>
  <c r="CE101" i="326"/>
  <c r="CF101" i="326"/>
  <c r="CG101" i="326"/>
  <c r="CH101" i="326"/>
  <c r="CD102" i="326"/>
  <c r="CE102" i="326"/>
  <c r="CF102" i="326"/>
  <c r="CG102" i="326"/>
  <c r="CH102" i="326"/>
  <c r="CD103" i="326"/>
  <c r="CE103" i="326"/>
  <c r="CF103" i="326"/>
  <c r="CG103" i="326"/>
  <c r="CH103" i="326"/>
  <c r="CD104" i="326"/>
  <c r="CE104" i="326"/>
  <c r="CF104" i="326"/>
  <c r="CG104" i="326"/>
  <c r="CH104" i="326"/>
  <c r="CD105" i="326"/>
  <c r="CE105" i="326"/>
  <c r="CF105" i="326"/>
  <c r="CG105" i="326"/>
  <c r="CH105" i="326"/>
  <c r="CD106" i="326"/>
  <c r="CE106" i="326"/>
  <c r="CF106" i="326"/>
  <c r="CG106" i="326"/>
  <c r="CH106" i="326"/>
  <c r="CD107" i="326"/>
  <c r="CE107" i="326"/>
  <c r="CF107" i="326"/>
  <c r="CG107" i="326"/>
  <c r="CH107" i="326"/>
  <c r="CD108" i="326"/>
  <c r="CE108" i="326"/>
  <c r="CF108" i="326"/>
  <c r="CG108" i="326"/>
  <c r="CH108" i="326"/>
  <c r="CD109" i="326"/>
  <c r="CE109" i="326"/>
  <c r="CF109" i="326"/>
  <c r="CG109" i="326"/>
  <c r="CH109" i="326"/>
  <c r="CD110" i="326"/>
  <c r="CE110" i="326"/>
  <c r="CF110" i="326"/>
  <c r="CG110" i="326"/>
  <c r="CH110" i="326"/>
  <c r="CD111" i="326"/>
  <c r="CE111" i="326"/>
  <c r="CF111" i="326"/>
  <c r="CG111" i="326"/>
  <c r="CH111" i="326"/>
  <c r="CD112" i="326"/>
  <c r="CE112" i="326"/>
  <c r="CF112" i="326"/>
  <c r="CG112" i="326"/>
  <c r="CH112" i="326"/>
  <c r="CD113" i="326"/>
  <c r="CE113" i="326"/>
  <c r="CF113" i="326"/>
  <c r="CG113" i="326"/>
  <c r="CH113" i="326"/>
  <c r="CD114" i="326"/>
  <c r="CE114" i="326"/>
  <c r="CF114" i="326"/>
  <c r="CG114" i="326"/>
  <c r="CH114" i="326"/>
  <c r="CD115" i="326"/>
  <c r="CE115" i="326"/>
  <c r="CF115" i="326"/>
  <c r="CG115" i="326"/>
  <c r="CH115" i="326"/>
  <c r="CD116" i="326"/>
  <c r="CE116" i="326"/>
  <c r="CF116" i="326"/>
  <c r="CG116" i="326"/>
  <c r="CH116" i="326"/>
  <c r="CD117" i="326"/>
  <c r="CE117" i="326"/>
  <c r="CF117" i="326"/>
  <c r="CG117" i="326"/>
  <c r="CH117" i="326"/>
  <c r="CD118" i="326"/>
  <c r="CE118" i="326"/>
  <c r="CF118" i="326"/>
  <c r="CG118" i="326"/>
  <c r="CH118" i="326"/>
  <c r="CD119" i="326"/>
  <c r="CE119" i="326"/>
  <c r="CF119" i="326"/>
  <c r="CG119" i="326"/>
  <c r="CH119" i="326"/>
  <c r="CD120" i="326"/>
  <c r="CE120" i="326"/>
  <c r="CF120" i="326"/>
  <c r="CG120" i="326"/>
  <c r="CH120" i="326"/>
  <c r="CD121" i="326"/>
  <c r="CE121" i="326"/>
  <c r="CF121" i="326"/>
  <c r="CG121" i="326"/>
  <c r="CH121" i="326"/>
  <c r="CD122" i="326"/>
  <c r="CE122" i="326"/>
  <c r="CF122" i="326"/>
  <c r="CG122" i="326"/>
  <c r="CH122" i="326"/>
  <c r="CD123" i="326"/>
  <c r="CE123" i="326"/>
  <c r="CF123" i="326"/>
  <c r="CG123" i="326"/>
  <c r="CH123" i="326"/>
  <c r="CD124" i="326"/>
  <c r="CE124" i="326"/>
  <c r="CF124" i="326"/>
  <c r="CG124" i="326"/>
  <c r="CH124" i="326"/>
  <c r="CD125" i="326"/>
  <c r="CE125" i="326"/>
  <c r="CF125" i="326"/>
  <c r="CG125" i="326"/>
  <c r="CH125" i="326"/>
  <c r="CD126" i="326"/>
  <c r="CE126" i="326"/>
  <c r="CF126" i="326"/>
  <c r="CG126" i="326"/>
  <c r="CH126" i="326"/>
  <c r="CD127" i="326"/>
  <c r="CE127" i="326"/>
  <c r="CF127" i="326"/>
  <c r="CG127" i="326"/>
  <c r="CH127" i="326"/>
  <c r="CD128" i="326"/>
  <c r="CE128" i="326"/>
  <c r="CF128" i="326"/>
  <c r="CG128" i="326"/>
  <c r="CH128" i="326"/>
  <c r="CD129" i="326"/>
  <c r="CE129" i="326"/>
  <c r="CF129" i="326"/>
  <c r="CG129" i="326"/>
  <c r="CH129" i="326"/>
  <c r="CD130" i="326"/>
  <c r="CE130" i="326"/>
  <c r="CF130" i="326"/>
  <c r="CG130" i="326"/>
  <c r="CH130" i="326"/>
  <c r="CD131" i="326"/>
  <c r="CE131" i="326"/>
  <c r="CF131" i="326"/>
  <c r="CG131" i="326"/>
  <c r="CH131" i="326"/>
  <c r="CD132" i="326"/>
  <c r="CE132" i="326"/>
  <c r="CF132" i="326"/>
  <c r="CG132" i="326"/>
  <c r="CH132" i="326"/>
  <c r="CD133" i="326"/>
  <c r="CE133" i="326"/>
  <c r="CF133" i="326"/>
  <c r="CG133" i="326"/>
  <c r="CH133" i="326"/>
  <c r="CD134" i="326"/>
  <c r="CE134" i="326"/>
  <c r="CF134" i="326"/>
  <c r="CG134" i="326"/>
  <c r="CH134" i="326"/>
  <c r="CD135" i="326"/>
  <c r="CE135" i="326"/>
  <c r="CF135" i="326"/>
  <c r="CG135" i="326"/>
  <c r="CH135" i="326"/>
  <c r="CD136" i="326"/>
  <c r="CE136" i="326"/>
  <c r="CF136" i="326"/>
  <c r="CG136" i="326"/>
  <c r="CH136" i="326"/>
  <c r="CD137" i="326"/>
  <c r="CE137" i="326"/>
  <c r="CF137" i="326"/>
  <c r="CG137" i="326"/>
  <c r="CH137" i="326"/>
  <c r="CD138" i="326"/>
  <c r="CE138" i="326"/>
  <c r="CF138" i="326"/>
  <c r="CG138" i="326"/>
  <c r="CH138" i="326"/>
  <c r="CD139" i="326"/>
  <c r="CE139" i="326"/>
  <c r="CF139" i="326"/>
  <c r="CG139" i="326"/>
  <c r="CH139" i="326"/>
  <c r="CD140" i="326"/>
  <c r="CE140" i="326"/>
  <c r="CF140" i="326"/>
  <c r="CG140" i="326"/>
  <c r="CH140" i="326"/>
  <c r="CD141" i="326"/>
  <c r="CE141" i="326"/>
  <c r="CF141" i="326"/>
  <c r="CG141" i="326"/>
  <c r="CH141" i="326"/>
  <c r="CD142" i="326"/>
  <c r="CE142" i="326"/>
  <c r="CF142" i="326"/>
  <c r="CG142" i="326"/>
  <c r="CH142" i="326"/>
  <c r="CD143" i="326"/>
  <c r="CE143" i="326"/>
  <c r="CF143" i="326"/>
  <c r="CG143" i="326"/>
  <c r="CH143" i="326"/>
  <c r="CD144" i="326"/>
  <c r="CE144" i="326"/>
  <c r="CF144" i="326"/>
  <c r="CG144" i="326"/>
  <c r="CH144" i="326"/>
  <c r="CD145" i="326"/>
  <c r="CE145" i="326"/>
  <c r="CF145" i="326"/>
  <c r="CG145" i="326"/>
  <c r="CH145" i="326"/>
  <c r="CD146" i="326"/>
  <c r="CE146" i="326"/>
  <c r="CF146" i="326"/>
  <c r="CG146" i="326"/>
  <c r="CH146" i="326"/>
  <c r="CD147" i="326"/>
  <c r="CE147" i="326"/>
  <c r="CF147" i="326"/>
  <c r="CG147" i="326"/>
  <c r="CH147" i="326"/>
  <c r="CD148" i="326"/>
  <c r="CE148" i="326"/>
  <c r="CF148" i="326"/>
  <c r="CG148" i="326"/>
  <c r="CH148" i="326"/>
  <c r="CD149" i="326"/>
  <c r="CE149" i="326"/>
  <c r="CF149" i="326"/>
  <c r="CG149" i="326"/>
  <c r="CH149" i="326"/>
  <c r="CD150" i="326"/>
  <c r="CE150" i="326"/>
  <c r="CF150" i="326"/>
  <c r="CG150" i="326"/>
  <c r="CH150" i="326"/>
  <c r="CD151" i="326"/>
  <c r="CE151" i="326"/>
  <c r="CF151" i="326"/>
  <c r="CG151" i="326"/>
  <c r="CH151" i="326"/>
  <c r="CD152" i="326"/>
  <c r="CE152" i="326"/>
  <c r="CF152" i="326"/>
  <c r="CG152" i="326"/>
  <c r="CH152" i="326"/>
  <c r="CD153" i="326"/>
  <c r="CE153" i="326"/>
  <c r="CF153" i="326"/>
  <c r="CG153" i="326"/>
  <c r="CH153" i="326"/>
  <c r="CD154" i="326"/>
  <c r="CE154" i="326"/>
  <c r="CF154" i="326"/>
  <c r="CG154" i="326"/>
  <c r="CH154" i="326"/>
  <c r="CD155" i="326"/>
  <c r="CE155" i="326"/>
  <c r="CF155" i="326"/>
  <c r="CG155" i="326"/>
  <c r="CH155" i="326"/>
  <c r="CD156" i="326"/>
  <c r="CE156" i="326"/>
  <c r="CF156" i="326"/>
  <c r="CG156" i="326"/>
  <c r="CH156" i="326"/>
  <c r="CD157" i="326"/>
  <c r="CE157" i="326"/>
  <c r="CF157" i="326"/>
  <c r="CG157" i="326"/>
  <c r="CH157" i="326"/>
  <c r="CD158" i="326"/>
  <c r="CE158" i="326"/>
  <c r="CF158" i="326"/>
  <c r="CG158" i="326"/>
  <c r="CH158" i="326"/>
  <c r="CD159" i="326"/>
  <c r="CE159" i="326"/>
  <c r="CF159" i="326"/>
  <c r="CG159" i="326"/>
  <c r="CH159" i="326"/>
  <c r="CD160" i="326"/>
  <c r="CE160" i="326"/>
  <c r="CF160" i="326"/>
  <c r="CG160" i="326"/>
  <c r="CH160" i="326"/>
  <c r="CD161" i="326"/>
  <c r="CE161" i="326"/>
  <c r="CF161" i="326"/>
  <c r="CG161" i="326"/>
  <c r="CH161" i="326"/>
  <c r="CD162" i="326"/>
  <c r="CE162" i="326"/>
  <c r="CF162" i="326"/>
  <c r="CG162" i="326"/>
  <c r="CH162" i="326"/>
  <c r="CD163" i="326"/>
  <c r="CE163" i="326"/>
  <c r="CF163" i="326"/>
  <c r="CG163" i="326"/>
  <c r="CH163" i="326"/>
  <c r="CD164" i="326"/>
  <c r="CE164" i="326"/>
  <c r="CF164" i="326"/>
  <c r="CG164" i="326"/>
  <c r="CH164" i="326"/>
  <c r="CD165" i="326"/>
  <c r="CE165" i="326"/>
  <c r="CF165" i="326"/>
  <c r="CG165" i="326"/>
  <c r="CH165" i="326"/>
  <c r="CD166" i="326"/>
  <c r="CE166" i="326"/>
  <c r="CF166" i="326"/>
  <c r="CG166" i="326"/>
  <c r="CH166" i="326"/>
  <c r="CD167" i="326"/>
  <c r="CE167" i="326"/>
  <c r="CF167" i="326"/>
  <c r="CG167" i="326"/>
  <c r="CH167" i="326"/>
  <c r="CD168" i="326"/>
  <c r="CE168" i="326"/>
  <c r="CF168" i="326"/>
  <c r="CG168" i="326"/>
  <c r="CH168" i="326"/>
  <c r="CD169" i="326"/>
  <c r="CE169" i="326"/>
  <c r="CF169" i="326"/>
  <c r="CG169" i="326"/>
  <c r="CH169" i="326"/>
  <c r="CD170" i="326"/>
  <c r="CE170" i="326"/>
  <c r="CF170" i="326"/>
  <c r="CG170" i="326"/>
  <c r="CH170" i="326"/>
  <c r="CD171" i="326"/>
  <c r="CE171" i="326"/>
  <c r="CF171" i="326"/>
  <c r="CG171" i="326"/>
  <c r="CH171" i="326"/>
  <c r="CD172" i="326"/>
  <c r="CE172" i="326"/>
  <c r="CF172" i="326"/>
  <c r="CG172" i="326"/>
  <c r="CH172" i="326"/>
  <c r="CD173" i="326"/>
  <c r="CE173" i="326"/>
  <c r="CF173" i="326"/>
  <c r="CG173" i="326"/>
  <c r="CH173" i="326"/>
  <c r="CD174" i="326"/>
  <c r="CE174" i="326"/>
  <c r="CF174" i="326"/>
  <c r="CG174" i="326"/>
  <c r="CH174" i="326"/>
  <c r="CD175" i="326"/>
  <c r="CE175" i="326"/>
  <c r="CF175" i="326"/>
  <c r="CG175" i="326"/>
  <c r="CH175" i="326"/>
  <c r="CD176" i="326"/>
  <c r="CE176" i="326"/>
  <c r="CF176" i="326"/>
  <c r="CG176" i="326"/>
  <c r="CH176" i="326"/>
  <c r="CD177" i="326"/>
  <c r="CE177" i="326"/>
  <c r="CF177" i="326"/>
  <c r="CG177" i="326"/>
  <c r="CH177" i="326"/>
  <c r="CD178" i="326"/>
  <c r="CE178" i="326"/>
  <c r="CF178" i="326"/>
  <c r="CG178" i="326"/>
  <c r="CH178" i="326"/>
  <c r="CD179" i="326"/>
  <c r="CE179" i="326"/>
  <c r="CF179" i="326"/>
  <c r="CG179" i="326"/>
  <c r="CH179" i="326"/>
  <c r="CD180" i="326"/>
  <c r="CE180" i="326"/>
  <c r="CF180" i="326"/>
  <c r="CG180" i="326"/>
  <c r="CH180" i="326"/>
  <c r="CD181" i="326"/>
  <c r="CE181" i="326"/>
  <c r="CF181" i="326"/>
  <c r="CG181" i="326"/>
  <c r="CH181" i="326"/>
  <c r="CD182" i="326"/>
  <c r="CE182" i="326"/>
  <c r="CF182" i="326"/>
  <c r="CG182" i="326"/>
  <c r="CH182" i="326"/>
  <c r="CD183" i="326"/>
  <c r="CE183" i="326"/>
  <c r="CF183" i="326"/>
  <c r="CG183" i="326"/>
  <c r="CH183" i="326"/>
  <c r="CD184" i="326"/>
  <c r="CE184" i="326"/>
  <c r="CF184" i="326"/>
  <c r="CG184" i="326"/>
  <c r="CH184" i="326"/>
  <c r="CD185" i="326"/>
  <c r="CE185" i="326"/>
  <c r="CF185" i="326"/>
  <c r="CG185" i="326"/>
  <c r="CH185" i="326"/>
  <c r="CD186" i="326"/>
  <c r="CE186" i="326"/>
  <c r="CF186" i="326"/>
  <c r="CG186" i="326"/>
  <c r="CH186" i="326"/>
  <c r="CD187" i="326"/>
  <c r="CE187" i="326"/>
  <c r="CF187" i="326"/>
  <c r="CG187" i="326"/>
  <c r="CH187" i="326"/>
  <c r="CD188" i="326"/>
  <c r="CE188" i="326"/>
  <c r="CF188" i="326"/>
  <c r="CG188" i="326"/>
  <c r="CH188" i="326"/>
  <c r="CD189" i="326"/>
  <c r="CE189" i="326"/>
  <c r="CF189" i="326"/>
  <c r="CG189" i="326"/>
  <c r="CH189" i="326"/>
  <c r="CD190" i="326"/>
  <c r="CE190" i="326"/>
  <c r="CF190" i="326"/>
  <c r="CG190" i="326"/>
  <c r="CH190" i="326"/>
  <c r="CD191" i="326"/>
  <c r="CE191" i="326"/>
  <c r="CF191" i="326"/>
  <c r="CG191" i="326"/>
  <c r="CH191" i="326"/>
  <c r="CD192" i="326"/>
  <c r="CE192" i="326"/>
  <c r="CF192" i="326"/>
  <c r="CG192" i="326"/>
  <c r="CH192" i="326"/>
  <c r="CD193" i="326"/>
  <c r="CE193" i="326"/>
  <c r="CF193" i="326"/>
  <c r="CG193" i="326"/>
  <c r="CH193" i="326"/>
  <c r="CD194" i="326"/>
  <c r="CE194" i="326"/>
  <c r="CF194" i="326"/>
  <c r="CG194" i="326"/>
  <c r="CH194" i="326"/>
  <c r="CD195" i="326"/>
  <c r="CE195" i="326"/>
  <c r="CF195" i="326"/>
  <c r="CG195" i="326"/>
  <c r="CH195" i="326"/>
  <c r="CD196" i="326"/>
  <c r="CE196" i="326"/>
  <c r="CF196" i="326"/>
  <c r="CG196" i="326"/>
  <c r="CH196" i="326"/>
  <c r="CD197" i="326"/>
  <c r="CE197" i="326"/>
  <c r="CF197" i="326"/>
  <c r="CG197" i="326"/>
  <c r="CH197" i="326"/>
  <c r="CD198" i="326"/>
  <c r="CE198" i="326"/>
  <c r="CF198" i="326"/>
  <c r="CG198" i="326"/>
  <c r="CH198" i="326"/>
  <c r="CD199" i="326"/>
  <c r="CE199" i="326"/>
  <c r="CF199" i="326"/>
  <c r="CG199" i="326"/>
  <c r="CH199" i="326"/>
  <c r="CD200" i="326"/>
  <c r="CE200" i="326"/>
  <c r="CF200" i="326"/>
  <c r="CG200" i="326"/>
  <c r="CH200" i="326"/>
  <c r="CD201" i="326"/>
  <c r="CE201" i="326"/>
  <c r="CF201" i="326"/>
  <c r="CG201" i="326"/>
  <c r="CH201" i="326"/>
  <c r="CD202" i="326"/>
  <c r="CE202" i="326"/>
  <c r="CF202" i="326"/>
  <c r="CG202" i="326"/>
  <c r="CH202" i="326"/>
  <c r="CD203" i="326"/>
  <c r="CE203" i="326"/>
  <c r="CF203" i="326"/>
  <c r="CG203" i="326"/>
  <c r="CH203" i="326"/>
  <c r="CD204" i="326"/>
  <c r="CE204" i="326"/>
  <c r="CF204" i="326"/>
  <c r="CG204" i="326"/>
  <c r="CH204" i="326"/>
  <c r="CD205" i="326"/>
  <c r="CE205" i="326"/>
  <c r="CF205" i="326"/>
  <c r="CG205" i="326"/>
  <c r="CH205" i="326"/>
  <c r="CD206" i="326"/>
  <c r="CE206" i="326"/>
  <c r="CF206" i="326"/>
  <c r="CG206" i="326"/>
  <c r="CH206" i="326"/>
  <c r="CD207" i="326"/>
  <c r="CE207" i="326"/>
  <c r="CF207" i="326"/>
  <c r="CG207" i="326"/>
  <c r="CH207" i="326"/>
  <c r="CD208" i="326"/>
  <c r="CE208" i="326"/>
  <c r="CF208" i="326"/>
  <c r="CG208" i="326"/>
  <c r="CH208" i="326"/>
  <c r="CD209" i="326"/>
  <c r="CE209" i="326"/>
  <c r="CF209" i="326"/>
  <c r="CG209" i="326"/>
  <c r="CH209" i="326"/>
  <c r="CD210" i="326"/>
  <c r="CE210" i="326"/>
  <c r="CF210" i="326"/>
  <c r="CG210" i="326"/>
  <c r="CH210" i="326"/>
  <c r="CD211" i="326"/>
  <c r="CE211" i="326"/>
  <c r="CF211" i="326"/>
  <c r="CG211" i="326"/>
  <c r="CH211" i="326"/>
  <c r="CD212" i="326"/>
  <c r="CE212" i="326"/>
  <c r="CF212" i="326"/>
  <c r="CG212" i="326"/>
  <c r="CH212" i="326"/>
  <c r="CD213" i="326"/>
  <c r="CE213" i="326"/>
  <c r="CF213" i="326"/>
  <c r="CG213" i="326"/>
  <c r="CH213" i="326"/>
  <c r="CD214" i="326"/>
  <c r="CE214" i="326"/>
  <c r="CF214" i="326"/>
  <c r="CG214" i="326"/>
  <c r="CH214" i="326"/>
  <c r="CD215" i="326"/>
  <c r="CE215" i="326"/>
  <c r="CF215" i="326"/>
  <c r="CG215" i="326"/>
  <c r="CH215" i="326"/>
  <c r="CD216" i="326"/>
  <c r="CE216" i="326"/>
  <c r="CF216" i="326"/>
  <c r="CG216" i="326"/>
  <c r="CH216" i="326"/>
  <c r="CD217" i="326"/>
  <c r="CE217" i="326"/>
  <c r="CF217" i="326"/>
  <c r="CG217" i="326"/>
  <c r="CH217" i="326"/>
  <c r="CD218" i="326"/>
  <c r="CE218" i="326"/>
  <c r="CF218" i="326"/>
  <c r="CG218" i="326"/>
  <c r="CH218" i="326"/>
  <c r="CD219" i="326"/>
  <c r="CE219" i="326"/>
  <c r="CF219" i="326"/>
  <c r="CG219" i="326"/>
  <c r="CH219" i="326"/>
  <c r="CD220" i="326"/>
  <c r="CE220" i="326"/>
  <c r="CF220" i="326"/>
  <c r="CG220" i="326"/>
  <c r="CH220" i="326"/>
  <c r="CD221" i="326"/>
  <c r="CE221" i="326"/>
  <c r="CF221" i="326"/>
  <c r="CG221" i="326"/>
  <c r="CH221" i="326"/>
  <c r="CD222" i="326"/>
  <c r="CE222" i="326"/>
  <c r="CF222" i="326"/>
  <c r="CG222" i="326"/>
  <c r="CH222" i="326"/>
  <c r="CD223" i="326"/>
  <c r="CE223" i="326"/>
  <c r="CF223" i="326"/>
  <c r="CG223" i="326"/>
  <c r="CH223" i="326"/>
  <c r="CD224" i="326"/>
  <c r="CE224" i="326"/>
  <c r="CF224" i="326"/>
  <c r="CG224" i="326"/>
  <c r="CH224" i="326"/>
  <c r="CD225" i="326"/>
  <c r="CE225" i="326"/>
  <c r="CF225" i="326"/>
  <c r="CG225" i="326"/>
  <c r="CH225" i="326"/>
  <c r="CD226" i="326"/>
  <c r="CE226" i="326"/>
  <c r="CF226" i="326"/>
  <c r="CG226" i="326"/>
  <c r="CH226" i="326"/>
  <c r="CD227" i="326"/>
  <c r="CE227" i="326"/>
  <c r="CF227" i="326"/>
  <c r="CG227" i="326"/>
  <c r="CH227" i="326"/>
  <c r="CD228" i="326"/>
  <c r="CE228" i="326"/>
  <c r="CF228" i="326"/>
  <c r="CG228" i="326"/>
  <c r="CH228" i="326"/>
  <c r="CD229" i="326"/>
  <c r="CE229" i="326"/>
  <c r="CF229" i="326"/>
  <c r="CG229" i="326"/>
  <c r="CH229" i="326"/>
  <c r="CD230" i="326"/>
  <c r="CE230" i="326"/>
  <c r="CF230" i="326"/>
  <c r="CG230" i="326"/>
  <c r="CH230" i="326"/>
  <c r="CD231" i="326"/>
  <c r="CE231" i="326"/>
  <c r="CF231" i="326"/>
  <c r="CG231" i="326"/>
  <c r="CH231" i="326"/>
  <c r="CD232" i="326"/>
  <c r="CE232" i="326"/>
  <c r="CF232" i="326"/>
  <c r="CG232" i="326"/>
  <c r="CH232" i="326"/>
  <c r="CD233" i="326"/>
  <c r="CE233" i="326"/>
  <c r="CF233" i="326"/>
  <c r="CG233" i="326"/>
  <c r="CH233" i="326"/>
  <c r="CD234" i="326"/>
  <c r="CE234" i="326"/>
  <c r="CF234" i="326"/>
  <c r="CG234" i="326"/>
  <c r="CH234" i="326"/>
  <c r="CD235" i="326"/>
  <c r="CE235" i="326"/>
  <c r="CF235" i="326"/>
  <c r="CG235" i="326"/>
  <c r="CH235" i="326"/>
  <c r="CD236" i="326"/>
  <c r="CE236" i="326"/>
  <c r="CF236" i="326"/>
  <c r="CG236" i="326"/>
  <c r="CH236" i="326"/>
  <c r="CD237" i="326"/>
  <c r="CE237" i="326"/>
  <c r="CF237" i="326"/>
  <c r="CG237" i="326"/>
  <c r="CH237" i="326"/>
  <c r="CD238" i="326"/>
  <c r="CE238" i="326"/>
  <c r="CF238" i="326"/>
  <c r="CG238" i="326"/>
  <c r="CH238" i="326"/>
  <c r="CD239" i="326"/>
  <c r="CE239" i="326"/>
  <c r="CF239" i="326"/>
  <c r="CG239" i="326"/>
  <c r="CH239" i="326"/>
  <c r="CD240" i="326"/>
  <c r="CE240" i="326"/>
  <c r="CF240" i="326"/>
  <c r="CG240" i="326"/>
  <c r="CH240" i="326"/>
  <c r="CD241" i="326"/>
  <c r="CE241" i="326"/>
  <c r="CF241" i="326"/>
  <c r="CG241" i="326"/>
  <c r="CH241" i="326"/>
  <c r="CD242" i="326"/>
  <c r="CE242" i="326"/>
  <c r="CF242" i="326"/>
  <c r="CG242" i="326"/>
  <c r="CH242" i="326"/>
  <c r="CD243" i="326"/>
  <c r="CE243" i="326"/>
  <c r="CF243" i="326"/>
  <c r="CG243" i="326"/>
  <c r="CH243" i="326"/>
  <c r="CD244" i="326"/>
  <c r="CE244" i="326"/>
  <c r="CF244" i="326"/>
  <c r="CG244" i="326"/>
  <c r="CH244" i="326"/>
  <c r="CD245" i="326"/>
  <c r="CE245" i="326"/>
  <c r="CF245" i="326"/>
  <c r="CG245" i="326"/>
  <c r="CH245" i="326"/>
  <c r="CD246" i="326"/>
  <c r="CE246" i="326"/>
  <c r="CF246" i="326"/>
  <c r="CG246" i="326"/>
  <c r="CH246" i="326"/>
  <c r="CD247" i="326"/>
  <c r="CE247" i="326"/>
  <c r="CF247" i="326"/>
  <c r="CG247" i="326"/>
  <c r="CH247" i="326"/>
  <c r="CD248" i="326"/>
  <c r="CE248" i="326"/>
  <c r="CF248" i="326"/>
  <c r="CG248" i="326"/>
  <c r="CH248" i="326"/>
  <c r="CD249" i="326"/>
  <c r="CE249" i="326"/>
  <c r="CF249" i="326"/>
  <c r="CG249" i="326"/>
  <c r="CH249" i="326"/>
  <c r="CD250" i="326"/>
  <c r="CE250" i="326"/>
  <c r="CF250" i="326"/>
  <c r="CG250" i="326"/>
  <c r="CH250" i="326"/>
  <c r="CD251" i="326"/>
  <c r="CE251" i="326"/>
  <c r="CF251" i="326"/>
  <c r="CG251" i="326"/>
  <c r="CH251" i="326"/>
  <c r="CD252" i="326"/>
  <c r="CE252" i="326"/>
  <c r="CF252" i="326"/>
  <c r="CG252" i="326"/>
  <c r="CH252" i="326"/>
  <c r="CD253" i="326"/>
  <c r="CE253" i="326"/>
  <c r="CF253" i="326"/>
  <c r="CG253" i="326"/>
  <c r="CH253" i="326"/>
  <c r="CD254" i="326"/>
  <c r="CE254" i="326"/>
  <c r="CF254" i="326"/>
  <c r="CG254" i="326"/>
  <c r="CH254" i="326"/>
  <c r="CD255" i="326"/>
  <c r="CE255" i="326"/>
  <c r="CF255" i="326"/>
  <c r="CG255" i="326"/>
  <c r="CH255" i="326"/>
  <c r="CD256" i="326"/>
  <c r="CE256" i="326"/>
  <c r="CF256" i="326"/>
  <c r="CG256" i="326"/>
  <c r="CH256" i="326"/>
  <c r="CD257" i="326"/>
  <c r="CE257" i="326"/>
  <c r="CF257" i="326"/>
  <c r="CG257" i="326"/>
  <c r="CH257" i="326"/>
  <c r="CD258" i="326"/>
  <c r="CE258" i="326"/>
  <c r="CF258" i="326"/>
  <c r="CG258" i="326"/>
  <c r="CH258" i="326"/>
  <c r="CD259" i="326"/>
  <c r="CE259" i="326"/>
  <c r="CF259" i="326"/>
  <c r="CG259" i="326"/>
  <c r="CH259" i="326"/>
  <c r="CD260" i="326"/>
  <c r="CE260" i="326"/>
  <c r="CF260" i="326"/>
  <c r="CG260" i="326"/>
  <c r="CH260" i="326"/>
  <c r="CD261" i="326"/>
  <c r="CE261" i="326"/>
  <c r="CF261" i="326"/>
  <c r="CG261" i="326"/>
  <c r="CH261" i="326"/>
  <c r="CD262" i="326"/>
  <c r="CE262" i="326"/>
  <c r="CF262" i="326"/>
  <c r="CG262" i="326"/>
  <c r="CH262" i="326"/>
  <c r="CD263" i="326"/>
  <c r="CE263" i="326"/>
  <c r="CF263" i="326"/>
  <c r="CG263" i="326"/>
  <c r="CH263" i="326"/>
  <c r="CD264" i="326"/>
  <c r="CE264" i="326"/>
  <c r="CF264" i="326"/>
  <c r="CG264" i="326"/>
  <c r="CH264" i="326"/>
  <c r="CD265" i="326"/>
  <c r="CE265" i="326"/>
  <c r="CF265" i="326"/>
  <c r="CG265" i="326"/>
  <c r="CH265" i="326"/>
  <c r="CD266" i="326"/>
  <c r="CE266" i="326"/>
  <c r="CF266" i="326"/>
  <c r="CG266" i="326"/>
  <c r="CH266" i="326"/>
  <c r="CD267" i="326"/>
  <c r="CE267" i="326"/>
  <c r="CF267" i="326"/>
  <c r="CG267" i="326"/>
  <c r="CH267" i="326"/>
  <c r="CD268" i="326"/>
  <c r="CE268" i="326"/>
  <c r="CF268" i="326"/>
  <c r="CG268" i="326"/>
  <c r="CH268" i="326"/>
  <c r="CD269" i="326"/>
  <c r="CE269" i="326"/>
  <c r="CF269" i="326"/>
  <c r="CG269" i="326"/>
  <c r="CH269" i="326"/>
  <c r="CD270" i="326"/>
  <c r="CE270" i="326"/>
  <c r="CF270" i="326"/>
  <c r="CG270" i="326"/>
  <c r="CH270" i="326"/>
  <c r="CD271" i="326"/>
  <c r="CE271" i="326"/>
  <c r="CF271" i="326"/>
  <c r="CG271" i="326"/>
  <c r="CH271" i="326"/>
  <c r="CD272" i="326"/>
  <c r="CE272" i="326"/>
  <c r="CF272" i="326"/>
  <c r="CG272" i="326"/>
  <c r="CH272" i="326"/>
  <c r="CD273" i="326"/>
  <c r="CE273" i="326"/>
  <c r="CF273" i="326"/>
  <c r="CG273" i="326"/>
  <c r="CH273" i="326"/>
  <c r="CD274" i="326"/>
  <c r="CE274" i="326"/>
  <c r="CF274" i="326"/>
  <c r="CG274" i="326"/>
  <c r="CH274" i="326"/>
  <c r="CD275" i="326"/>
  <c r="CE275" i="326"/>
  <c r="CF275" i="326"/>
  <c r="CG275" i="326"/>
  <c r="CH275" i="326"/>
  <c r="CD276" i="326"/>
  <c r="CE276" i="326"/>
  <c r="CF276" i="326"/>
  <c r="CG276" i="326"/>
  <c r="CH276" i="326"/>
  <c r="CD277" i="326"/>
  <c r="CE277" i="326"/>
  <c r="CF277" i="326"/>
  <c r="CG277" i="326"/>
  <c r="CH277" i="326"/>
  <c r="CD278" i="326"/>
  <c r="CE278" i="326"/>
  <c r="CF278" i="326"/>
  <c r="CG278" i="326"/>
  <c r="CH278" i="326"/>
  <c r="CD279" i="326"/>
  <c r="CE279" i="326"/>
  <c r="CF279" i="326"/>
  <c r="CG279" i="326"/>
  <c r="CH279" i="326"/>
  <c r="CD280" i="326"/>
  <c r="CE280" i="326"/>
  <c r="CF280" i="326"/>
  <c r="CG280" i="326"/>
  <c r="CH280" i="326"/>
  <c r="CD281" i="326"/>
  <c r="CE281" i="326"/>
  <c r="CF281" i="326"/>
  <c r="CG281" i="326"/>
  <c r="CH281" i="326"/>
  <c r="CD282" i="326"/>
  <c r="CE282" i="326"/>
  <c r="CF282" i="326"/>
  <c r="CG282" i="326"/>
  <c r="CH282" i="326"/>
  <c r="CD283" i="326"/>
  <c r="CE283" i="326"/>
  <c r="CF283" i="326"/>
  <c r="CG283" i="326"/>
  <c r="CH283" i="326"/>
  <c r="CD284" i="326"/>
  <c r="CE284" i="326"/>
  <c r="CF284" i="326"/>
  <c r="CG284" i="326"/>
  <c r="CH284" i="326"/>
  <c r="CD285" i="326"/>
  <c r="CE285" i="326"/>
  <c r="CF285" i="326"/>
  <c r="CG285" i="326"/>
  <c r="CH285" i="326"/>
  <c r="CD286" i="326"/>
  <c r="CE286" i="326"/>
  <c r="CF286" i="326"/>
  <c r="CG286" i="326"/>
  <c r="CH286" i="326"/>
  <c r="CD287" i="326"/>
  <c r="CE287" i="326"/>
  <c r="CF287" i="326"/>
  <c r="CG287" i="326"/>
  <c r="CH287" i="326"/>
  <c r="CD288" i="326"/>
  <c r="CE288" i="326"/>
  <c r="CF288" i="326"/>
  <c r="CG288" i="326"/>
  <c r="CH288" i="326"/>
  <c r="CD289" i="326"/>
  <c r="CE289" i="326"/>
  <c r="CF289" i="326"/>
  <c r="CG289" i="326"/>
  <c r="CH289" i="326"/>
  <c r="CD290" i="326"/>
  <c r="CE290" i="326"/>
  <c r="CF290" i="326"/>
  <c r="CG290" i="326"/>
  <c r="CH290" i="326"/>
  <c r="CD291" i="326"/>
  <c r="CE291" i="326"/>
  <c r="CF291" i="326"/>
  <c r="CG291" i="326"/>
  <c r="CH291" i="326"/>
  <c r="CD292" i="326"/>
  <c r="CE292" i="326"/>
  <c r="CF292" i="326"/>
  <c r="CG292" i="326"/>
  <c r="CH292" i="326"/>
  <c r="CD293" i="326"/>
  <c r="CE293" i="326"/>
  <c r="CF293" i="326"/>
  <c r="CG293" i="326"/>
  <c r="CH293" i="326"/>
  <c r="CD294" i="326"/>
  <c r="CE294" i="326"/>
  <c r="CF294" i="326"/>
  <c r="CG294" i="326"/>
  <c r="CH294" i="326"/>
  <c r="CD295" i="326"/>
  <c r="CE295" i="326"/>
  <c r="CF295" i="326"/>
  <c r="CG295" i="326"/>
  <c r="CH295" i="326"/>
  <c r="CD296" i="326"/>
  <c r="CE296" i="326"/>
  <c r="CF296" i="326"/>
  <c r="CG296" i="326"/>
  <c r="CH296" i="326"/>
  <c r="CD297" i="326"/>
  <c r="CE297" i="326"/>
  <c r="CF297" i="326"/>
  <c r="CG297" i="326"/>
  <c r="CH297" i="326"/>
  <c r="CD298" i="326"/>
  <c r="CE298" i="326"/>
  <c r="CF298" i="326"/>
  <c r="CG298" i="326"/>
  <c r="CH298" i="326"/>
  <c r="CD299" i="326"/>
  <c r="CE299" i="326"/>
  <c r="CF299" i="326"/>
  <c r="CG299" i="326"/>
  <c r="CH299" i="326"/>
  <c r="CD300" i="326"/>
  <c r="CE300" i="326"/>
  <c r="CF300" i="326"/>
  <c r="CG300" i="326"/>
  <c r="CH300" i="326"/>
  <c r="CD301" i="326"/>
  <c r="CE301" i="326"/>
  <c r="CF301" i="326"/>
  <c r="CG301" i="326"/>
  <c r="CH301" i="326"/>
  <c r="CD302" i="326"/>
  <c r="CE302" i="326"/>
  <c r="CF302" i="326"/>
  <c r="CG302" i="326"/>
  <c r="CH302" i="326"/>
  <c r="CD303" i="326"/>
  <c r="CE303" i="326"/>
  <c r="CF303" i="326"/>
  <c r="CG303" i="326"/>
  <c r="CH303" i="326"/>
  <c r="CD304" i="326"/>
  <c r="CE304" i="326"/>
  <c r="CF304" i="326"/>
  <c r="CG304" i="326"/>
  <c r="CH304" i="326"/>
  <c r="CD305" i="326"/>
  <c r="CE305" i="326"/>
  <c r="CF305" i="326"/>
  <c r="CG305" i="326"/>
  <c r="CH305" i="326"/>
  <c r="CD306" i="326"/>
  <c r="CE306" i="326"/>
  <c r="CF306" i="326"/>
  <c r="CG306" i="326"/>
  <c r="CH306" i="326"/>
  <c r="CD307" i="326"/>
  <c r="CE307" i="326"/>
  <c r="CF307" i="326"/>
  <c r="CG307" i="326"/>
  <c r="CH307" i="326"/>
  <c r="CD308" i="326"/>
  <c r="CE308" i="326"/>
  <c r="CF308" i="326"/>
  <c r="CG308" i="326"/>
  <c r="CH308" i="326"/>
  <c r="CD309" i="326"/>
  <c r="CE309" i="326"/>
  <c r="CF309" i="326"/>
  <c r="CG309" i="326"/>
  <c r="CH309" i="326"/>
  <c r="CD310" i="326"/>
  <c r="CE310" i="326"/>
  <c r="CF310" i="326"/>
  <c r="CG310" i="326"/>
  <c r="CH310" i="326"/>
  <c r="CD311" i="326"/>
  <c r="CE311" i="326"/>
  <c r="CF311" i="326"/>
  <c r="CG311" i="326"/>
  <c r="CH311" i="326"/>
  <c r="CD312" i="326"/>
  <c r="CE312" i="326"/>
  <c r="CF312" i="326"/>
  <c r="CG312" i="326"/>
  <c r="CH312" i="326"/>
  <c r="CD313" i="326"/>
  <c r="CE313" i="326"/>
  <c r="CF313" i="326"/>
  <c r="CG313" i="326"/>
  <c r="CH313" i="326"/>
  <c r="CD314" i="326"/>
  <c r="CE314" i="326"/>
  <c r="CF314" i="326"/>
  <c r="CG314" i="326"/>
  <c r="CH314" i="326"/>
  <c r="CD315" i="326"/>
  <c r="CE315" i="326"/>
  <c r="CF315" i="326"/>
  <c r="CG315" i="326"/>
  <c r="CH315" i="326"/>
  <c r="CD316" i="326"/>
  <c r="CE316" i="326"/>
  <c r="CF316" i="326"/>
  <c r="CG316" i="326"/>
  <c r="CH316" i="326"/>
  <c r="CD317" i="326"/>
  <c r="CE317" i="326"/>
  <c r="CF317" i="326"/>
  <c r="CG317" i="326"/>
  <c r="CH317" i="326"/>
  <c r="CD318" i="326"/>
  <c r="CE318" i="326"/>
  <c r="CF318" i="326"/>
  <c r="CG318" i="326"/>
  <c r="CH318" i="326"/>
  <c r="CD319" i="326"/>
  <c r="CE319" i="326"/>
  <c r="CF319" i="326"/>
  <c r="CG319" i="326"/>
  <c r="CH319" i="326"/>
  <c r="CD320" i="326"/>
  <c r="CE320" i="326"/>
  <c r="CF320" i="326"/>
  <c r="CG320" i="326"/>
  <c r="CH320" i="326"/>
  <c r="CD321" i="326"/>
  <c r="CE321" i="326"/>
  <c r="CF321" i="326"/>
  <c r="CG321" i="326"/>
  <c r="CH321" i="326"/>
  <c r="CD322" i="326"/>
  <c r="CE322" i="326"/>
  <c r="CF322" i="326"/>
  <c r="CG322" i="326"/>
  <c r="CH322" i="326"/>
  <c r="CD323" i="326"/>
  <c r="CE323" i="326"/>
  <c r="CF323" i="326"/>
  <c r="CG323" i="326"/>
  <c r="CH323" i="326"/>
  <c r="CD324" i="326"/>
  <c r="CE324" i="326"/>
  <c r="CF324" i="326"/>
  <c r="CG324" i="326"/>
  <c r="CH324" i="326"/>
  <c r="CD325" i="326"/>
  <c r="CE325" i="326"/>
  <c r="CF325" i="326"/>
  <c r="CG325" i="326"/>
  <c r="CH325" i="326"/>
  <c r="CD326" i="326"/>
  <c r="CE326" i="326"/>
  <c r="CF326" i="326"/>
  <c r="CG326" i="326"/>
  <c r="CH326" i="326"/>
  <c r="CD327" i="326"/>
  <c r="CE327" i="326"/>
  <c r="CF327" i="326"/>
  <c r="CG327" i="326"/>
  <c r="CH327" i="326"/>
  <c r="CD328" i="326"/>
  <c r="CE328" i="326"/>
  <c r="CF328" i="326"/>
  <c r="CG328" i="326"/>
  <c r="CH328" i="326"/>
  <c r="CD329" i="326"/>
  <c r="CE329" i="326"/>
  <c r="CF329" i="326"/>
  <c r="CG329" i="326"/>
  <c r="CH329" i="326"/>
  <c r="CD330" i="326"/>
  <c r="CE330" i="326"/>
  <c r="CF330" i="326"/>
  <c r="CG330" i="326"/>
  <c r="CH330" i="326"/>
  <c r="CD331" i="326"/>
  <c r="CE331" i="326"/>
  <c r="CF331" i="326"/>
  <c r="CG331" i="326"/>
  <c r="CH331" i="326"/>
  <c r="CD332" i="326"/>
  <c r="CE332" i="326"/>
  <c r="CF332" i="326"/>
  <c r="CG332" i="326"/>
  <c r="CH332" i="326"/>
  <c r="CD333" i="326"/>
  <c r="CE333" i="326"/>
  <c r="CF333" i="326"/>
  <c r="CG333" i="326"/>
  <c r="CH333" i="326"/>
  <c r="CD334" i="326"/>
  <c r="CE334" i="326"/>
  <c r="CF334" i="326"/>
  <c r="CG334" i="326"/>
  <c r="CH334" i="326"/>
  <c r="CD335" i="326"/>
  <c r="CE335" i="326"/>
  <c r="CF335" i="326"/>
  <c r="CG335" i="326"/>
  <c r="CH335" i="326"/>
  <c r="CD336" i="326"/>
  <c r="CE336" i="326"/>
  <c r="CF336" i="326"/>
  <c r="CG336" i="326"/>
  <c r="CH336" i="326"/>
  <c r="CD337" i="326"/>
  <c r="CE337" i="326"/>
  <c r="CF337" i="326"/>
  <c r="CG337" i="326"/>
  <c r="CH337" i="326"/>
  <c r="CD338" i="326"/>
  <c r="CE338" i="326"/>
  <c r="CF338" i="326"/>
  <c r="CG338" i="326"/>
  <c r="CH338" i="326"/>
  <c r="CD339" i="326"/>
  <c r="CE339" i="326"/>
  <c r="CF339" i="326"/>
  <c r="CG339" i="326"/>
  <c r="CH339" i="326"/>
  <c r="CD340" i="326"/>
  <c r="CE340" i="326"/>
  <c r="CF340" i="326"/>
  <c r="CG340" i="326"/>
  <c r="CH340" i="326"/>
  <c r="CD341" i="326"/>
  <c r="CE341" i="326"/>
  <c r="CF341" i="326"/>
  <c r="CG341" i="326"/>
  <c r="CH341" i="326"/>
  <c r="CD342" i="326"/>
  <c r="CE342" i="326"/>
  <c r="CF342" i="326"/>
  <c r="CG342" i="326"/>
  <c r="CH342" i="326"/>
  <c r="CD343" i="326"/>
  <c r="CE343" i="326"/>
  <c r="CF343" i="326"/>
  <c r="CG343" i="326"/>
  <c r="CH343" i="326"/>
  <c r="CD344" i="326"/>
  <c r="CE344" i="326"/>
  <c r="CF344" i="326"/>
  <c r="CG344" i="326"/>
  <c r="CH344" i="326"/>
  <c r="CD345" i="326"/>
  <c r="CE345" i="326"/>
  <c r="CF345" i="326"/>
  <c r="CG345" i="326"/>
  <c r="CH345" i="326"/>
  <c r="CD346" i="326"/>
  <c r="CE346" i="326"/>
  <c r="CF346" i="326"/>
  <c r="CG346" i="326"/>
  <c r="CH346" i="326"/>
  <c r="CD347" i="326"/>
  <c r="CE347" i="326"/>
  <c r="CF347" i="326"/>
  <c r="CG347" i="326"/>
  <c r="CH347" i="326"/>
  <c r="CD348" i="326"/>
  <c r="CE348" i="326"/>
  <c r="CF348" i="326"/>
  <c r="CG348" i="326"/>
  <c r="CH348" i="326"/>
  <c r="CD349" i="326"/>
  <c r="CE349" i="326"/>
  <c r="CF349" i="326"/>
  <c r="CG349" i="326"/>
  <c r="CH349" i="326"/>
  <c r="CD350" i="326"/>
  <c r="CE350" i="326"/>
  <c r="CF350" i="326"/>
  <c r="CG350" i="326"/>
  <c r="CH350" i="326"/>
  <c r="CD351" i="326"/>
  <c r="CE351" i="326"/>
  <c r="CF351" i="326"/>
  <c r="CG351" i="326"/>
  <c r="CH351" i="326"/>
  <c r="CD352" i="326"/>
  <c r="CE352" i="326"/>
  <c r="CF352" i="326"/>
  <c r="CG352" i="326"/>
  <c r="CH352" i="326"/>
  <c r="CD353" i="326"/>
  <c r="CE353" i="326"/>
  <c r="CF353" i="326"/>
  <c r="CG353" i="326"/>
  <c r="CH353" i="326"/>
  <c r="CD354" i="326"/>
  <c r="CE354" i="326"/>
  <c r="CF354" i="326"/>
  <c r="CG354" i="326"/>
  <c r="CH354" i="326"/>
  <c r="CD355" i="326"/>
  <c r="CE355" i="326"/>
  <c r="CF355" i="326"/>
  <c r="CG355" i="326"/>
  <c r="CH355" i="326"/>
  <c r="CD356" i="326"/>
  <c r="CE356" i="326"/>
  <c r="CF356" i="326"/>
  <c r="CG356" i="326"/>
  <c r="CH356" i="326"/>
  <c r="CD357" i="326"/>
  <c r="CE357" i="326"/>
  <c r="CF357" i="326"/>
  <c r="CG357" i="326"/>
  <c r="CH357" i="326"/>
  <c r="CD358" i="326"/>
  <c r="CE358" i="326"/>
  <c r="CF358" i="326"/>
  <c r="CG358" i="326"/>
  <c r="CH358" i="326"/>
  <c r="CD359" i="326"/>
  <c r="CE359" i="326"/>
  <c r="CF359" i="326"/>
  <c r="CG359" i="326"/>
  <c r="CH359" i="326"/>
  <c r="CD360" i="326"/>
  <c r="CE360" i="326"/>
  <c r="CF360" i="326"/>
  <c r="CG360" i="326"/>
  <c r="CH360" i="326"/>
  <c r="CD361" i="326"/>
  <c r="CE361" i="326"/>
  <c r="CF361" i="326"/>
  <c r="CG361" i="326"/>
  <c r="CH361" i="326"/>
  <c r="CD362" i="326"/>
  <c r="CE362" i="326"/>
  <c r="CF362" i="326"/>
  <c r="CG362" i="326"/>
  <c r="CH362" i="326"/>
  <c r="CD363" i="326"/>
  <c r="CE363" i="326"/>
  <c r="CF363" i="326"/>
  <c r="CG363" i="326"/>
  <c r="CH363" i="326"/>
  <c r="CD364" i="326"/>
  <c r="CE364" i="326"/>
  <c r="CF364" i="326"/>
  <c r="CG364" i="326"/>
  <c r="CH364" i="326"/>
  <c r="CD365" i="326"/>
  <c r="CE365" i="326"/>
  <c r="CF365" i="326"/>
  <c r="CG365" i="326"/>
  <c r="CH365" i="326"/>
  <c r="CD366" i="326"/>
  <c r="CE366" i="326"/>
  <c r="CF366" i="326"/>
  <c r="CG366" i="326"/>
  <c r="CH366" i="326"/>
  <c r="CD367" i="326"/>
  <c r="CE367" i="326"/>
  <c r="CF367" i="326"/>
  <c r="CG367" i="326"/>
  <c r="CH367" i="326"/>
  <c r="CD368" i="326"/>
  <c r="CE368" i="326"/>
  <c r="CF368" i="326"/>
  <c r="CG368" i="326"/>
  <c r="CH368" i="326"/>
  <c r="CD369" i="326"/>
  <c r="CE369" i="326"/>
  <c r="CF369" i="326"/>
  <c r="CG369" i="326"/>
  <c r="CH369" i="326"/>
  <c r="CD370" i="326"/>
  <c r="CE370" i="326"/>
  <c r="CF370" i="326"/>
  <c r="CG370" i="326"/>
  <c r="CH370" i="326"/>
  <c r="CD371" i="326"/>
  <c r="CE371" i="326"/>
  <c r="CF371" i="326"/>
  <c r="CG371" i="326"/>
  <c r="CH371" i="326"/>
  <c r="CD372" i="326"/>
  <c r="CE372" i="326"/>
  <c r="CF372" i="326"/>
  <c r="CG372" i="326"/>
  <c r="CH372" i="326"/>
  <c r="CD373" i="326"/>
  <c r="CE373" i="326"/>
  <c r="CF373" i="326"/>
  <c r="CG373" i="326"/>
  <c r="CH373" i="326"/>
  <c r="CD374" i="326"/>
  <c r="CE374" i="326"/>
  <c r="CF374" i="326"/>
  <c r="CG374" i="326"/>
  <c r="CH374" i="326"/>
  <c r="CD375" i="326"/>
  <c r="CE375" i="326"/>
  <c r="CF375" i="326"/>
  <c r="CG375" i="326"/>
  <c r="CH375" i="326"/>
  <c r="CD376" i="326"/>
  <c r="CE376" i="326"/>
  <c r="CF376" i="326"/>
  <c r="CG376" i="326"/>
  <c r="CH376" i="326"/>
  <c r="CD377" i="326"/>
  <c r="CE377" i="326"/>
  <c r="CF377" i="326"/>
  <c r="CG377" i="326"/>
  <c r="CH377" i="326"/>
  <c r="CD378" i="326"/>
  <c r="CE378" i="326"/>
  <c r="CF378" i="326"/>
  <c r="CG378" i="326"/>
  <c r="CH378" i="326"/>
  <c r="CD379" i="326"/>
  <c r="CE379" i="326"/>
  <c r="CF379" i="326"/>
  <c r="CG379" i="326"/>
  <c r="CH379" i="326"/>
  <c r="CD380" i="326"/>
  <c r="CE380" i="326"/>
  <c r="CF380" i="326"/>
  <c r="CG380" i="326"/>
  <c r="CH380" i="326"/>
  <c r="CD381" i="326"/>
  <c r="CE381" i="326"/>
  <c r="CF381" i="326"/>
  <c r="CG381" i="326"/>
  <c r="CH381" i="326"/>
  <c r="CD382" i="326"/>
  <c r="CE382" i="326"/>
  <c r="CF382" i="326"/>
  <c r="CG382" i="326"/>
  <c r="CH382" i="326"/>
  <c r="CD383" i="326"/>
  <c r="CE383" i="326"/>
  <c r="CF383" i="326"/>
  <c r="CG383" i="326"/>
  <c r="CH383" i="326"/>
  <c r="CD384" i="326"/>
  <c r="CE384" i="326"/>
  <c r="CF384" i="326"/>
  <c r="CG384" i="326"/>
  <c r="CH384" i="326"/>
  <c r="CD385" i="326"/>
  <c r="CE385" i="326"/>
  <c r="CF385" i="326"/>
  <c r="CG385" i="326"/>
  <c r="CH385" i="326"/>
  <c r="CD386" i="326"/>
  <c r="CE386" i="326"/>
  <c r="CF386" i="326"/>
  <c r="CG386" i="326"/>
  <c r="CH386" i="326"/>
  <c r="CD387" i="326"/>
  <c r="CE387" i="326"/>
  <c r="CF387" i="326"/>
  <c r="CG387" i="326"/>
  <c r="CH387" i="326"/>
  <c r="CD388" i="326"/>
  <c r="CE388" i="326"/>
  <c r="CF388" i="326"/>
  <c r="CG388" i="326"/>
  <c r="CH388" i="326"/>
  <c r="CD389" i="326"/>
  <c r="CE389" i="326"/>
  <c r="CF389" i="326"/>
  <c r="CG389" i="326"/>
  <c r="CH389" i="326"/>
  <c r="CD390" i="326"/>
  <c r="CE390" i="326"/>
  <c r="CF390" i="326"/>
  <c r="CG390" i="326"/>
  <c r="CH390" i="326"/>
  <c r="CD391" i="326"/>
  <c r="CE391" i="326"/>
  <c r="CF391" i="326"/>
  <c r="CG391" i="326"/>
  <c r="CH391" i="326"/>
  <c r="CD392" i="326"/>
  <c r="CE392" i="326"/>
  <c r="CF392" i="326"/>
  <c r="CG392" i="326"/>
  <c r="CH392" i="326"/>
  <c r="CD393" i="326"/>
  <c r="CE393" i="326"/>
  <c r="CF393" i="326"/>
  <c r="CG393" i="326"/>
  <c r="CH393" i="326"/>
  <c r="CD394" i="326"/>
  <c r="CE394" i="326"/>
  <c r="CF394" i="326"/>
  <c r="CG394" i="326"/>
  <c r="CH394" i="326"/>
  <c r="CD395" i="326"/>
  <c r="CE395" i="326"/>
  <c r="CF395" i="326"/>
  <c r="CG395" i="326"/>
  <c r="CH395" i="326"/>
  <c r="CD396" i="326"/>
  <c r="CE396" i="326"/>
  <c r="CF396" i="326"/>
  <c r="CG396" i="326"/>
  <c r="CH396" i="326"/>
  <c r="CD397" i="326"/>
  <c r="CE397" i="326"/>
  <c r="CF397" i="326"/>
  <c r="CG397" i="326"/>
  <c r="CH397" i="326"/>
  <c r="CD398" i="326"/>
  <c r="CE398" i="326"/>
  <c r="CF398" i="326"/>
  <c r="CG398" i="326"/>
  <c r="CH398" i="326"/>
  <c r="CD399" i="326"/>
  <c r="CE399" i="326"/>
  <c r="CF399" i="326"/>
  <c r="CG399" i="326"/>
  <c r="CH399" i="326"/>
  <c r="CD400" i="326"/>
  <c r="CE400" i="326"/>
  <c r="CF400" i="326"/>
  <c r="CG400" i="326"/>
  <c r="CH400" i="326"/>
  <c r="CD401" i="326"/>
  <c r="CE401" i="326"/>
  <c r="CF401" i="326"/>
  <c r="CG401" i="326"/>
  <c r="CH401" i="326"/>
  <c r="CD402" i="326"/>
  <c r="CE402" i="326"/>
  <c r="CF402" i="326"/>
  <c r="CG402" i="326"/>
  <c r="CH402" i="326"/>
  <c r="CD403" i="326"/>
  <c r="CE403" i="326"/>
  <c r="CF403" i="326"/>
  <c r="CG403" i="326"/>
  <c r="CH403" i="326"/>
  <c r="CD404" i="326"/>
  <c r="CE404" i="326"/>
  <c r="CF404" i="326"/>
  <c r="CG404" i="326"/>
  <c r="CH404" i="326"/>
  <c r="CD405" i="326"/>
  <c r="CE405" i="326"/>
  <c r="CF405" i="326"/>
  <c r="CG405" i="326"/>
  <c r="CH405" i="326"/>
  <c r="CD406" i="326"/>
  <c r="CE406" i="326"/>
  <c r="CF406" i="326"/>
  <c r="CG406" i="326"/>
  <c r="CH406" i="326"/>
  <c r="CD407" i="326"/>
  <c r="CE407" i="326"/>
  <c r="CF407" i="326"/>
  <c r="CG407" i="326"/>
  <c r="CH407" i="326"/>
  <c r="CD408" i="326"/>
  <c r="CE408" i="326"/>
  <c r="CF408" i="326"/>
  <c r="CG408" i="326"/>
  <c r="CH408" i="326"/>
  <c r="CD409" i="326"/>
  <c r="CE409" i="326"/>
  <c r="CF409" i="326"/>
  <c r="CG409" i="326"/>
  <c r="CH409" i="326"/>
  <c r="CD410" i="326"/>
  <c r="CE410" i="326"/>
  <c r="CF410" i="326"/>
  <c r="CG410" i="326"/>
  <c r="CH410" i="326"/>
  <c r="CD411" i="326"/>
  <c r="CE411" i="326"/>
  <c r="CF411" i="326"/>
  <c r="CG411" i="326"/>
  <c r="CH411" i="326"/>
  <c r="CD412" i="326"/>
  <c r="CE412" i="326"/>
  <c r="CF412" i="326"/>
  <c r="CG412" i="326"/>
  <c r="CH412" i="326"/>
  <c r="CD413" i="326"/>
  <c r="CE413" i="326"/>
  <c r="CF413" i="326"/>
  <c r="CG413" i="326"/>
  <c r="CH413" i="326"/>
  <c r="CD414" i="326"/>
  <c r="CE414" i="326"/>
  <c r="CF414" i="326"/>
  <c r="CG414" i="326"/>
  <c r="CH414" i="326"/>
  <c r="CD415" i="326"/>
  <c r="CE415" i="326"/>
  <c r="CF415" i="326"/>
  <c r="CG415" i="326"/>
  <c r="CH415" i="326"/>
  <c r="CD416" i="326"/>
  <c r="CE416" i="326"/>
  <c r="CF416" i="326"/>
  <c r="CG416" i="326"/>
  <c r="CH416" i="326"/>
  <c r="CD417" i="326"/>
  <c r="CE417" i="326"/>
  <c r="CF417" i="326"/>
  <c r="CG417" i="326"/>
  <c r="CH417" i="326"/>
  <c r="CD418" i="326"/>
  <c r="CE418" i="326"/>
  <c r="CF418" i="326"/>
  <c r="CG418" i="326"/>
  <c r="CH418" i="326"/>
  <c r="CD419" i="326"/>
  <c r="CE419" i="326"/>
  <c r="CF419" i="326"/>
  <c r="CG419" i="326"/>
  <c r="CH419" i="326"/>
  <c r="CD420" i="326"/>
  <c r="CE420" i="326"/>
  <c r="CF420" i="326"/>
  <c r="CG420" i="326"/>
  <c r="CH420" i="326"/>
  <c r="CD421" i="326"/>
  <c r="CE421" i="326"/>
  <c r="CF421" i="326"/>
  <c r="CG421" i="326"/>
  <c r="CH421" i="326"/>
  <c r="CD422" i="326"/>
  <c r="CE422" i="326"/>
  <c r="CF422" i="326"/>
  <c r="CG422" i="326"/>
  <c r="CH422" i="326"/>
  <c r="CD423" i="326"/>
  <c r="CE423" i="326"/>
  <c r="CF423" i="326"/>
  <c r="CG423" i="326"/>
  <c r="CH423" i="326"/>
  <c r="CD424" i="326"/>
  <c r="CE424" i="326"/>
  <c r="CF424" i="326"/>
  <c r="CG424" i="326"/>
  <c r="CH424" i="326"/>
  <c r="CD425" i="326"/>
  <c r="CE425" i="326"/>
  <c r="CF425" i="326"/>
  <c r="CG425" i="326"/>
  <c r="CH425" i="326"/>
  <c r="CD426" i="326"/>
  <c r="CE426" i="326"/>
  <c r="CF426" i="326"/>
  <c r="CG426" i="326"/>
  <c r="CH426" i="326"/>
  <c r="CD427" i="326"/>
  <c r="CE427" i="326"/>
  <c r="CF427" i="326"/>
  <c r="CG427" i="326"/>
  <c r="CH427" i="326"/>
  <c r="CD428" i="326"/>
  <c r="CE428" i="326"/>
  <c r="CF428" i="326"/>
  <c r="CG428" i="326"/>
  <c r="CH428" i="326"/>
  <c r="CD429" i="326"/>
  <c r="CE429" i="326"/>
  <c r="CF429" i="326"/>
  <c r="CG429" i="326"/>
  <c r="CH429" i="326"/>
  <c r="CD430" i="326"/>
  <c r="CE430" i="326"/>
  <c r="CF430" i="326"/>
  <c r="CG430" i="326"/>
  <c r="CH430" i="326"/>
  <c r="CD431" i="326"/>
  <c r="CE431" i="326"/>
  <c r="CF431" i="326"/>
  <c r="CG431" i="326"/>
  <c r="CH431" i="326"/>
  <c r="CD432" i="326"/>
  <c r="CE432" i="326"/>
  <c r="CF432" i="326"/>
  <c r="CG432" i="326"/>
  <c r="CH432" i="326"/>
  <c r="CD433" i="326"/>
  <c r="CE433" i="326"/>
  <c r="CF433" i="326"/>
  <c r="CG433" i="326"/>
  <c r="CH433" i="326"/>
  <c r="CD434" i="326"/>
  <c r="CE434" i="326"/>
  <c r="CF434" i="326"/>
  <c r="CG434" i="326"/>
  <c r="CH434" i="326"/>
  <c r="CD435" i="326"/>
  <c r="CE435" i="326"/>
  <c r="CF435" i="326"/>
  <c r="CG435" i="326"/>
  <c r="CH435" i="326"/>
  <c r="CD436" i="326"/>
  <c r="CE436" i="326"/>
  <c r="CF436" i="326"/>
  <c r="CG436" i="326"/>
  <c r="CH436" i="326"/>
  <c r="CD437" i="326"/>
  <c r="CE437" i="326"/>
  <c r="CF437" i="326"/>
  <c r="CG437" i="326"/>
  <c r="CH437" i="326"/>
  <c r="CD438" i="326"/>
  <c r="CE438" i="326"/>
  <c r="CF438" i="326"/>
  <c r="CG438" i="326"/>
  <c r="CH438" i="326"/>
  <c r="CD439" i="326"/>
  <c r="CE439" i="326"/>
  <c r="CF439" i="326"/>
  <c r="CG439" i="326"/>
  <c r="CH439" i="326"/>
  <c r="CD440" i="326"/>
  <c r="CE440" i="326"/>
  <c r="CF440" i="326"/>
  <c r="CG440" i="326"/>
  <c r="CH440" i="326"/>
  <c r="CD441" i="326"/>
  <c r="CE441" i="326"/>
  <c r="CF441" i="326"/>
  <c r="CG441" i="326"/>
  <c r="CH441" i="326"/>
  <c r="CD442" i="326"/>
  <c r="CE442" i="326"/>
  <c r="CF442" i="326"/>
  <c r="CG442" i="326"/>
  <c r="CH442" i="326"/>
  <c r="CD443" i="326"/>
  <c r="CE443" i="326"/>
  <c r="CF443" i="326"/>
  <c r="CG443" i="326"/>
  <c r="CH443" i="326"/>
  <c r="CD444" i="326"/>
  <c r="CE444" i="326"/>
  <c r="CF444" i="326"/>
  <c r="CG444" i="326"/>
  <c r="CH444" i="326"/>
  <c r="CD445" i="326"/>
  <c r="CE445" i="326"/>
  <c r="CF445" i="326"/>
  <c r="CG445" i="326"/>
  <c r="CH445" i="326"/>
  <c r="CD446" i="326"/>
  <c r="CE446" i="326"/>
  <c r="CF446" i="326"/>
  <c r="CG446" i="326"/>
  <c r="CH446" i="326"/>
  <c r="CD447" i="326"/>
  <c r="CE447" i="326"/>
  <c r="CF447" i="326"/>
  <c r="CG447" i="326"/>
  <c r="CH447" i="326"/>
  <c r="CD448" i="326"/>
  <c r="CE448" i="326"/>
  <c r="CF448" i="326"/>
  <c r="CG448" i="326"/>
  <c r="CH448" i="326"/>
  <c r="CD449" i="326"/>
  <c r="CE449" i="326"/>
  <c r="CF449" i="326"/>
  <c r="CG449" i="326"/>
  <c r="CH449" i="326"/>
  <c r="CD450" i="326"/>
  <c r="CE450" i="326"/>
  <c r="CF450" i="326"/>
  <c r="CG450" i="326"/>
  <c r="CH450" i="326"/>
  <c r="CD451" i="326"/>
  <c r="CE451" i="326"/>
  <c r="CF451" i="326"/>
  <c r="CG451" i="326"/>
  <c r="CH451" i="326"/>
  <c r="CD452" i="326"/>
  <c r="CE452" i="326"/>
  <c r="CF452" i="326"/>
  <c r="CG452" i="326"/>
  <c r="CH452" i="326"/>
  <c r="CD453" i="326"/>
  <c r="CE453" i="326"/>
  <c r="CF453" i="326"/>
  <c r="CG453" i="326"/>
  <c r="CH453" i="326"/>
  <c r="CD454" i="326"/>
  <c r="CE454" i="326"/>
  <c r="CF454" i="326"/>
  <c r="CG454" i="326"/>
  <c r="CH454" i="326"/>
  <c r="CD455" i="326"/>
  <c r="CE455" i="326"/>
  <c r="CF455" i="326"/>
  <c r="CG455" i="326"/>
  <c r="CH455" i="326"/>
  <c r="CD456" i="326"/>
  <c r="CE456" i="326"/>
  <c r="CF456" i="326"/>
  <c r="CG456" i="326"/>
  <c r="CH456" i="326"/>
  <c r="CD457" i="326"/>
  <c r="CE457" i="326"/>
  <c r="CF457" i="326"/>
  <c r="CG457" i="326"/>
  <c r="CH457" i="326"/>
  <c r="CD458" i="326"/>
  <c r="CE458" i="326"/>
  <c r="CF458" i="326"/>
  <c r="CG458" i="326"/>
  <c r="CH458" i="326"/>
  <c r="CD459" i="326"/>
  <c r="CE459" i="326"/>
  <c r="CF459" i="326"/>
  <c r="CG459" i="326"/>
  <c r="CH459" i="326"/>
  <c r="CD460" i="326"/>
  <c r="CE460" i="326"/>
  <c r="CF460" i="326"/>
  <c r="CG460" i="326"/>
  <c r="CH460" i="326"/>
  <c r="CD461" i="326"/>
  <c r="CE461" i="326"/>
  <c r="CF461" i="326"/>
  <c r="CG461" i="326"/>
  <c r="CH461" i="326"/>
  <c r="CD462" i="326"/>
  <c r="CE462" i="326"/>
  <c r="CF462" i="326"/>
  <c r="CG462" i="326"/>
  <c r="CH462" i="326"/>
  <c r="CD463" i="326"/>
  <c r="CE463" i="326"/>
  <c r="CF463" i="326"/>
  <c r="CG463" i="326"/>
  <c r="CH463" i="326"/>
  <c r="CD464" i="326"/>
  <c r="CE464" i="326"/>
  <c r="CF464" i="326"/>
  <c r="CG464" i="326"/>
  <c r="CH464" i="326"/>
  <c r="CD465" i="326"/>
  <c r="CE465" i="326"/>
  <c r="CF465" i="326"/>
  <c r="CG465" i="326"/>
  <c r="CH465" i="326"/>
  <c r="CD466" i="326"/>
  <c r="CE466" i="326"/>
  <c r="CF466" i="326"/>
  <c r="CG466" i="326"/>
  <c r="CH466" i="326"/>
  <c r="CD467" i="326"/>
  <c r="CE467" i="326"/>
  <c r="CF467" i="326"/>
  <c r="CG467" i="326"/>
  <c r="CH467" i="326"/>
  <c r="CD468" i="326"/>
  <c r="CE468" i="326"/>
  <c r="CF468" i="326"/>
  <c r="CG468" i="326"/>
  <c r="CH468" i="326"/>
  <c r="CD469" i="326"/>
  <c r="CE469" i="326"/>
  <c r="CF469" i="326"/>
  <c r="CG469" i="326"/>
  <c r="CH469" i="326"/>
  <c r="CD470" i="326"/>
  <c r="CE470" i="326"/>
  <c r="CF470" i="326"/>
  <c r="CG470" i="326"/>
  <c r="CH470" i="326"/>
  <c r="CD471" i="326"/>
  <c r="CE471" i="326"/>
  <c r="CF471" i="326"/>
  <c r="CG471" i="326"/>
  <c r="CH471" i="326"/>
  <c r="CD472" i="326"/>
  <c r="CE472" i="326"/>
  <c r="CF472" i="326"/>
  <c r="CG472" i="326"/>
  <c r="CH472" i="326"/>
  <c r="CD473" i="326"/>
  <c r="CE473" i="326"/>
  <c r="CF473" i="326"/>
  <c r="CG473" i="326"/>
  <c r="CH473" i="326"/>
  <c r="CD474" i="326"/>
  <c r="CE474" i="326"/>
  <c r="CF474" i="326"/>
  <c r="CG474" i="326"/>
  <c r="CH474" i="326"/>
  <c r="CD475" i="326"/>
  <c r="CE475" i="326"/>
  <c r="CF475" i="326"/>
  <c r="CG475" i="326"/>
  <c r="CH475" i="326"/>
  <c r="CD476" i="326"/>
  <c r="CE476" i="326"/>
  <c r="CF476" i="326"/>
  <c r="CG476" i="326"/>
  <c r="CH476" i="326"/>
  <c r="CD477" i="326"/>
  <c r="CE477" i="326"/>
  <c r="CF477" i="326"/>
  <c r="CG477" i="326"/>
  <c r="CH477" i="326"/>
  <c r="CD478" i="326"/>
  <c r="CE478" i="326"/>
  <c r="CF478" i="326"/>
  <c r="CG478" i="326"/>
  <c r="CH478" i="326"/>
  <c r="CD479" i="326"/>
  <c r="CE479" i="326"/>
  <c r="CF479" i="326"/>
  <c r="CG479" i="326"/>
  <c r="CH479" i="326"/>
  <c r="CD480" i="326"/>
  <c r="CE480" i="326"/>
  <c r="CF480" i="326"/>
  <c r="CG480" i="326"/>
  <c r="CH480" i="326"/>
  <c r="CD481" i="326"/>
  <c r="CE481" i="326"/>
  <c r="CF481" i="326"/>
  <c r="CG481" i="326"/>
  <c r="CH481" i="326"/>
  <c r="CD482" i="326"/>
  <c r="CE482" i="326"/>
  <c r="CF482" i="326"/>
  <c r="CG482" i="326"/>
  <c r="CH482" i="326"/>
  <c r="CD483" i="326"/>
  <c r="CE483" i="326"/>
  <c r="CF483" i="326"/>
  <c r="CG483" i="326"/>
  <c r="CH483" i="326"/>
  <c r="CD484" i="326"/>
  <c r="CE484" i="326"/>
  <c r="CF484" i="326"/>
  <c r="CG484" i="326"/>
  <c r="CH484" i="326"/>
  <c r="CD485" i="326"/>
  <c r="CE485" i="326"/>
  <c r="CF485" i="326"/>
  <c r="CG485" i="326"/>
  <c r="CH485" i="326"/>
  <c r="CD486" i="326"/>
  <c r="CE486" i="326"/>
  <c r="CF486" i="326"/>
  <c r="CG486" i="326"/>
  <c r="CH486" i="326"/>
  <c r="CD487" i="326"/>
  <c r="CE487" i="326"/>
  <c r="CF487" i="326"/>
  <c r="CG487" i="326"/>
  <c r="CH487" i="326"/>
  <c r="CD488" i="326"/>
  <c r="CE488" i="326"/>
  <c r="CF488" i="326"/>
  <c r="CG488" i="326"/>
  <c r="CH488" i="326"/>
  <c r="CD489" i="326"/>
  <c r="CE489" i="326"/>
  <c r="CF489" i="326"/>
  <c r="CG489" i="326"/>
  <c r="CH489" i="326"/>
  <c r="CD490" i="326"/>
  <c r="CE490" i="326"/>
  <c r="CF490" i="326"/>
  <c r="CG490" i="326"/>
  <c r="CH490" i="326"/>
  <c r="CD491" i="326"/>
  <c r="CE491" i="326"/>
  <c r="CF491" i="326"/>
  <c r="CG491" i="326"/>
  <c r="CH491" i="326"/>
  <c r="CD492" i="326"/>
  <c r="CE492" i="326"/>
  <c r="CF492" i="326"/>
  <c r="CG492" i="326"/>
  <c r="CH492" i="326"/>
  <c r="CD493" i="326"/>
  <c r="CE493" i="326"/>
  <c r="CF493" i="326"/>
  <c r="CG493" i="326"/>
  <c r="CH493" i="326"/>
  <c r="CD494" i="326"/>
  <c r="CE494" i="326"/>
  <c r="CF494" i="326"/>
  <c r="CG494" i="326"/>
  <c r="CH494" i="326"/>
  <c r="CD495" i="326"/>
  <c r="CE495" i="326"/>
  <c r="CF495" i="326"/>
  <c r="CG495" i="326"/>
  <c r="CH495" i="326"/>
  <c r="CD496" i="326"/>
  <c r="CE496" i="326"/>
  <c r="CF496" i="326"/>
  <c r="CG496" i="326"/>
  <c r="CH496" i="326"/>
  <c r="CD497" i="326"/>
  <c r="CE497" i="326"/>
  <c r="CF497" i="326"/>
  <c r="CG497" i="326"/>
  <c r="CH497" i="326"/>
  <c r="CD498" i="326"/>
  <c r="CE498" i="326"/>
  <c r="CF498" i="326"/>
  <c r="CG498" i="326"/>
  <c r="CH498" i="326"/>
  <c r="CD499" i="326"/>
  <c r="CE499" i="326"/>
  <c r="CF499" i="326"/>
  <c r="CG499" i="326"/>
  <c r="CH499" i="326"/>
  <c r="CD500" i="326"/>
  <c r="CE500" i="326"/>
  <c r="CF500" i="326"/>
  <c r="CG500" i="326"/>
  <c r="CH500" i="326"/>
  <c r="CD501" i="326"/>
  <c r="CE501" i="326"/>
  <c r="CF501" i="326"/>
  <c r="CG501" i="326"/>
  <c r="CH501" i="326"/>
  <c r="CD502" i="326"/>
  <c r="CE502" i="326"/>
  <c r="CF502" i="326"/>
  <c r="CG502" i="326"/>
  <c r="CH502" i="326"/>
  <c r="CD503" i="326"/>
  <c r="CE503" i="326"/>
  <c r="CF503" i="326"/>
  <c r="CG503" i="326"/>
  <c r="CH503" i="326"/>
  <c r="CD504" i="326"/>
  <c r="CE504" i="326"/>
  <c r="CF504" i="326"/>
  <c r="CG504" i="326"/>
  <c r="CH504" i="326"/>
  <c r="CD505" i="326"/>
  <c r="CE505" i="326"/>
  <c r="CF505" i="326"/>
  <c r="CG505" i="326"/>
  <c r="CH505" i="326"/>
  <c r="CD506" i="326"/>
  <c r="CE506" i="326"/>
  <c r="CF506" i="326"/>
  <c r="CG506" i="326"/>
  <c r="CH506" i="326"/>
  <c r="CD507" i="326"/>
  <c r="CE507" i="326"/>
  <c r="CF507" i="326"/>
  <c r="CG507" i="326"/>
  <c r="CH507" i="326"/>
  <c r="CD508" i="326"/>
  <c r="CE508" i="326"/>
  <c r="CF508" i="326"/>
  <c r="CG508" i="326"/>
  <c r="CH508" i="326"/>
  <c r="CD509" i="326"/>
  <c r="CE509" i="326"/>
  <c r="CF509" i="326"/>
  <c r="CG509" i="326"/>
  <c r="CH509" i="326"/>
  <c r="CD510" i="326"/>
  <c r="CE510" i="326"/>
  <c r="CF510" i="326"/>
  <c r="CG510" i="326"/>
  <c r="CH510" i="326"/>
  <c r="CD511" i="326"/>
  <c r="CE511" i="326"/>
  <c r="CF511" i="326"/>
  <c r="CG511" i="326"/>
  <c r="CH511" i="326"/>
  <c r="CD512" i="326"/>
  <c r="CE512" i="326"/>
  <c r="CF512" i="326"/>
  <c r="CG512" i="326"/>
  <c r="CH512" i="326"/>
  <c r="CD513" i="326"/>
  <c r="CE513" i="326"/>
  <c r="CF513" i="326"/>
  <c r="CG513" i="326"/>
  <c r="CH513" i="326"/>
  <c r="CD514" i="326"/>
  <c r="CE514" i="326"/>
  <c r="CF514" i="326"/>
  <c r="CG514" i="326"/>
  <c r="CH514" i="326"/>
  <c r="CD515" i="326"/>
  <c r="CE515" i="326"/>
  <c r="CF515" i="326"/>
  <c r="CG515" i="326"/>
  <c r="CH515" i="326"/>
  <c r="CD516" i="326"/>
  <c r="CE516" i="326"/>
  <c r="CF516" i="326"/>
  <c r="CG516" i="326"/>
  <c r="CH516" i="326"/>
  <c r="CD517" i="326"/>
  <c r="CE517" i="326"/>
  <c r="CF517" i="326"/>
  <c r="CG517" i="326"/>
  <c r="CH517" i="326"/>
  <c r="CD518" i="326"/>
  <c r="CE518" i="326"/>
  <c r="CF518" i="326"/>
  <c r="CG518" i="326"/>
  <c r="CH518" i="326"/>
  <c r="CD519" i="326"/>
  <c r="CE519" i="326"/>
  <c r="CF519" i="326"/>
  <c r="CG519" i="326"/>
  <c r="CH519" i="326"/>
  <c r="CD520" i="326"/>
  <c r="CE520" i="326"/>
  <c r="CF520" i="326"/>
  <c r="CG520" i="326"/>
  <c r="CH520" i="326"/>
  <c r="CD521" i="326"/>
  <c r="CE521" i="326"/>
  <c r="CF521" i="326"/>
  <c r="CG521" i="326"/>
  <c r="CH521" i="326"/>
  <c r="CD522" i="326"/>
  <c r="CE522" i="326"/>
  <c r="CF522" i="326"/>
  <c r="CG522" i="326"/>
  <c r="CH522" i="326"/>
  <c r="CD523" i="326"/>
  <c r="CE523" i="326"/>
  <c r="CF523" i="326"/>
  <c r="CG523" i="326"/>
  <c r="CH523" i="326"/>
  <c r="CD524" i="326"/>
  <c r="CE524" i="326"/>
  <c r="CF524" i="326"/>
  <c r="CG524" i="326"/>
  <c r="CH524" i="326"/>
  <c r="CD525" i="326"/>
  <c r="CE525" i="326"/>
  <c r="CF525" i="326"/>
  <c r="CG525" i="326"/>
  <c r="CH525" i="326"/>
  <c r="CD526" i="326"/>
  <c r="CE526" i="326"/>
  <c r="CF526" i="326"/>
  <c r="CG526" i="326"/>
  <c r="CH526" i="326"/>
  <c r="CD527" i="326"/>
  <c r="CE527" i="326"/>
  <c r="CF527" i="326"/>
  <c r="CG527" i="326"/>
  <c r="CH527" i="326"/>
  <c r="CD528" i="326"/>
  <c r="CE528" i="326"/>
  <c r="CF528" i="326"/>
  <c r="CG528" i="326"/>
  <c r="CH528" i="326"/>
  <c r="CD529" i="326"/>
  <c r="CE529" i="326"/>
  <c r="CF529" i="326"/>
  <c r="CG529" i="326"/>
  <c r="CH529" i="326"/>
  <c r="CD530" i="326"/>
  <c r="CE530" i="326"/>
  <c r="CF530" i="326"/>
  <c r="CG530" i="326"/>
  <c r="CH530" i="326"/>
  <c r="CD531" i="326"/>
  <c r="CE531" i="326"/>
  <c r="CF531" i="326"/>
  <c r="CG531" i="326"/>
  <c r="CH531" i="326"/>
  <c r="CD532" i="326"/>
  <c r="CE532" i="326"/>
  <c r="CF532" i="326"/>
  <c r="CG532" i="326"/>
  <c r="CH532" i="326"/>
  <c r="CD533" i="326"/>
  <c r="CE533" i="326"/>
  <c r="CF533" i="326"/>
  <c r="CG533" i="326"/>
  <c r="CH533" i="326"/>
  <c r="CD534" i="326"/>
  <c r="CE534" i="326"/>
  <c r="CF534" i="326"/>
  <c r="CG534" i="326"/>
  <c r="CH534" i="326"/>
  <c r="CD535" i="326"/>
  <c r="CE535" i="326"/>
  <c r="CF535" i="326"/>
  <c r="CG535" i="326"/>
  <c r="CH535" i="326"/>
  <c r="CD536" i="326"/>
  <c r="CE536" i="326"/>
  <c r="CF536" i="326"/>
  <c r="CG536" i="326"/>
  <c r="CH536" i="326"/>
  <c r="CD537" i="326"/>
  <c r="CE537" i="326"/>
  <c r="CF537" i="326"/>
  <c r="CG537" i="326"/>
  <c r="CH537" i="326"/>
  <c r="CD538" i="326"/>
  <c r="CE538" i="326"/>
  <c r="CF538" i="326"/>
  <c r="CG538" i="326"/>
  <c r="CH538" i="326"/>
  <c r="CD539" i="326"/>
  <c r="CE539" i="326"/>
  <c r="CF539" i="326"/>
  <c r="CG539" i="326"/>
  <c r="CH539" i="326"/>
  <c r="CD540" i="326"/>
  <c r="CE540" i="326"/>
  <c r="CF540" i="326"/>
  <c r="CG540" i="326"/>
  <c r="CH540" i="326"/>
  <c r="CD541" i="326"/>
  <c r="CE541" i="326"/>
  <c r="CF541" i="326"/>
  <c r="CG541" i="326"/>
  <c r="CH541" i="326"/>
  <c r="CD542" i="326"/>
  <c r="CE542" i="326"/>
  <c r="CF542" i="326"/>
  <c r="CG542" i="326"/>
  <c r="CH542" i="326"/>
  <c r="CD543" i="326"/>
  <c r="CE543" i="326"/>
  <c r="CF543" i="326"/>
  <c r="CG543" i="326"/>
  <c r="CH543" i="326"/>
  <c r="CD544" i="326"/>
  <c r="CE544" i="326"/>
  <c r="CF544" i="326"/>
  <c r="CG544" i="326"/>
  <c r="CH544" i="326"/>
  <c r="CD545" i="326"/>
  <c r="CE545" i="326"/>
  <c r="CF545" i="326"/>
  <c r="CG545" i="326"/>
  <c r="CH545" i="326"/>
  <c r="CD546" i="326"/>
  <c r="CE546" i="326"/>
  <c r="CF546" i="326"/>
  <c r="CG546" i="326"/>
  <c r="CH546" i="326"/>
  <c r="CD547" i="326"/>
  <c r="CE547" i="326"/>
  <c r="CF547" i="326"/>
  <c r="CG547" i="326"/>
  <c r="CH547" i="326"/>
  <c r="CD548" i="326"/>
  <c r="CE548" i="326"/>
  <c r="CF548" i="326"/>
  <c r="CG548" i="326"/>
  <c r="CH548" i="326"/>
  <c r="CD549" i="326"/>
  <c r="CE549" i="326"/>
  <c r="CF549" i="326"/>
  <c r="CG549" i="326"/>
  <c r="CH549" i="326"/>
  <c r="CD550" i="326"/>
  <c r="CE550" i="326"/>
  <c r="CF550" i="326"/>
  <c r="CG550" i="326"/>
  <c r="CH550" i="326"/>
  <c r="CD551" i="326"/>
  <c r="CE551" i="326"/>
  <c r="CF551" i="326"/>
  <c r="CG551" i="326"/>
  <c r="CH551" i="326"/>
  <c r="CD552" i="326"/>
  <c r="CE552" i="326"/>
  <c r="CF552" i="326"/>
  <c r="CG552" i="326"/>
  <c r="CH552" i="326"/>
  <c r="CD553" i="326"/>
  <c r="CE553" i="326"/>
  <c r="CF553" i="326"/>
  <c r="CG553" i="326"/>
  <c r="CH553" i="326"/>
  <c r="CD554" i="326"/>
  <c r="CE554" i="326"/>
  <c r="CF554" i="326"/>
  <c r="CG554" i="326"/>
  <c r="CH554" i="326"/>
  <c r="CD555" i="326"/>
  <c r="CE555" i="326"/>
  <c r="CF555" i="326"/>
  <c r="CG555" i="326"/>
  <c r="CH555" i="326"/>
  <c r="CD556" i="326"/>
  <c r="CE556" i="326"/>
  <c r="CF556" i="326"/>
  <c r="CG556" i="326"/>
  <c r="CH556" i="326"/>
  <c r="CD557" i="326"/>
  <c r="CE557" i="326"/>
  <c r="CF557" i="326"/>
  <c r="CG557" i="326"/>
  <c r="CH557" i="326"/>
  <c r="CD558" i="326"/>
  <c r="CE558" i="326"/>
  <c r="CF558" i="326"/>
  <c r="CG558" i="326"/>
  <c r="CH558" i="326"/>
  <c r="CD559" i="326"/>
  <c r="CE559" i="326"/>
  <c r="CF559" i="326"/>
  <c r="CG559" i="326"/>
  <c r="CH559" i="326"/>
  <c r="CD560" i="326"/>
  <c r="CE560" i="326"/>
  <c r="CF560" i="326"/>
  <c r="CG560" i="326"/>
  <c r="CH560" i="326"/>
  <c r="CD561" i="326"/>
  <c r="CE561" i="326"/>
  <c r="CF561" i="326"/>
  <c r="CG561" i="326"/>
  <c r="CH561" i="326"/>
  <c r="CD562" i="326"/>
  <c r="CE562" i="326"/>
  <c r="CF562" i="326"/>
  <c r="CG562" i="326"/>
  <c r="CH562" i="326"/>
  <c r="CD563" i="326"/>
  <c r="CE563" i="326"/>
  <c r="CF563" i="326"/>
  <c r="CG563" i="326"/>
  <c r="CH563" i="326"/>
  <c r="CD564" i="326"/>
  <c r="CE564" i="326"/>
  <c r="CF564" i="326"/>
  <c r="CG564" i="326"/>
  <c r="CH564" i="326"/>
  <c r="CD565" i="326"/>
  <c r="CE565" i="326"/>
  <c r="CF565" i="326"/>
  <c r="CG565" i="326"/>
  <c r="CH565" i="326"/>
  <c r="CD566" i="326"/>
  <c r="CE566" i="326"/>
  <c r="CF566" i="326"/>
  <c r="CG566" i="326"/>
  <c r="CH566" i="326"/>
  <c r="CD567" i="326"/>
  <c r="CE567" i="326"/>
  <c r="CF567" i="326"/>
  <c r="CG567" i="326"/>
  <c r="CH567" i="326"/>
  <c r="CD568" i="326"/>
  <c r="CE568" i="326"/>
  <c r="CF568" i="326"/>
  <c r="CG568" i="326"/>
  <c r="CH568" i="326"/>
  <c r="CD569" i="326"/>
  <c r="CE569" i="326"/>
  <c r="CF569" i="326"/>
  <c r="CG569" i="326"/>
  <c r="CH569" i="326"/>
  <c r="CD570" i="326"/>
  <c r="CE570" i="326"/>
  <c r="CF570" i="326"/>
  <c r="CG570" i="326"/>
  <c r="CH570" i="326"/>
  <c r="CD571" i="326"/>
  <c r="CE571" i="326"/>
  <c r="CF571" i="326"/>
  <c r="CG571" i="326"/>
  <c r="CH571" i="326"/>
  <c r="CD572" i="326"/>
  <c r="CE572" i="326"/>
  <c r="CF572" i="326"/>
  <c r="CG572" i="326"/>
  <c r="CH572" i="326"/>
  <c r="CD573" i="326"/>
  <c r="CE573" i="326"/>
  <c r="CF573" i="326"/>
  <c r="CG573" i="326"/>
  <c r="CH573" i="326"/>
  <c r="CD574" i="326"/>
  <c r="CE574" i="326"/>
  <c r="CF574" i="326"/>
  <c r="CG574" i="326"/>
  <c r="CH574" i="326"/>
  <c r="CD575" i="326"/>
  <c r="CE575" i="326"/>
  <c r="CF575" i="326"/>
  <c r="CG575" i="326"/>
  <c r="CH575" i="326"/>
  <c r="CD576" i="326"/>
  <c r="CE576" i="326"/>
  <c r="CF576" i="326"/>
  <c r="CG576" i="326"/>
  <c r="CH576" i="326"/>
  <c r="CD577" i="326"/>
  <c r="CE577" i="326"/>
  <c r="CF577" i="326"/>
  <c r="CG577" i="326"/>
  <c r="CH577" i="326"/>
  <c r="CD578" i="326"/>
  <c r="CE578" i="326"/>
  <c r="CF578" i="326"/>
  <c r="CG578" i="326"/>
  <c r="CH578" i="326"/>
  <c r="CD579" i="326"/>
  <c r="CE579" i="326"/>
  <c r="CF579" i="326"/>
  <c r="CG579" i="326"/>
  <c r="CH579" i="326"/>
  <c r="CD580" i="326"/>
  <c r="CE580" i="326"/>
  <c r="CF580" i="326"/>
  <c r="CG580" i="326"/>
  <c r="CH580" i="326"/>
  <c r="CD581" i="326"/>
  <c r="CE581" i="326"/>
  <c r="CF581" i="326"/>
  <c r="CG581" i="326"/>
  <c r="CH581" i="326"/>
  <c r="CD582" i="326"/>
  <c r="CE582" i="326"/>
  <c r="CF582" i="326"/>
  <c r="CG582" i="326"/>
  <c r="CH582" i="326"/>
  <c r="CD583" i="326"/>
  <c r="CE583" i="326"/>
  <c r="CF583" i="326"/>
  <c r="CG583" i="326"/>
  <c r="CH583" i="326"/>
  <c r="CD584" i="326"/>
  <c r="CE584" i="326"/>
  <c r="CF584" i="326"/>
  <c r="CG584" i="326"/>
  <c r="CH584" i="326"/>
  <c r="CD585" i="326"/>
  <c r="CE585" i="326"/>
  <c r="CF585" i="326"/>
  <c r="CG585" i="326"/>
  <c r="CH585" i="326"/>
  <c r="CD586" i="326"/>
  <c r="CE586" i="326"/>
  <c r="CF586" i="326"/>
  <c r="CG586" i="326"/>
  <c r="CH586" i="326"/>
  <c r="CD587" i="326"/>
  <c r="CE587" i="326"/>
  <c r="CF587" i="326"/>
  <c r="CG587" i="326"/>
  <c r="CH587" i="326"/>
  <c r="CD588" i="326"/>
  <c r="CE588" i="326"/>
  <c r="CF588" i="326"/>
  <c r="CG588" i="326"/>
  <c r="CH588" i="326"/>
  <c r="CD589" i="326"/>
  <c r="CE589" i="326"/>
  <c r="CF589" i="326"/>
  <c r="CG589" i="326"/>
  <c r="CH589" i="326"/>
  <c r="CD590" i="326"/>
  <c r="CE590" i="326"/>
  <c r="CF590" i="326"/>
  <c r="CG590" i="326"/>
  <c r="CH590" i="326"/>
  <c r="CD591" i="326"/>
  <c r="CE591" i="326"/>
  <c r="CF591" i="326"/>
  <c r="CG591" i="326"/>
  <c r="CH591" i="326"/>
  <c r="CD592" i="326"/>
  <c r="CE592" i="326"/>
  <c r="CF592" i="326"/>
  <c r="CG592" i="326"/>
  <c r="CH592" i="326"/>
  <c r="CD593" i="326"/>
  <c r="CE593" i="326"/>
  <c r="CF593" i="326"/>
  <c r="CG593" i="326"/>
  <c r="CH593" i="326"/>
  <c r="CD594" i="326"/>
  <c r="CE594" i="326"/>
  <c r="CF594" i="326"/>
  <c r="CG594" i="326"/>
  <c r="CH594" i="326"/>
  <c r="CD595" i="326"/>
  <c r="CE595" i="326"/>
  <c r="CF595" i="326"/>
  <c r="CG595" i="326"/>
  <c r="CH595" i="326"/>
  <c r="CD596" i="326"/>
  <c r="CE596" i="326"/>
  <c r="CF596" i="326"/>
  <c r="CG596" i="326"/>
  <c r="CH596" i="326"/>
  <c r="CD597" i="326"/>
  <c r="CE597" i="326"/>
  <c r="CF597" i="326"/>
  <c r="CG597" i="326"/>
  <c r="CH597" i="326"/>
  <c r="CD598" i="326"/>
  <c r="CE598" i="326"/>
  <c r="CF598" i="326"/>
  <c r="CG598" i="326"/>
  <c r="CH598" i="326"/>
  <c r="CD599" i="326"/>
  <c r="CE599" i="326"/>
  <c r="CF599" i="326"/>
  <c r="CG599" i="326"/>
  <c r="CH599" i="326"/>
  <c r="CD600" i="326"/>
  <c r="CE600" i="326"/>
  <c r="CF600" i="326"/>
  <c r="CG600" i="326"/>
  <c r="CH600" i="326"/>
  <c r="CH8" i="326"/>
  <c r="CG8" i="326"/>
  <c r="CF8" i="326"/>
  <c r="CE8" i="326"/>
  <c r="CD8" i="326"/>
  <c r="BX9" i="326"/>
  <c r="BX10" i="326"/>
  <c r="BX11" i="326"/>
  <c r="BX12" i="326"/>
  <c r="BX13" i="326"/>
  <c r="BX14" i="326"/>
  <c r="BX15" i="326"/>
  <c r="BX16" i="326"/>
  <c r="BX17" i="326"/>
  <c r="BX18" i="326"/>
  <c r="BX19" i="326"/>
  <c r="BX20" i="326"/>
  <c r="BX21" i="326"/>
  <c r="BX22" i="326"/>
  <c r="BX23" i="326"/>
  <c r="BX24" i="326"/>
  <c r="BX25" i="326"/>
  <c r="BX26" i="326"/>
  <c r="BX27" i="326"/>
  <c r="BX28" i="326"/>
  <c r="BX29" i="326"/>
  <c r="BX30" i="326"/>
  <c r="BX31" i="326"/>
  <c r="BX32" i="326"/>
  <c r="BX33" i="326"/>
  <c r="BX34" i="326"/>
  <c r="BX35" i="326"/>
  <c r="BX36" i="326"/>
  <c r="BX37" i="326"/>
  <c r="BX38" i="326"/>
  <c r="BX39" i="326"/>
  <c r="BX40" i="326"/>
  <c r="BX41" i="326"/>
  <c r="BX42" i="326"/>
  <c r="BX43" i="326"/>
  <c r="BX44" i="326"/>
  <c r="BX45" i="326"/>
  <c r="BX46" i="326"/>
  <c r="BX47" i="326"/>
  <c r="BX48" i="326"/>
  <c r="BX49" i="326"/>
  <c r="BX50" i="326"/>
  <c r="BX51" i="326"/>
  <c r="BX52" i="326"/>
  <c r="BX53" i="326"/>
  <c r="BX54" i="326"/>
  <c r="BX55" i="326"/>
  <c r="BX56" i="326"/>
  <c r="BX57" i="326"/>
  <c r="BX58" i="326"/>
  <c r="BX59" i="326"/>
  <c r="BX60" i="326"/>
  <c r="BX61" i="326"/>
  <c r="BX62" i="326"/>
  <c r="BX63" i="326"/>
  <c r="BX64" i="326"/>
  <c r="BX65" i="326"/>
  <c r="BX66" i="326"/>
  <c r="BX67" i="326"/>
  <c r="BX68" i="326"/>
  <c r="BX69" i="326"/>
  <c r="BX70" i="326"/>
  <c r="BX71" i="326"/>
  <c r="BX72" i="326"/>
  <c r="BX73" i="326"/>
  <c r="BX74" i="326"/>
  <c r="BX75" i="326"/>
  <c r="BX76" i="326"/>
  <c r="BX77" i="326"/>
  <c r="BX78" i="326"/>
  <c r="BX79" i="326"/>
  <c r="BX80" i="326"/>
  <c r="BX81" i="326"/>
  <c r="BX82" i="326"/>
  <c r="BX83" i="326"/>
  <c r="BX84" i="326"/>
  <c r="BX85" i="326"/>
  <c r="BX86" i="326"/>
  <c r="BX87" i="326"/>
  <c r="BX88" i="326"/>
  <c r="BX89" i="326"/>
  <c r="BX90" i="326"/>
  <c r="BX91" i="326"/>
  <c r="BX92" i="326"/>
  <c r="BX93" i="326"/>
  <c r="BX94" i="326"/>
  <c r="BX95" i="326"/>
  <c r="BX96" i="326"/>
  <c r="BX97" i="326"/>
  <c r="BX98" i="326"/>
  <c r="BX99" i="326"/>
  <c r="BX100" i="326"/>
  <c r="BX101" i="326"/>
  <c r="BX102" i="326"/>
  <c r="BX103" i="326"/>
  <c r="BX104" i="326"/>
  <c r="BX105" i="326"/>
  <c r="BX106" i="326"/>
  <c r="BX107" i="326"/>
  <c r="BX108" i="326"/>
  <c r="BX109" i="326"/>
  <c r="BX110" i="326"/>
  <c r="BX111" i="326"/>
  <c r="BX112" i="326"/>
  <c r="BX113" i="326"/>
  <c r="BX114" i="326"/>
  <c r="BX115" i="326"/>
  <c r="BX116" i="326"/>
  <c r="BX117" i="326"/>
  <c r="BX118" i="326"/>
  <c r="BX119" i="326"/>
  <c r="BX120" i="326"/>
  <c r="BX121" i="326"/>
  <c r="BX122" i="326"/>
  <c r="BX123" i="326"/>
  <c r="BX124" i="326"/>
  <c r="BX125" i="326"/>
  <c r="BX126" i="326"/>
  <c r="BX127" i="326"/>
  <c r="BX128" i="326"/>
  <c r="BX129" i="326"/>
  <c r="BX130" i="326"/>
  <c r="BX131" i="326"/>
  <c r="BX132" i="326"/>
  <c r="BX133" i="326"/>
  <c r="BX134" i="326"/>
  <c r="BX135" i="326"/>
  <c r="BX136" i="326"/>
  <c r="BX137" i="326"/>
  <c r="BX138" i="326"/>
  <c r="BX139" i="326"/>
  <c r="BX140" i="326"/>
  <c r="BX141" i="326"/>
  <c r="BX142" i="326"/>
  <c r="BX143" i="326"/>
  <c r="BX144" i="326"/>
  <c r="BX145" i="326"/>
  <c r="BX146" i="326"/>
  <c r="BX147" i="326"/>
  <c r="BX148" i="326"/>
  <c r="BX149" i="326"/>
  <c r="BX150" i="326"/>
  <c r="BX151" i="326"/>
  <c r="BX152" i="326"/>
  <c r="BX153" i="326"/>
  <c r="BX154" i="326"/>
  <c r="BX155" i="326"/>
  <c r="BX156" i="326"/>
  <c r="BX157" i="326"/>
  <c r="BX158" i="326"/>
  <c r="BX159" i="326"/>
  <c r="BX160" i="326"/>
  <c r="BX161" i="326"/>
  <c r="BX162" i="326"/>
  <c r="BX163" i="326"/>
  <c r="BX164" i="326"/>
  <c r="BX165" i="326"/>
  <c r="BX166" i="326"/>
  <c r="BX167" i="326"/>
  <c r="BX168" i="326"/>
  <c r="BX169" i="326"/>
  <c r="BX170" i="326"/>
  <c r="BX171" i="326"/>
  <c r="BX172" i="326"/>
  <c r="BX173" i="326"/>
  <c r="BX174" i="326"/>
  <c r="BX175" i="326"/>
  <c r="BX176" i="326"/>
  <c r="BX177" i="326"/>
  <c r="BX178" i="326"/>
  <c r="BX179" i="326"/>
  <c r="BX180" i="326"/>
  <c r="BX181" i="326"/>
  <c r="BX182" i="326"/>
  <c r="BX183" i="326"/>
  <c r="BX184" i="326"/>
  <c r="BX185" i="326"/>
  <c r="BX186" i="326"/>
  <c r="BX187" i="326"/>
  <c r="BX188" i="326"/>
  <c r="BX189" i="326"/>
  <c r="BX190" i="326"/>
  <c r="BX191" i="326"/>
  <c r="BX192" i="326"/>
  <c r="BX193" i="326"/>
  <c r="BX194" i="326"/>
  <c r="BX195" i="326"/>
  <c r="BX196" i="326"/>
  <c r="BX197" i="326"/>
  <c r="BX198" i="326"/>
  <c r="BX199" i="326"/>
  <c r="BX200" i="326"/>
  <c r="BX201" i="326"/>
  <c r="BX202" i="326"/>
  <c r="BX203" i="326"/>
  <c r="BX204" i="326"/>
  <c r="BX205" i="326"/>
  <c r="BX206" i="326"/>
  <c r="BX207" i="326"/>
  <c r="BX208" i="326"/>
  <c r="BX209" i="326"/>
  <c r="BX210" i="326"/>
  <c r="BX211" i="326"/>
  <c r="BX212" i="326"/>
  <c r="BX213" i="326"/>
  <c r="BX214" i="326"/>
  <c r="BX215" i="326"/>
  <c r="BX216" i="326"/>
  <c r="BX217" i="326"/>
  <c r="BX218" i="326"/>
  <c r="BX219" i="326"/>
  <c r="BX220" i="326"/>
  <c r="BX221" i="326"/>
  <c r="BX222" i="326"/>
  <c r="BX223" i="326"/>
  <c r="BX224" i="326"/>
  <c r="BX225" i="326"/>
  <c r="BX226" i="326"/>
  <c r="BX227" i="326"/>
  <c r="BX228" i="326"/>
  <c r="BX229" i="326"/>
  <c r="BX230" i="326"/>
  <c r="BX231" i="326"/>
  <c r="BX232" i="326"/>
  <c r="BX233" i="326"/>
  <c r="BX234" i="326"/>
  <c r="BX235" i="326"/>
  <c r="BX236" i="326"/>
  <c r="BX237" i="326"/>
  <c r="BX238" i="326"/>
  <c r="BX239" i="326"/>
  <c r="BX240" i="326"/>
  <c r="BX241" i="326"/>
  <c r="BX242" i="326"/>
  <c r="BX243" i="326"/>
  <c r="BX244" i="326"/>
  <c r="BX245" i="326"/>
  <c r="BX246" i="326"/>
  <c r="BX247" i="326"/>
  <c r="BX248" i="326"/>
  <c r="BX249" i="326"/>
  <c r="BX250" i="326"/>
  <c r="BX251" i="326"/>
  <c r="BX252" i="326"/>
  <c r="BX253" i="326"/>
  <c r="BX254" i="326"/>
  <c r="BX255" i="326"/>
  <c r="BX256" i="326"/>
  <c r="BX257" i="326"/>
  <c r="BX258" i="326"/>
  <c r="BX259" i="326"/>
  <c r="BX260" i="326"/>
  <c r="BX261" i="326"/>
  <c r="BX262" i="326"/>
  <c r="BX263" i="326"/>
  <c r="BX264" i="326"/>
  <c r="BX265" i="326"/>
  <c r="BX266" i="326"/>
  <c r="BX267" i="326"/>
  <c r="BX268" i="326"/>
  <c r="BX269" i="326"/>
  <c r="BX270" i="326"/>
  <c r="BX271" i="326"/>
  <c r="BX272" i="326"/>
  <c r="BX273" i="326"/>
  <c r="BX274" i="326"/>
  <c r="BX275" i="326"/>
  <c r="BX276" i="326"/>
  <c r="BX277" i="326"/>
  <c r="BX278" i="326"/>
  <c r="BX279" i="326"/>
  <c r="BX280" i="326"/>
  <c r="BX281" i="326"/>
  <c r="BX282" i="326"/>
  <c r="BX283" i="326"/>
  <c r="BX284" i="326"/>
  <c r="BX285" i="326"/>
  <c r="BX286" i="326"/>
  <c r="BX287" i="326"/>
  <c r="BX288" i="326"/>
  <c r="BX289" i="326"/>
  <c r="BX290" i="326"/>
  <c r="BX291" i="326"/>
  <c r="BX292" i="326"/>
  <c r="BX293" i="326"/>
  <c r="BX294" i="326"/>
  <c r="BX295" i="326"/>
  <c r="BX296" i="326"/>
  <c r="BX297" i="326"/>
  <c r="BX298" i="326"/>
  <c r="BX299" i="326"/>
  <c r="BX300" i="326"/>
  <c r="BX301" i="326"/>
  <c r="BX302" i="326"/>
  <c r="BX303" i="326"/>
  <c r="BX304" i="326"/>
  <c r="BX305" i="326"/>
  <c r="BX306" i="326"/>
  <c r="BX307" i="326"/>
  <c r="BX308" i="326"/>
  <c r="BX309" i="326"/>
  <c r="BX310" i="326"/>
  <c r="BX311" i="326"/>
  <c r="BX312" i="326"/>
  <c r="BX313" i="326"/>
  <c r="BX314" i="326"/>
  <c r="BX315" i="326"/>
  <c r="BX316" i="326"/>
  <c r="BX317" i="326"/>
  <c r="BX318" i="326"/>
  <c r="BX319" i="326"/>
  <c r="BX320" i="326"/>
  <c r="BX321" i="326"/>
  <c r="BX322" i="326"/>
  <c r="BX323" i="326"/>
  <c r="BX324" i="326"/>
  <c r="BX325" i="326"/>
  <c r="BX326" i="326"/>
  <c r="BX327" i="326"/>
  <c r="BX328" i="326"/>
  <c r="BX329" i="326"/>
  <c r="BX330" i="326"/>
  <c r="BX331" i="326"/>
  <c r="BX332" i="326"/>
  <c r="BX333" i="326"/>
  <c r="BX334" i="326"/>
  <c r="BX335" i="326"/>
  <c r="BX336" i="326"/>
  <c r="BX337" i="326"/>
  <c r="BX338" i="326"/>
  <c r="BX339" i="326"/>
  <c r="BX340" i="326"/>
  <c r="BX341" i="326"/>
  <c r="BX342" i="326"/>
  <c r="BX343" i="326"/>
  <c r="BX344" i="326"/>
  <c r="BX345" i="326"/>
  <c r="BX346" i="326"/>
  <c r="BX347" i="326"/>
  <c r="BX348" i="326"/>
  <c r="BX349" i="326"/>
  <c r="BX350" i="326"/>
  <c r="BX351" i="326"/>
  <c r="BX352" i="326"/>
  <c r="BX353" i="326"/>
  <c r="BX354" i="326"/>
  <c r="BX355" i="326"/>
  <c r="BX356" i="326"/>
  <c r="BX357" i="326"/>
  <c r="BX358" i="326"/>
  <c r="BX359" i="326"/>
  <c r="BX360" i="326"/>
  <c r="BX361" i="326"/>
  <c r="BX362" i="326"/>
  <c r="BX363" i="326"/>
  <c r="BX364" i="326"/>
  <c r="BX365" i="326"/>
  <c r="BX366" i="326"/>
  <c r="BX367" i="326"/>
  <c r="BX368" i="326"/>
  <c r="BX369" i="326"/>
  <c r="BX370" i="326"/>
  <c r="BX371" i="326"/>
  <c r="BX372" i="326"/>
  <c r="BX373" i="326"/>
  <c r="BX374" i="326"/>
  <c r="BX375" i="326"/>
  <c r="BX376" i="326"/>
  <c r="BX377" i="326"/>
  <c r="BX378" i="326"/>
  <c r="BX379" i="326"/>
  <c r="BX380" i="326"/>
  <c r="BX381" i="326"/>
  <c r="BX382" i="326"/>
  <c r="BX383" i="326"/>
  <c r="BX384" i="326"/>
  <c r="BX385" i="326"/>
  <c r="BX386" i="326"/>
  <c r="BX387" i="326"/>
  <c r="BX388" i="326"/>
  <c r="BX389" i="326"/>
  <c r="BX390" i="326"/>
  <c r="BX391" i="326"/>
  <c r="BX392" i="326"/>
  <c r="BX393" i="326"/>
  <c r="BX394" i="326"/>
  <c r="BX395" i="326"/>
  <c r="BX396" i="326"/>
  <c r="BX397" i="326"/>
  <c r="BX398" i="326"/>
  <c r="BX399" i="326"/>
  <c r="BX400" i="326"/>
  <c r="BX401" i="326"/>
  <c r="BX402" i="326"/>
  <c r="BX403" i="326"/>
  <c r="BX404" i="326"/>
  <c r="BX405" i="326"/>
  <c r="BX406" i="326"/>
  <c r="BX407" i="326"/>
  <c r="BX408" i="326"/>
  <c r="BX409" i="326"/>
  <c r="BX410" i="326"/>
  <c r="BX411" i="326"/>
  <c r="BX412" i="326"/>
  <c r="BX413" i="326"/>
  <c r="BX414" i="326"/>
  <c r="BX415" i="326"/>
  <c r="BX416" i="326"/>
  <c r="BX417" i="326"/>
  <c r="BX418" i="326"/>
  <c r="BX419" i="326"/>
  <c r="BX420" i="326"/>
  <c r="BX421" i="326"/>
  <c r="BX422" i="326"/>
  <c r="BX423" i="326"/>
  <c r="BX424" i="326"/>
  <c r="BX425" i="326"/>
  <c r="BX426" i="326"/>
  <c r="BX427" i="326"/>
  <c r="BX428" i="326"/>
  <c r="BX429" i="326"/>
  <c r="BX430" i="326"/>
  <c r="BX431" i="326"/>
  <c r="BX432" i="326"/>
  <c r="BX433" i="326"/>
  <c r="BX434" i="326"/>
  <c r="BX435" i="326"/>
  <c r="BX436" i="326"/>
  <c r="BX437" i="326"/>
  <c r="BX438" i="326"/>
  <c r="BX439" i="326"/>
  <c r="BX440" i="326"/>
  <c r="BX441" i="326"/>
  <c r="BX442" i="326"/>
  <c r="BX443" i="326"/>
  <c r="BX444" i="326"/>
  <c r="BX445" i="326"/>
  <c r="BX446" i="326"/>
  <c r="BX447" i="326"/>
  <c r="BX448" i="326"/>
  <c r="BX449" i="326"/>
  <c r="BX450" i="326"/>
  <c r="BX451" i="326"/>
  <c r="BX452" i="326"/>
  <c r="BX453" i="326"/>
  <c r="BX454" i="326"/>
  <c r="BX455" i="326"/>
  <c r="BX456" i="326"/>
  <c r="BX457" i="326"/>
  <c r="BX458" i="326"/>
  <c r="BX459" i="326"/>
  <c r="BX460" i="326"/>
  <c r="BX461" i="326"/>
  <c r="BX462" i="326"/>
  <c r="BX463" i="326"/>
  <c r="BX464" i="326"/>
  <c r="BX465" i="326"/>
  <c r="BX466" i="326"/>
  <c r="BX467" i="326"/>
  <c r="BX468" i="326"/>
  <c r="BX469" i="326"/>
  <c r="BX470" i="326"/>
  <c r="BX471" i="326"/>
  <c r="BX472" i="326"/>
  <c r="BX473" i="326"/>
  <c r="BX474" i="326"/>
  <c r="BX475" i="326"/>
  <c r="BX476" i="326"/>
  <c r="BX477" i="326"/>
  <c r="BX478" i="326"/>
  <c r="BX479" i="326"/>
  <c r="BX480" i="326"/>
  <c r="BX481" i="326"/>
  <c r="BX482" i="326"/>
  <c r="BX483" i="326"/>
  <c r="BX484" i="326"/>
  <c r="BX485" i="326"/>
  <c r="BX486" i="326"/>
  <c r="BX487" i="326"/>
  <c r="BX488" i="326"/>
  <c r="BX489" i="326"/>
  <c r="BX490" i="326"/>
  <c r="BX491" i="326"/>
  <c r="BX492" i="326"/>
  <c r="BX493" i="326"/>
  <c r="BX494" i="326"/>
  <c r="BX495" i="326"/>
  <c r="BX496" i="326"/>
  <c r="BX497" i="326"/>
  <c r="BX498" i="326"/>
  <c r="BX499" i="326"/>
  <c r="BX500" i="326"/>
  <c r="BX501" i="326"/>
  <c r="BX502" i="326"/>
  <c r="BX503" i="326"/>
  <c r="BX504" i="326"/>
  <c r="BX505" i="326"/>
  <c r="BX506" i="326"/>
  <c r="BX507" i="326"/>
  <c r="BX508" i="326"/>
  <c r="BX509" i="326"/>
  <c r="BX510" i="326"/>
  <c r="BX511" i="326"/>
  <c r="BX512" i="326"/>
  <c r="BX513" i="326"/>
  <c r="BX514" i="326"/>
  <c r="BX515" i="326"/>
  <c r="BX516" i="326"/>
  <c r="BX517" i="326"/>
  <c r="BX518" i="326"/>
  <c r="BX519" i="326"/>
  <c r="BX520" i="326"/>
  <c r="BX521" i="326"/>
  <c r="BX522" i="326"/>
  <c r="BX523" i="326"/>
  <c r="BX524" i="326"/>
  <c r="BX525" i="326"/>
  <c r="BX526" i="326"/>
  <c r="BX527" i="326"/>
  <c r="BX528" i="326"/>
  <c r="BX529" i="326"/>
  <c r="BX530" i="326"/>
  <c r="BX531" i="326"/>
  <c r="BX532" i="326"/>
  <c r="BX533" i="326"/>
  <c r="BX534" i="326"/>
  <c r="BX535" i="326"/>
  <c r="BX536" i="326"/>
  <c r="BX537" i="326"/>
  <c r="BX538" i="326"/>
  <c r="BX539" i="326"/>
  <c r="BX540" i="326"/>
  <c r="BX541" i="326"/>
  <c r="BX542" i="326"/>
  <c r="BX543" i="326"/>
  <c r="BX544" i="326"/>
  <c r="BX545" i="326"/>
  <c r="BX546" i="326"/>
  <c r="BX547" i="326"/>
  <c r="BX548" i="326"/>
  <c r="BX549" i="326"/>
  <c r="BX550" i="326"/>
  <c r="BX551" i="326"/>
  <c r="BX552" i="326"/>
  <c r="BX553" i="326"/>
  <c r="BX554" i="326"/>
  <c r="BX555" i="326"/>
  <c r="BX556" i="326"/>
  <c r="BX557" i="326"/>
  <c r="BX558" i="326"/>
  <c r="BX559" i="326"/>
  <c r="BX560" i="326"/>
  <c r="BX561" i="326"/>
  <c r="BX562" i="326"/>
  <c r="BX563" i="326"/>
  <c r="BX564" i="326"/>
  <c r="BX565" i="326"/>
  <c r="BX566" i="326"/>
  <c r="BX567" i="326"/>
  <c r="BX568" i="326"/>
  <c r="BX569" i="326"/>
  <c r="BX570" i="326"/>
  <c r="BX571" i="326"/>
  <c r="BX572" i="326"/>
  <c r="BX573" i="326"/>
  <c r="BX574" i="326"/>
  <c r="BX575" i="326"/>
  <c r="BX576" i="326"/>
  <c r="BX577" i="326"/>
  <c r="BX578" i="326"/>
  <c r="BX579" i="326"/>
  <c r="BX580" i="326"/>
  <c r="BX581" i="326"/>
  <c r="BX582" i="326"/>
  <c r="BX583" i="326"/>
  <c r="BX584" i="326"/>
  <c r="BX585" i="326"/>
  <c r="BX586" i="326"/>
  <c r="BX587" i="326"/>
  <c r="BX588" i="326"/>
  <c r="BX589" i="326"/>
  <c r="BX590" i="326"/>
  <c r="BX591" i="326"/>
  <c r="BX592" i="326"/>
  <c r="BX593" i="326"/>
  <c r="BX594" i="326"/>
  <c r="BX595" i="326"/>
  <c r="BX596" i="326"/>
  <c r="BX597" i="326"/>
  <c r="BX598" i="326"/>
  <c r="BX599" i="326"/>
  <c r="BX600" i="326"/>
  <c r="BX601" i="326"/>
  <c r="BX602" i="326"/>
  <c r="BX603" i="326"/>
  <c r="BX604" i="326"/>
  <c r="BX605" i="326"/>
  <c r="BX606" i="326"/>
  <c r="BX607" i="326"/>
  <c r="BX608" i="326"/>
  <c r="BX609" i="326"/>
  <c r="BX610" i="326"/>
  <c r="BX611" i="326"/>
  <c r="BX612" i="326"/>
  <c r="BX613" i="326"/>
  <c r="BX614" i="326"/>
  <c r="BX615" i="326"/>
  <c r="BX616" i="326"/>
  <c r="BX617" i="326"/>
  <c r="BX618" i="326"/>
  <c r="BX619" i="326"/>
  <c r="BX620" i="326"/>
  <c r="BX621" i="326"/>
  <c r="BX622" i="326"/>
  <c r="BX623" i="326"/>
  <c r="BX624" i="326"/>
  <c r="BX625" i="326"/>
  <c r="BX626" i="326"/>
  <c r="BX627" i="326"/>
  <c r="BX628" i="326"/>
  <c r="BX629" i="326"/>
  <c r="BX630" i="326"/>
  <c r="BX631" i="326"/>
  <c r="BX632" i="326"/>
  <c r="BX633" i="326"/>
  <c r="BX634" i="326"/>
  <c r="BX635" i="326"/>
  <c r="BX636" i="326"/>
  <c r="BX637" i="326"/>
  <c r="BX638" i="326"/>
  <c r="BX639" i="326"/>
  <c r="BX640" i="326"/>
  <c r="BX641" i="326"/>
  <c r="BX642" i="326"/>
  <c r="BX643" i="326"/>
  <c r="BX644" i="326"/>
  <c r="BX645" i="326"/>
  <c r="BX646" i="326"/>
  <c r="BX647" i="326"/>
  <c r="BX648" i="326"/>
  <c r="BX649" i="326"/>
  <c r="BX650" i="326"/>
  <c r="BX651" i="326"/>
  <c r="BX652" i="326"/>
  <c r="BX653" i="326"/>
  <c r="BX654" i="326"/>
  <c r="BX655" i="326"/>
  <c r="BX656" i="326"/>
  <c r="BX657" i="326"/>
  <c r="BX658" i="326"/>
  <c r="BX659" i="326"/>
  <c r="BX660" i="326"/>
  <c r="BX661" i="326"/>
  <c r="BX662" i="326"/>
  <c r="BX663" i="326"/>
  <c r="BX664" i="326"/>
  <c r="BX665" i="326"/>
  <c r="BX666" i="326"/>
  <c r="BX667" i="326"/>
  <c r="BX668" i="326"/>
  <c r="BX669" i="326"/>
  <c r="BX670" i="326"/>
  <c r="BX8" i="326"/>
  <c r="BW601" i="326"/>
  <c r="BW602" i="326"/>
  <c r="BW603" i="326"/>
  <c r="BW604" i="326"/>
  <c r="BW605" i="326"/>
  <c r="BW606" i="326"/>
  <c r="BW607" i="326"/>
  <c r="BW608" i="326"/>
  <c r="BW609" i="326"/>
  <c r="BW610" i="326"/>
  <c r="BW611" i="326"/>
  <c r="BW612" i="326"/>
  <c r="BW613" i="326"/>
  <c r="BW614" i="326"/>
  <c r="BW615" i="326"/>
  <c r="BW616" i="326"/>
  <c r="BW617" i="326"/>
  <c r="BW618" i="326"/>
  <c r="BW619" i="326"/>
  <c r="BW620" i="326"/>
  <c r="BW621" i="326"/>
  <c r="BW622" i="326"/>
  <c r="BW623" i="326"/>
  <c r="BW624" i="326"/>
  <c r="BW625" i="326"/>
  <c r="BW626" i="326"/>
  <c r="BW627" i="326"/>
  <c r="BW628" i="326"/>
  <c r="BW629" i="326"/>
  <c r="BW630" i="326"/>
  <c r="BW631" i="326"/>
  <c r="BW632" i="326"/>
  <c r="BW633" i="326"/>
  <c r="BW634" i="326"/>
  <c r="BW635" i="326"/>
  <c r="BW636" i="326"/>
  <c r="BW637" i="326"/>
  <c r="BW638" i="326"/>
  <c r="BW639" i="326"/>
  <c r="BW640" i="326"/>
  <c r="BW641" i="326"/>
  <c r="BW642" i="326"/>
  <c r="BW643" i="326"/>
  <c r="BW644" i="326"/>
  <c r="BW645" i="326"/>
  <c r="BW646" i="326"/>
  <c r="BW647" i="326"/>
  <c r="BW648" i="326"/>
  <c r="BW649" i="326"/>
  <c r="BW650" i="326"/>
  <c r="BW651" i="326"/>
  <c r="BW652" i="326"/>
  <c r="BW653" i="326"/>
  <c r="BW654" i="326"/>
  <c r="BW655" i="326"/>
  <c r="BW656" i="326"/>
  <c r="BW657" i="326"/>
  <c r="BW658" i="326"/>
  <c r="BW659" i="326"/>
  <c r="BW660" i="326"/>
  <c r="BW661" i="326"/>
  <c r="BW662" i="326"/>
  <c r="BW663" i="326"/>
  <c r="BW664" i="326"/>
  <c r="BW665" i="326"/>
  <c r="BW666" i="326"/>
  <c r="BW667" i="326"/>
  <c r="BW668" i="326"/>
  <c r="BW669" i="326"/>
  <c r="BW670" i="326"/>
  <c r="BW9" i="326"/>
  <c r="BW10" i="326"/>
  <c r="BW11" i="326"/>
  <c r="BW12" i="326"/>
  <c r="BW13" i="326"/>
  <c r="BW14" i="326"/>
  <c r="BW15" i="326"/>
  <c r="BW16" i="326"/>
  <c r="BW17" i="326"/>
  <c r="BW18" i="326"/>
  <c r="BW19" i="326"/>
  <c r="BW20" i="326"/>
  <c r="BW21" i="326"/>
  <c r="BW22" i="326"/>
  <c r="BW23" i="326"/>
  <c r="BW24" i="326"/>
  <c r="BW25" i="326"/>
  <c r="BW26" i="326"/>
  <c r="BW27" i="326"/>
  <c r="BW28" i="326"/>
  <c r="BW29" i="326"/>
  <c r="BW30" i="326"/>
  <c r="BW31" i="326"/>
  <c r="BW32" i="326"/>
  <c r="BW33" i="326"/>
  <c r="BW34" i="326"/>
  <c r="BW35" i="326"/>
  <c r="BW36" i="326"/>
  <c r="BW37" i="326"/>
  <c r="BW38" i="326"/>
  <c r="BW39" i="326"/>
  <c r="BW40" i="326"/>
  <c r="BW41" i="326"/>
  <c r="BW42" i="326"/>
  <c r="BW43" i="326"/>
  <c r="BW44" i="326"/>
  <c r="BW45" i="326"/>
  <c r="BW46" i="326"/>
  <c r="BW47" i="326"/>
  <c r="BW48" i="326"/>
  <c r="BW49" i="326"/>
  <c r="BW50" i="326"/>
  <c r="BW51" i="326"/>
  <c r="BW52" i="326"/>
  <c r="BW53" i="326"/>
  <c r="BW54" i="326"/>
  <c r="BW55" i="326"/>
  <c r="BW56" i="326"/>
  <c r="BW57" i="326"/>
  <c r="BW58" i="326"/>
  <c r="BW59" i="326"/>
  <c r="BW60" i="326"/>
  <c r="BW61" i="326"/>
  <c r="BW62" i="326"/>
  <c r="BW63" i="326"/>
  <c r="BW64" i="326"/>
  <c r="BW65" i="326"/>
  <c r="BW66" i="326"/>
  <c r="BW67" i="326"/>
  <c r="BW68" i="326"/>
  <c r="BW69" i="326"/>
  <c r="BW70" i="326"/>
  <c r="BW71" i="326"/>
  <c r="BW72" i="326"/>
  <c r="BW73" i="326"/>
  <c r="BW74" i="326"/>
  <c r="BW75" i="326"/>
  <c r="BW76" i="326"/>
  <c r="BW77" i="326"/>
  <c r="BW78" i="326"/>
  <c r="BW79" i="326"/>
  <c r="BW80" i="326"/>
  <c r="BW81" i="326"/>
  <c r="BW82" i="326"/>
  <c r="BW83" i="326"/>
  <c r="BW84" i="326"/>
  <c r="BW85" i="326"/>
  <c r="BW86" i="326"/>
  <c r="BW87" i="326"/>
  <c r="BW88" i="326"/>
  <c r="BW89" i="326"/>
  <c r="BW90" i="326"/>
  <c r="BW91" i="326"/>
  <c r="BW92" i="326"/>
  <c r="BW93" i="326"/>
  <c r="BW94" i="326"/>
  <c r="BW95" i="326"/>
  <c r="BW96" i="326"/>
  <c r="BW97" i="326"/>
  <c r="BW98" i="326"/>
  <c r="BW99" i="326"/>
  <c r="BW100" i="326"/>
  <c r="BW101" i="326"/>
  <c r="BW102" i="326"/>
  <c r="BW103" i="326"/>
  <c r="BW104" i="326"/>
  <c r="BW105" i="326"/>
  <c r="BW106" i="326"/>
  <c r="BW107" i="326"/>
  <c r="BW108" i="326"/>
  <c r="BW109" i="326"/>
  <c r="BW110" i="326"/>
  <c r="BW111" i="326"/>
  <c r="BW112" i="326"/>
  <c r="BW113" i="326"/>
  <c r="BW114" i="326"/>
  <c r="BW115" i="326"/>
  <c r="BW116" i="326"/>
  <c r="BW117" i="326"/>
  <c r="BW118" i="326"/>
  <c r="BW119" i="326"/>
  <c r="BW120" i="326"/>
  <c r="BW121" i="326"/>
  <c r="BW122" i="326"/>
  <c r="BW123" i="326"/>
  <c r="BW124" i="326"/>
  <c r="BW125" i="326"/>
  <c r="BW126" i="326"/>
  <c r="BW127" i="326"/>
  <c r="BW128" i="326"/>
  <c r="BW129" i="326"/>
  <c r="BW130" i="326"/>
  <c r="BW131" i="326"/>
  <c r="BW132" i="326"/>
  <c r="BW133" i="326"/>
  <c r="BW134" i="326"/>
  <c r="BW135" i="326"/>
  <c r="BW136" i="326"/>
  <c r="BW137" i="326"/>
  <c r="BW138" i="326"/>
  <c r="BW139" i="326"/>
  <c r="BW140" i="326"/>
  <c r="BW141" i="326"/>
  <c r="BW142" i="326"/>
  <c r="BW143" i="326"/>
  <c r="BW144" i="326"/>
  <c r="BW145" i="326"/>
  <c r="BW146" i="326"/>
  <c r="BW147" i="326"/>
  <c r="BW148" i="326"/>
  <c r="BW149" i="326"/>
  <c r="BW150" i="326"/>
  <c r="BW151" i="326"/>
  <c r="BW152" i="326"/>
  <c r="BW153" i="326"/>
  <c r="BW154" i="326"/>
  <c r="BW155" i="326"/>
  <c r="BW156" i="326"/>
  <c r="BW157" i="326"/>
  <c r="BW158" i="326"/>
  <c r="BW159" i="326"/>
  <c r="BW160" i="326"/>
  <c r="BW161" i="326"/>
  <c r="BW162" i="326"/>
  <c r="BW163" i="326"/>
  <c r="BW164" i="326"/>
  <c r="BW165" i="326"/>
  <c r="BW166" i="326"/>
  <c r="BW167" i="326"/>
  <c r="BW168" i="326"/>
  <c r="BW169" i="326"/>
  <c r="BW170" i="326"/>
  <c r="BW171" i="326"/>
  <c r="BW172" i="326"/>
  <c r="BW173" i="326"/>
  <c r="BW174" i="326"/>
  <c r="BW175" i="326"/>
  <c r="BW176" i="326"/>
  <c r="BW177" i="326"/>
  <c r="BW178" i="326"/>
  <c r="BW179" i="326"/>
  <c r="BW180" i="326"/>
  <c r="BW181" i="326"/>
  <c r="BW182" i="326"/>
  <c r="BW183" i="326"/>
  <c r="BW184" i="326"/>
  <c r="BW185" i="326"/>
  <c r="BW186" i="326"/>
  <c r="BW187" i="326"/>
  <c r="BW188" i="326"/>
  <c r="BW189" i="326"/>
  <c r="BW190" i="326"/>
  <c r="BW191" i="326"/>
  <c r="BW192" i="326"/>
  <c r="BW193" i="326"/>
  <c r="BW194" i="326"/>
  <c r="BW195" i="326"/>
  <c r="BW196" i="326"/>
  <c r="BW197" i="326"/>
  <c r="BW198" i="326"/>
  <c r="BW199" i="326"/>
  <c r="BW200" i="326"/>
  <c r="BW201" i="326"/>
  <c r="BW202" i="326"/>
  <c r="BW203" i="326"/>
  <c r="BW204" i="326"/>
  <c r="BW205" i="326"/>
  <c r="BW206" i="326"/>
  <c r="BW207" i="326"/>
  <c r="BW208" i="326"/>
  <c r="BW209" i="326"/>
  <c r="BW210" i="326"/>
  <c r="BW211" i="326"/>
  <c r="BW212" i="326"/>
  <c r="BW213" i="326"/>
  <c r="BW214" i="326"/>
  <c r="BW215" i="326"/>
  <c r="BW216" i="326"/>
  <c r="BW217" i="326"/>
  <c r="BW218" i="326"/>
  <c r="BW219" i="326"/>
  <c r="BW220" i="326"/>
  <c r="BW221" i="326"/>
  <c r="BW222" i="326"/>
  <c r="BW223" i="326"/>
  <c r="BW224" i="326"/>
  <c r="BW225" i="326"/>
  <c r="BW226" i="326"/>
  <c r="BW227" i="326"/>
  <c r="BW228" i="326"/>
  <c r="BW229" i="326"/>
  <c r="BW230" i="326"/>
  <c r="BW231" i="326"/>
  <c r="BW232" i="326"/>
  <c r="BW233" i="326"/>
  <c r="BW234" i="326"/>
  <c r="BW235" i="326"/>
  <c r="BW236" i="326"/>
  <c r="BW237" i="326"/>
  <c r="BW238" i="326"/>
  <c r="BW239" i="326"/>
  <c r="BW240" i="326"/>
  <c r="BW241" i="326"/>
  <c r="BW242" i="326"/>
  <c r="BW243" i="326"/>
  <c r="BW244" i="326"/>
  <c r="BW245" i="326"/>
  <c r="BW246" i="326"/>
  <c r="BW247" i="326"/>
  <c r="BW248" i="326"/>
  <c r="BW249" i="326"/>
  <c r="BW250" i="326"/>
  <c r="BW251" i="326"/>
  <c r="BW252" i="326"/>
  <c r="BW253" i="326"/>
  <c r="BW254" i="326"/>
  <c r="BW255" i="326"/>
  <c r="BW256" i="326"/>
  <c r="BW257" i="326"/>
  <c r="BW258" i="326"/>
  <c r="BW259" i="326"/>
  <c r="BW260" i="326"/>
  <c r="BW261" i="326"/>
  <c r="BW262" i="326"/>
  <c r="BW263" i="326"/>
  <c r="BW264" i="326"/>
  <c r="BW265" i="326"/>
  <c r="BW266" i="326"/>
  <c r="BW267" i="326"/>
  <c r="BW268" i="326"/>
  <c r="BW269" i="326"/>
  <c r="BW270" i="326"/>
  <c r="BW271" i="326"/>
  <c r="BW272" i="326"/>
  <c r="BW273" i="326"/>
  <c r="BW274" i="326"/>
  <c r="BW275" i="326"/>
  <c r="BW276" i="326"/>
  <c r="BW277" i="326"/>
  <c r="BW278" i="326"/>
  <c r="BW279" i="326"/>
  <c r="BW280" i="326"/>
  <c r="BW281" i="326"/>
  <c r="BW282" i="326"/>
  <c r="BW283" i="326"/>
  <c r="BW284" i="326"/>
  <c r="BW285" i="326"/>
  <c r="BW286" i="326"/>
  <c r="BW287" i="326"/>
  <c r="BW288" i="326"/>
  <c r="BW289" i="326"/>
  <c r="BW290" i="326"/>
  <c r="BW291" i="326"/>
  <c r="BW292" i="326"/>
  <c r="BW293" i="326"/>
  <c r="BW294" i="326"/>
  <c r="BW295" i="326"/>
  <c r="BW296" i="326"/>
  <c r="BW297" i="326"/>
  <c r="BW298" i="326"/>
  <c r="BW299" i="326"/>
  <c r="BW300" i="326"/>
  <c r="BW301" i="326"/>
  <c r="BW302" i="326"/>
  <c r="BW303" i="326"/>
  <c r="BW304" i="326"/>
  <c r="BW305" i="326"/>
  <c r="BW306" i="326"/>
  <c r="BW307" i="326"/>
  <c r="BW308" i="326"/>
  <c r="BW309" i="326"/>
  <c r="BW310" i="326"/>
  <c r="BW311" i="326"/>
  <c r="BW312" i="326"/>
  <c r="BW313" i="326"/>
  <c r="BW314" i="326"/>
  <c r="BW315" i="326"/>
  <c r="BW316" i="326"/>
  <c r="BW317" i="326"/>
  <c r="BW318" i="326"/>
  <c r="BW319" i="326"/>
  <c r="BW320" i="326"/>
  <c r="BW321" i="326"/>
  <c r="BW322" i="326"/>
  <c r="BW323" i="326"/>
  <c r="BW324" i="326"/>
  <c r="BW325" i="326"/>
  <c r="BW326" i="326"/>
  <c r="BW327" i="326"/>
  <c r="BW328" i="326"/>
  <c r="BW329" i="326"/>
  <c r="BW330" i="326"/>
  <c r="BW331" i="326"/>
  <c r="BW332" i="326"/>
  <c r="BW333" i="326"/>
  <c r="BW334" i="326"/>
  <c r="BW335" i="326"/>
  <c r="BW336" i="326"/>
  <c r="BW337" i="326"/>
  <c r="BW338" i="326"/>
  <c r="BW339" i="326"/>
  <c r="BW340" i="326"/>
  <c r="BW341" i="326"/>
  <c r="BW342" i="326"/>
  <c r="BW343" i="326"/>
  <c r="BW344" i="326"/>
  <c r="BW345" i="326"/>
  <c r="BW346" i="326"/>
  <c r="BW347" i="326"/>
  <c r="BW348" i="326"/>
  <c r="BW349" i="326"/>
  <c r="BW350" i="326"/>
  <c r="BW351" i="326"/>
  <c r="BW352" i="326"/>
  <c r="BW353" i="326"/>
  <c r="BW354" i="326"/>
  <c r="BW355" i="326"/>
  <c r="BW356" i="326"/>
  <c r="BW357" i="326"/>
  <c r="BW358" i="326"/>
  <c r="BW359" i="326"/>
  <c r="BW360" i="326"/>
  <c r="BW361" i="326"/>
  <c r="BW362" i="326"/>
  <c r="BW363" i="326"/>
  <c r="BW364" i="326"/>
  <c r="BW365" i="326"/>
  <c r="BW366" i="326"/>
  <c r="BW367" i="326"/>
  <c r="BW368" i="326"/>
  <c r="BW369" i="326"/>
  <c r="BW370" i="326"/>
  <c r="BW371" i="326"/>
  <c r="BW372" i="326"/>
  <c r="BW373" i="326"/>
  <c r="BW374" i="326"/>
  <c r="BW375" i="326"/>
  <c r="BW376" i="326"/>
  <c r="BW377" i="326"/>
  <c r="BW378" i="326"/>
  <c r="BW379" i="326"/>
  <c r="BW380" i="326"/>
  <c r="BW381" i="326"/>
  <c r="BW382" i="326"/>
  <c r="BW383" i="326"/>
  <c r="BW384" i="326"/>
  <c r="BW385" i="326"/>
  <c r="BW386" i="326"/>
  <c r="BW387" i="326"/>
  <c r="BW388" i="326"/>
  <c r="BW389" i="326"/>
  <c r="BW390" i="326"/>
  <c r="BW391" i="326"/>
  <c r="BW392" i="326"/>
  <c r="BW393" i="326"/>
  <c r="BW394" i="326"/>
  <c r="BW395" i="326"/>
  <c r="BW396" i="326"/>
  <c r="BW397" i="326"/>
  <c r="BW398" i="326"/>
  <c r="BW399" i="326"/>
  <c r="BW400" i="326"/>
  <c r="BW401" i="326"/>
  <c r="BW402" i="326"/>
  <c r="BW403" i="326"/>
  <c r="BW404" i="326"/>
  <c r="BW405" i="326"/>
  <c r="BW406" i="326"/>
  <c r="BW407" i="326"/>
  <c r="BW408" i="326"/>
  <c r="BW409" i="326"/>
  <c r="BW410" i="326"/>
  <c r="BW411" i="326"/>
  <c r="BW412" i="326"/>
  <c r="BW413" i="326"/>
  <c r="BW414" i="326"/>
  <c r="BW415" i="326"/>
  <c r="BW416" i="326"/>
  <c r="BW417" i="326"/>
  <c r="BW418" i="326"/>
  <c r="BW419" i="326"/>
  <c r="BW420" i="326"/>
  <c r="BW421" i="326"/>
  <c r="BW422" i="326"/>
  <c r="BW423" i="326"/>
  <c r="BW424" i="326"/>
  <c r="BW425" i="326"/>
  <c r="BW426" i="326"/>
  <c r="BW427" i="326"/>
  <c r="BW428" i="326"/>
  <c r="BW429" i="326"/>
  <c r="BW430" i="326"/>
  <c r="BW431" i="326"/>
  <c r="BW432" i="326"/>
  <c r="BW433" i="326"/>
  <c r="BW434" i="326"/>
  <c r="BW435" i="326"/>
  <c r="BW436" i="326"/>
  <c r="BW437" i="326"/>
  <c r="BW438" i="326"/>
  <c r="BW439" i="326"/>
  <c r="BW440" i="326"/>
  <c r="BW441" i="326"/>
  <c r="BW442" i="326"/>
  <c r="BW443" i="326"/>
  <c r="BW444" i="326"/>
  <c r="BW445" i="326"/>
  <c r="BW446" i="326"/>
  <c r="BW447" i="326"/>
  <c r="BW448" i="326"/>
  <c r="BW449" i="326"/>
  <c r="BW450" i="326"/>
  <c r="BW451" i="326"/>
  <c r="BW452" i="326"/>
  <c r="BW453" i="326"/>
  <c r="BW454" i="326"/>
  <c r="BW455" i="326"/>
  <c r="BW456" i="326"/>
  <c r="BW457" i="326"/>
  <c r="BW458" i="326"/>
  <c r="BW459" i="326"/>
  <c r="BW460" i="326"/>
  <c r="BW461" i="326"/>
  <c r="BW462" i="326"/>
  <c r="BW463" i="326"/>
  <c r="BW464" i="326"/>
  <c r="BW465" i="326"/>
  <c r="BW466" i="326"/>
  <c r="BW467" i="326"/>
  <c r="BW468" i="326"/>
  <c r="BW469" i="326"/>
  <c r="BW470" i="326"/>
  <c r="BW471" i="326"/>
  <c r="BW472" i="326"/>
  <c r="BW473" i="326"/>
  <c r="BW474" i="326"/>
  <c r="BW475" i="326"/>
  <c r="BW476" i="326"/>
  <c r="BW477" i="326"/>
  <c r="BW478" i="326"/>
  <c r="BW479" i="326"/>
  <c r="BW480" i="326"/>
  <c r="BW481" i="326"/>
  <c r="BW482" i="326"/>
  <c r="BW483" i="326"/>
  <c r="BW484" i="326"/>
  <c r="BW485" i="326"/>
  <c r="BW486" i="326"/>
  <c r="BW487" i="326"/>
  <c r="BW488" i="326"/>
  <c r="BW489" i="326"/>
  <c r="BW490" i="326"/>
  <c r="BW491" i="326"/>
  <c r="BW492" i="326"/>
  <c r="BW493" i="326"/>
  <c r="BW494" i="326"/>
  <c r="BW495" i="326"/>
  <c r="BW496" i="326"/>
  <c r="BW497" i="326"/>
  <c r="BW498" i="326"/>
  <c r="BW499" i="326"/>
  <c r="BW500" i="326"/>
  <c r="BW501" i="326"/>
  <c r="BW502" i="326"/>
  <c r="BW503" i="326"/>
  <c r="BW504" i="326"/>
  <c r="BW505" i="326"/>
  <c r="BW506" i="326"/>
  <c r="BW507" i="326"/>
  <c r="BW508" i="326"/>
  <c r="BW509" i="326"/>
  <c r="BW510" i="326"/>
  <c r="BW511" i="326"/>
  <c r="BW512" i="326"/>
  <c r="BW513" i="326"/>
  <c r="BW514" i="326"/>
  <c r="BW515" i="326"/>
  <c r="BW516" i="326"/>
  <c r="BW517" i="326"/>
  <c r="BW518" i="326"/>
  <c r="BW519" i="326"/>
  <c r="BW520" i="326"/>
  <c r="BW521" i="326"/>
  <c r="BW522" i="326"/>
  <c r="BW523" i="326"/>
  <c r="BW524" i="326"/>
  <c r="BW525" i="326"/>
  <c r="BW526" i="326"/>
  <c r="BW527" i="326"/>
  <c r="BW528" i="326"/>
  <c r="BW529" i="326"/>
  <c r="BW530" i="326"/>
  <c r="BW531" i="326"/>
  <c r="BW532" i="326"/>
  <c r="BW533" i="326"/>
  <c r="BW534" i="326"/>
  <c r="BW535" i="326"/>
  <c r="BW536" i="326"/>
  <c r="BW537" i="326"/>
  <c r="BW538" i="326"/>
  <c r="BW539" i="326"/>
  <c r="BW540" i="326"/>
  <c r="BW541" i="326"/>
  <c r="BW542" i="326"/>
  <c r="BW543" i="326"/>
  <c r="BW544" i="326"/>
  <c r="BW545" i="326"/>
  <c r="BW546" i="326"/>
  <c r="BW547" i="326"/>
  <c r="BW548" i="326"/>
  <c r="BW549" i="326"/>
  <c r="BW550" i="326"/>
  <c r="BW551" i="326"/>
  <c r="BW552" i="326"/>
  <c r="BW553" i="326"/>
  <c r="BW554" i="326"/>
  <c r="BW555" i="326"/>
  <c r="BW556" i="326"/>
  <c r="BW557" i="326"/>
  <c r="BW558" i="326"/>
  <c r="BW559" i="326"/>
  <c r="BW560" i="326"/>
  <c r="BW561" i="326"/>
  <c r="BW562" i="326"/>
  <c r="BW563" i="326"/>
  <c r="BW564" i="326"/>
  <c r="BW565" i="326"/>
  <c r="BW566" i="326"/>
  <c r="BW567" i="326"/>
  <c r="BW568" i="326"/>
  <c r="BW569" i="326"/>
  <c r="BW570" i="326"/>
  <c r="BW571" i="326"/>
  <c r="BW572" i="326"/>
  <c r="BW573" i="326"/>
  <c r="BW574" i="326"/>
  <c r="BW575" i="326"/>
  <c r="BW576" i="326"/>
  <c r="BW577" i="326"/>
  <c r="BW578" i="326"/>
  <c r="BW579" i="326"/>
  <c r="BW580" i="326"/>
  <c r="BW581" i="326"/>
  <c r="BW582" i="326"/>
  <c r="BW583" i="326"/>
  <c r="BW584" i="326"/>
  <c r="BW585" i="326"/>
  <c r="BW586" i="326"/>
  <c r="BW587" i="326"/>
  <c r="BW588" i="326"/>
  <c r="BW589" i="326"/>
  <c r="BW590" i="326"/>
  <c r="BW591" i="326"/>
  <c r="BW592" i="326"/>
  <c r="BW593" i="326"/>
  <c r="BW594" i="326"/>
  <c r="BW595" i="326"/>
  <c r="BW596" i="326"/>
  <c r="BW597" i="326"/>
  <c r="BW598" i="326"/>
  <c r="BW599" i="326"/>
  <c r="BW600" i="326"/>
  <c r="BW8" i="326"/>
  <c r="BP9" i="326"/>
  <c r="BP10" i="326"/>
  <c r="BP11" i="326"/>
  <c r="BP12" i="326"/>
  <c r="BP13" i="326"/>
  <c r="BP14" i="326"/>
  <c r="BP15" i="326"/>
  <c r="BP16" i="326"/>
  <c r="BP17" i="326"/>
  <c r="BP18" i="326"/>
  <c r="BP19" i="326"/>
  <c r="BP20" i="326"/>
  <c r="BP21" i="326"/>
  <c r="BP22" i="326"/>
  <c r="BP23" i="326"/>
  <c r="BP24" i="326"/>
  <c r="BP25" i="326"/>
  <c r="BP26" i="326"/>
  <c r="BP27" i="326"/>
  <c r="BP28" i="326"/>
  <c r="BP29" i="326"/>
  <c r="BP30" i="326"/>
  <c r="BP31" i="326"/>
  <c r="BP32" i="326"/>
  <c r="BP33" i="326"/>
  <c r="BP34" i="326"/>
  <c r="BP35" i="326"/>
  <c r="BP36" i="326"/>
  <c r="BP37" i="326"/>
  <c r="BP38" i="326"/>
  <c r="BP39" i="326"/>
  <c r="BP40" i="326"/>
  <c r="BP41" i="326"/>
  <c r="BP42" i="326"/>
  <c r="BP43" i="326"/>
  <c r="BP44" i="326"/>
  <c r="BP45" i="326"/>
  <c r="BP46" i="326"/>
  <c r="BP47" i="326"/>
  <c r="BP48" i="326"/>
  <c r="BP49" i="326"/>
  <c r="BP50" i="326"/>
  <c r="BP51" i="326"/>
  <c r="BP52" i="326"/>
  <c r="BP53" i="326"/>
  <c r="BP54" i="326"/>
  <c r="BP55" i="326"/>
  <c r="BP56" i="326"/>
  <c r="BP57" i="326"/>
  <c r="BP58" i="326"/>
  <c r="BP59" i="326"/>
  <c r="BP60" i="326"/>
  <c r="BP61" i="326"/>
  <c r="BP62" i="326"/>
  <c r="BP63" i="326"/>
  <c r="BP64" i="326"/>
  <c r="BP65" i="326"/>
  <c r="BP66" i="326"/>
  <c r="BP67" i="326"/>
  <c r="BP68" i="326"/>
  <c r="BP69" i="326"/>
  <c r="BP70" i="326"/>
  <c r="BP71" i="326"/>
  <c r="BP72" i="326"/>
  <c r="BP73" i="326"/>
  <c r="BP74" i="326"/>
  <c r="BP75" i="326"/>
  <c r="BP76" i="326"/>
  <c r="BP77" i="326"/>
  <c r="BP78" i="326"/>
  <c r="BP79" i="326"/>
  <c r="BP80" i="326"/>
  <c r="BP81" i="326"/>
  <c r="BP82" i="326"/>
  <c r="BP83" i="326"/>
  <c r="BP84" i="326"/>
  <c r="BP85" i="326"/>
  <c r="BP86" i="326"/>
  <c r="BP87" i="326"/>
  <c r="BP88" i="326"/>
  <c r="BP89" i="326"/>
  <c r="BP90" i="326"/>
  <c r="BP91" i="326"/>
  <c r="BP92" i="326"/>
  <c r="BP93" i="326"/>
  <c r="BP94" i="326"/>
  <c r="BP95" i="326"/>
  <c r="BP96" i="326"/>
  <c r="BP97" i="326"/>
  <c r="BP98" i="326"/>
  <c r="BP99" i="326"/>
  <c r="BP100" i="326"/>
  <c r="BP101" i="326"/>
  <c r="BP102" i="326"/>
  <c r="BP103" i="326"/>
  <c r="BP104" i="326"/>
  <c r="BP105" i="326"/>
  <c r="BP106" i="326"/>
  <c r="BP107" i="326"/>
  <c r="BP108" i="326"/>
  <c r="BP109" i="326"/>
  <c r="BP110" i="326"/>
  <c r="BP111" i="326"/>
  <c r="BP112" i="326"/>
  <c r="BP113" i="326"/>
  <c r="BP114" i="326"/>
  <c r="BP115" i="326"/>
  <c r="BP116" i="326"/>
  <c r="BP117" i="326"/>
  <c r="BP118" i="326"/>
  <c r="BP119" i="326"/>
  <c r="BP120" i="326"/>
  <c r="BP121" i="326"/>
  <c r="BP122" i="326"/>
  <c r="BP123" i="326"/>
  <c r="BP124" i="326"/>
  <c r="BP125" i="326"/>
  <c r="BP126" i="326"/>
  <c r="BP127" i="326"/>
  <c r="BP128" i="326"/>
  <c r="BP129" i="326"/>
  <c r="BP130" i="326"/>
  <c r="BP131" i="326"/>
  <c r="BP132" i="326"/>
  <c r="BP133" i="326"/>
  <c r="BP134" i="326"/>
  <c r="BP135" i="326"/>
  <c r="BP136" i="326"/>
  <c r="BP137" i="326"/>
  <c r="BP138" i="326"/>
  <c r="BP139" i="326"/>
  <c r="BP140" i="326"/>
  <c r="BP141" i="326"/>
  <c r="BP142" i="326"/>
  <c r="BP143" i="326"/>
  <c r="BP144" i="326"/>
  <c r="BP145" i="326"/>
  <c r="BP146" i="326"/>
  <c r="BP147" i="326"/>
  <c r="BP148" i="326"/>
  <c r="BP149" i="326"/>
  <c r="BP150" i="326"/>
  <c r="BP151" i="326"/>
  <c r="BP152" i="326"/>
  <c r="BP153" i="326"/>
  <c r="BP154" i="326"/>
  <c r="BP155" i="326"/>
  <c r="BP156" i="326"/>
  <c r="BP157" i="326"/>
  <c r="BP158" i="326"/>
  <c r="BP159" i="326"/>
  <c r="BP160" i="326"/>
  <c r="BP161" i="326"/>
  <c r="BP162" i="326"/>
  <c r="BP163" i="326"/>
  <c r="BP164" i="326"/>
  <c r="BP165" i="326"/>
  <c r="BP166" i="326"/>
  <c r="BP167" i="326"/>
  <c r="BP168" i="326"/>
  <c r="BP169" i="326"/>
  <c r="BP170" i="326"/>
  <c r="BP171" i="326"/>
  <c r="BP172" i="326"/>
  <c r="BP173" i="326"/>
  <c r="BP174" i="326"/>
  <c r="BP175" i="326"/>
  <c r="BP176" i="326"/>
  <c r="BP177" i="326"/>
  <c r="BP178" i="326"/>
  <c r="BP179" i="326"/>
  <c r="BP180" i="326"/>
  <c r="BP181" i="326"/>
  <c r="BP182" i="326"/>
  <c r="BP183" i="326"/>
  <c r="BP184" i="326"/>
  <c r="BP185" i="326"/>
  <c r="BP186" i="326"/>
  <c r="BP187" i="326"/>
  <c r="BP188" i="326"/>
  <c r="BP189" i="326"/>
  <c r="BP190" i="326"/>
  <c r="BP191" i="326"/>
  <c r="BP192" i="326"/>
  <c r="BP193" i="326"/>
  <c r="BP194" i="326"/>
  <c r="BP195" i="326"/>
  <c r="BP196" i="326"/>
  <c r="BP197" i="326"/>
  <c r="BP198" i="326"/>
  <c r="BP199" i="326"/>
  <c r="BP200" i="326"/>
  <c r="BP201" i="326"/>
  <c r="BP202" i="326"/>
  <c r="BP203" i="326"/>
  <c r="BP204" i="326"/>
  <c r="BP205" i="326"/>
  <c r="BP206" i="326"/>
  <c r="BP207" i="326"/>
  <c r="BP208" i="326"/>
  <c r="BP209" i="326"/>
  <c r="BP210" i="326"/>
  <c r="BP211" i="326"/>
  <c r="BP212" i="326"/>
  <c r="BP213" i="326"/>
  <c r="BP214" i="326"/>
  <c r="BP215" i="326"/>
  <c r="BP216" i="326"/>
  <c r="BP217" i="326"/>
  <c r="BP218" i="326"/>
  <c r="BP219" i="326"/>
  <c r="BP220" i="326"/>
  <c r="BP221" i="326"/>
  <c r="BP222" i="326"/>
  <c r="BP223" i="326"/>
  <c r="BP224" i="326"/>
  <c r="BP225" i="326"/>
  <c r="BP226" i="326"/>
  <c r="BP227" i="326"/>
  <c r="BP228" i="326"/>
  <c r="BP229" i="326"/>
  <c r="BP230" i="326"/>
  <c r="BP231" i="326"/>
  <c r="BP232" i="326"/>
  <c r="BP233" i="326"/>
  <c r="BP234" i="326"/>
  <c r="BP235" i="326"/>
  <c r="BP236" i="326"/>
  <c r="BP237" i="326"/>
  <c r="BP238" i="326"/>
  <c r="BP239" i="326"/>
  <c r="BP240" i="326"/>
  <c r="BP241" i="326"/>
  <c r="BP242" i="326"/>
  <c r="BP243" i="326"/>
  <c r="BP244" i="326"/>
  <c r="BP245" i="326"/>
  <c r="BP246" i="326"/>
  <c r="BP247" i="326"/>
  <c r="BP248" i="326"/>
  <c r="BP249" i="326"/>
  <c r="BP250" i="326"/>
  <c r="BP251" i="326"/>
  <c r="BP252" i="326"/>
  <c r="BP253" i="326"/>
  <c r="BP254" i="326"/>
  <c r="BP255" i="326"/>
  <c r="BP256" i="326"/>
  <c r="BP257" i="326"/>
  <c r="BP258" i="326"/>
  <c r="BP259" i="326"/>
  <c r="BP260" i="326"/>
  <c r="BP261" i="326"/>
  <c r="BP262" i="326"/>
  <c r="BP263" i="326"/>
  <c r="BP264" i="326"/>
  <c r="BP265" i="326"/>
  <c r="BP266" i="326"/>
  <c r="BP267" i="326"/>
  <c r="BP268" i="326"/>
  <c r="BP269" i="326"/>
  <c r="BP270" i="326"/>
  <c r="BP271" i="326"/>
  <c r="BP272" i="326"/>
  <c r="BP273" i="326"/>
  <c r="BP274" i="326"/>
  <c r="BP275" i="326"/>
  <c r="BP276" i="326"/>
  <c r="BP277" i="326"/>
  <c r="BP278" i="326"/>
  <c r="BP279" i="326"/>
  <c r="BP280" i="326"/>
  <c r="BP281" i="326"/>
  <c r="BP282" i="326"/>
  <c r="BP283" i="326"/>
  <c r="BP284" i="326"/>
  <c r="BP285" i="326"/>
  <c r="BP286" i="326"/>
  <c r="BP287" i="326"/>
  <c r="BP288" i="326"/>
  <c r="BP289" i="326"/>
  <c r="BP290" i="326"/>
  <c r="BP291" i="326"/>
  <c r="BP292" i="326"/>
  <c r="BP293" i="326"/>
  <c r="BP294" i="326"/>
  <c r="BP295" i="326"/>
  <c r="BP296" i="326"/>
  <c r="BP297" i="326"/>
  <c r="BP298" i="326"/>
  <c r="BP299" i="326"/>
  <c r="BP300" i="326"/>
  <c r="BP301" i="326"/>
  <c r="BP302" i="326"/>
  <c r="BP303" i="326"/>
  <c r="BP304" i="326"/>
  <c r="BP305" i="326"/>
  <c r="BP306" i="326"/>
  <c r="BP307" i="326"/>
  <c r="BP308" i="326"/>
  <c r="BP309" i="326"/>
  <c r="BP310" i="326"/>
  <c r="BP311" i="326"/>
  <c r="BP312" i="326"/>
  <c r="BP313" i="326"/>
  <c r="BP314" i="326"/>
  <c r="BP315" i="326"/>
  <c r="BP316" i="326"/>
  <c r="BP317" i="326"/>
  <c r="BP318" i="326"/>
  <c r="BP319" i="326"/>
  <c r="BP320" i="326"/>
  <c r="BP321" i="326"/>
  <c r="BP322" i="326"/>
  <c r="BP323" i="326"/>
  <c r="BP324" i="326"/>
  <c r="BP325" i="326"/>
  <c r="BP326" i="326"/>
  <c r="BP327" i="326"/>
  <c r="BP328" i="326"/>
  <c r="BP329" i="326"/>
  <c r="BP330" i="326"/>
  <c r="BP331" i="326"/>
  <c r="BP332" i="326"/>
  <c r="BP333" i="326"/>
  <c r="BP334" i="326"/>
  <c r="BP335" i="326"/>
  <c r="BP336" i="326"/>
  <c r="BP337" i="326"/>
  <c r="BP338" i="326"/>
  <c r="BP339" i="326"/>
  <c r="BP340" i="326"/>
  <c r="BP341" i="326"/>
  <c r="BP342" i="326"/>
  <c r="BP343" i="326"/>
  <c r="BP344" i="326"/>
  <c r="BP345" i="326"/>
  <c r="BP346" i="326"/>
  <c r="BP347" i="326"/>
  <c r="BP348" i="326"/>
  <c r="BP349" i="326"/>
  <c r="BP350" i="326"/>
  <c r="BP351" i="326"/>
  <c r="BP352" i="326"/>
  <c r="BP353" i="326"/>
  <c r="BP354" i="326"/>
  <c r="BP355" i="326"/>
  <c r="BP356" i="326"/>
  <c r="BP357" i="326"/>
  <c r="BP358" i="326"/>
  <c r="BP359" i="326"/>
  <c r="BP360" i="326"/>
  <c r="BP361" i="326"/>
  <c r="BP362" i="326"/>
  <c r="BP363" i="326"/>
  <c r="BP364" i="326"/>
  <c r="BP365" i="326"/>
  <c r="BP366" i="326"/>
  <c r="BP367" i="326"/>
  <c r="BP368" i="326"/>
  <c r="BP369" i="326"/>
  <c r="BP370" i="326"/>
  <c r="BP371" i="326"/>
  <c r="BP372" i="326"/>
  <c r="BP373" i="326"/>
  <c r="BP374" i="326"/>
  <c r="BP375" i="326"/>
  <c r="BP376" i="326"/>
  <c r="BP377" i="326"/>
  <c r="BP378" i="326"/>
  <c r="BP379" i="326"/>
  <c r="BP380" i="326"/>
  <c r="BP381" i="326"/>
  <c r="BP382" i="326"/>
  <c r="BP383" i="326"/>
  <c r="BP384" i="326"/>
  <c r="BP385" i="326"/>
  <c r="BP386" i="326"/>
  <c r="BP387" i="326"/>
  <c r="BP388" i="326"/>
  <c r="BP389" i="326"/>
  <c r="BP390" i="326"/>
  <c r="BP391" i="326"/>
  <c r="BP392" i="326"/>
  <c r="BP393" i="326"/>
  <c r="BP394" i="326"/>
  <c r="BP395" i="326"/>
  <c r="BP396" i="326"/>
  <c r="BP397" i="326"/>
  <c r="BP398" i="326"/>
  <c r="BP399" i="326"/>
  <c r="BP400" i="326"/>
  <c r="BP401" i="326"/>
  <c r="BP402" i="326"/>
  <c r="BP403" i="326"/>
  <c r="BP404" i="326"/>
  <c r="BP405" i="326"/>
  <c r="BP406" i="326"/>
  <c r="BP407" i="326"/>
  <c r="BP408" i="326"/>
  <c r="BP409" i="326"/>
  <c r="BP410" i="326"/>
  <c r="BP411" i="326"/>
  <c r="BP412" i="326"/>
  <c r="BP413" i="326"/>
  <c r="BP414" i="326"/>
  <c r="BP415" i="326"/>
  <c r="BP416" i="326"/>
  <c r="BP417" i="326"/>
  <c r="BP418" i="326"/>
  <c r="BP419" i="326"/>
  <c r="BP420" i="326"/>
  <c r="BP421" i="326"/>
  <c r="BP422" i="326"/>
  <c r="BP423" i="326"/>
  <c r="BP424" i="326"/>
  <c r="BP425" i="326"/>
  <c r="BP426" i="326"/>
  <c r="BP427" i="326"/>
  <c r="BP428" i="326"/>
  <c r="BP429" i="326"/>
  <c r="BP430" i="326"/>
  <c r="BP431" i="326"/>
  <c r="BP432" i="326"/>
  <c r="BP433" i="326"/>
  <c r="BP434" i="326"/>
  <c r="BP435" i="326"/>
  <c r="BP436" i="326"/>
  <c r="BP437" i="326"/>
  <c r="BP438" i="326"/>
  <c r="BP439" i="326"/>
  <c r="BP440" i="326"/>
  <c r="BP441" i="326"/>
  <c r="BP442" i="326"/>
  <c r="BP443" i="326"/>
  <c r="BP444" i="326"/>
  <c r="BP445" i="326"/>
  <c r="BP446" i="326"/>
  <c r="BP447" i="326"/>
  <c r="BP448" i="326"/>
  <c r="BP449" i="326"/>
  <c r="BP450" i="326"/>
  <c r="BP451" i="326"/>
  <c r="BP452" i="326"/>
  <c r="BP453" i="326"/>
  <c r="BP454" i="326"/>
  <c r="BP455" i="326"/>
  <c r="BP456" i="326"/>
  <c r="BP457" i="326"/>
  <c r="BP458" i="326"/>
  <c r="BP459" i="326"/>
  <c r="BP460" i="326"/>
  <c r="BP461" i="326"/>
  <c r="BP462" i="326"/>
  <c r="BP463" i="326"/>
  <c r="BP464" i="326"/>
  <c r="BP465" i="326"/>
  <c r="BP466" i="326"/>
  <c r="BP467" i="326"/>
  <c r="BP468" i="326"/>
  <c r="BP469" i="326"/>
  <c r="BP470" i="326"/>
  <c r="BP471" i="326"/>
  <c r="BP472" i="326"/>
  <c r="BP473" i="326"/>
  <c r="BP474" i="326"/>
  <c r="BP475" i="326"/>
  <c r="BP476" i="326"/>
  <c r="BP477" i="326"/>
  <c r="BP478" i="326"/>
  <c r="BP479" i="326"/>
  <c r="BP480" i="326"/>
  <c r="BP481" i="326"/>
  <c r="BP482" i="326"/>
  <c r="BP483" i="326"/>
  <c r="BP484" i="326"/>
  <c r="BP485" i="326"/>
  <c r="BP486" i="326"/>
  <c r="BP487" i="326"/>
  <c r="BP488" i="326"/>
  <c r="BP489" i="326"/>
  <c r="BP490" i="326"/>
  <c r="BP491" i="326"/>
  <c r="BP492" i="326"/>
  <c r="BP493" i="326"/>
  <c r="BP494" i="326"/>
  <c r="BP495" i="326"/>
  <c r="BP496" i="326"/>
  <c r="BP497" i="326"/>
  <c r="BP498" i="326"/>
  <c r="BP499" i="326"/>
  <c r="BP500" i="326"/>
  <c r="BP501" i="326"/>
  <c r="BP502" i="326"/>
  <c r="BP503" i="326"/>
  <c r="BP504" i="326"/>
  <c r="BP505" i="326"/>
  <c r="BP506" i="326"/>
  <c r="BP507" i="326"/>
  <c r="BP508" i="326"/>
  <c r="BP509" i="326"/>
  <c r="BP510" i="326"/>
  <c r="BP511" i="326"/>
  <c r="BP512" i="326"/>
  <c r="BP513" i="326"/>
  <c r="BP514" i="326"/>
  <c r="BP515" i="326"/>
  <c r="BP516" i="326"/>
  <c r="BP517" i="326"/>
  <c r="BP518" i="326"/>
  <c r="BP519" i="326"/>
  <c r="BP520" i="326"/>
  <c r="BP521" i="326"/>
  <c r="BP522" i="326"/>
  <c r="BP523" i="326"/>
  <c r="BP524" i="326"/>
  <c r="BP525" i="326"/>
  <c r="BP526" i="326"/>
  <c r="BP527" i="326"/>
  <c r="BP528" i="326"/>
  <c r="BP529" i="326"/>
  <c r="BP530" i="326"/>
  <c r="BP531" i="326"/>
  <c r="BP532" i="326"/>
  <c r="BP533" i="326"/>
  <c r="BP534" i="326"/>
  <c r="BP535" i="326"/>
  <c r="BP536" i="326"/>
  <c r="BP537" i="326"/>
  <c r="BP538" i="326"/>
  <c r="BP539" i="326"/>
  <c r="BP540" i="326"/>
  <c r="BP541" i="326"/>
  <c r="BP542" i="326"/>
  <c r="BP543" i="326"/>
  <c r="BP544" i="326"/>
  <c r="BP545" i="326"/>
  <c r="BP546" i="326"/>
  <c r="BP547" i="326"/>
  <c r="BP548" i="326"/>
  <c r="BP549" i="326"/>
  <c r="BP550" i="326"/>
  <c r="BP551" i="326"/>
  <c r="BP552" i="326"/>
  <c r="BP553" i="326"/>
  <c r="BP554" i="326"/>
  <c r="BP555" i="326"/>
  <c r="BP556" i="326"/>
  <c r="BP557" i="326"/>
  <c r="BP558" i="326"/>
  <c r="BP559" i="326"/>
  <c r="BP560" i="326"/>
  <c r="BP561" i="326"/>
  <c r="BP562" i="326"/>
  <c r="BP563" i="326"/>
  <c r="BP564" i="326"/>
  <c r="BP565" i="326"/>
  <c r="BP566" i="326"/>
  <c r="BP567" i="326"/>
  <c r="BP568" i="326"/>
  <c r="BP569" i="326"/>
  <c r="BP570" i="326"/>
  <c r="BP571" i="326"/>
  <c r="BP572" i="326"/>
  <c r="BP573" i="326"/>
  <c r="BP574" i="326"/>
  <c r="BP575" i="326"/>
  <c r="BP576" i="326"/>
  <c r="BP577" i="326"/>
  <c r="BP578" i="326"/>
  <c r="BP579" i="326"/>
  <c r="BP580" i="326"/>
  <c r="BP581" i="326"/>
  <c r="BP582" i="326"/>
  <c r="BP583" i="326"/>
  <c r="BP584" i="326"/>
  <c r="BP585" i="326"/>
  <c r="BP586" i="326"/>
  <c r="BP587" i="326"/>
  <c r="BP588" i="326"/>
  <c r="BP589" i="326"/>
  <c r="BP590" i="326"/>
  <c r="BP591" i="326"/>
  <c r="BP592" i="326"/>
  <c r="BP593" i="326"/>
  <c r="BP594" i="326"/>
  <c r="BP595" i="326"/>
  <c r="BP596" i="326"/>
  <c r="BP597" i="326"/>
  <c r="BP598" i="326"/>
  <c r="BP599" i="326"/>
  <c r="BP600" i="326"/>
  <c r="BP601" i="326"/>
  <c r="BP602" i="326"/>
  <c r="BP603" i="326"/>
  <c r="BP604" i="326"/>
  <c r="BP605" i="326"/>
  <c r="BP606" i="326"/>
  <c r="BP607" i="326"/>
  <c r="BP608" i="326"/>
  <c r="BP609" i="326"/>
  <c r="BP610" i="326"/>
  <c r="BP611" i="326"/>
  <c r="BP612" i="326"/>
  <c r="BP613" i="326"/>
  <c r="BP614" i="326"/>
  <c r="BP615" i="326"/>
  <c r="BP616" i="326"/>
  <c r="BP617" i="326"/>
  <c r="BP618" i="326"/>
  <c r="BP619" i="326"/>
  <c r="BP620" i="326"/>
  <c r="BP621" i="326"/>
  <c r="BP622" i="326"/>
  <c r="BP623" i="326"/>
  <c r="BP624" i="326"/>
  <c r="BP625" i="326"/>
  <c r="BP626" i="326"/>
  <c r="BP627" i="326"/>
  <c r="BP628" i="326"/>
  <c r="BP629" i="326"/>
  <c r="BP630" i="326"/>
  <c r="BP631" i="326"/>
  <c r="BP632" i="326"/>
  <c r="BP633" i="326"/>
  <c r="BP634" i="326"/>
  <c r="BP635" i="326"/>
  <c r="BP636" i="326"/>
  <c r="BP637" i="326"/>
  <c r="BP638" i="326"/>
  <c r="BP639" i="326"/>
  <c r="BP640" i="326"/>
  <c r="BP641" i="326"/>
  <c r="BP642" i="326"/>
  <c r="BP643" i="326"/>
  <c r="BP644" i="326"/>
  <c r="BP645" i="326"/>
  <c r="BP646" i="326"/>
  <c r="BP647" i="326"/>
  <c r="BP648" i="326"/>
  <c r="BP649" i="326"/>
  <c r="BP650" i="326"/>
  <c r="BP651" i="326"/>
  <c r="BP652" i="326"/>
  <c r="BP653" i="326"/>
  <c r="BP654" i="326"/>
  <c r="BP655" i="326"/>
  <c r="BP656" i="326"/>
  <c r="BP657" i="326"/>
  <c r="BP658" i="326"/>
  <c r="BP659" i="326"/>
  <c r="BP660" i="326"/>
  <c r="BP661" i="326"/>
  <c r="BP662" i="326"/>
  <c r="BP663" i="326"/>
  <c r="BP664" i="326"/>
  <c r="BP665" i="326"/>
  <c r="BP666" i="326"/>
  <c r="BP667" i="326"/>
  <c r="BP668" i="326"/>
  <c r="BP669" i="326"/>
  <c r="BP670" i="326"/>
  <c r="BP8" i="326"/>
  <c r="BO9" i="326"/>
  <c r="BO10" i="326"/>
  <c r="BO11" i="326"/>
  <c r="BO12" i="326"/>
  <c r="BO13" i="326"/>
  <c r="BO14" i="326"/>
  <c r="BO15" i="326"/>
  <c r="BO16" i="326"/>
  <c r="BO17" i="326"/>
  <c r="BO18" i="326"/>
  <c r="BO19" i="326"/>
  <c r="BO20" i="326"/>
  <c r="BO21" i="326"/>
  <c r="BO22" i="326"/>
  <c r="BO23" i="326"/>
  <c r="BO24" i="326"/>
  <c r="BO25" i="326"/>
  <c r="BO26" i="326"/>
  <c r="BO27" i="326"/>
  <c r="BO28" i="326"/>
  <c r="BO29" i="326"/>
  <c r="BO30" i="326"/>
  <c r="BO31" i="326"/>
  <c r="BO32" i="326"/>
  <c r="BO33" i="326"/>
  <c r="BO34" i="326"/>
  <c r="BO35" i="326"/>
  <c r="BO36" i="326"/>
  <c r="BO37" i="326"/>
  <c r="BO38" i="326"/>
  <c r="BO39" i="326"/>
  <c r="BO40" i="326"/>
  <c r="BO41" i="326"/>
  <c r="BO42" i="326"/>
  <c r="BO43" i="326"/>
  <c r="BO44" i="326"/>
  <c r="BO45" i="326"/>
  <c r="BO46" i="326"/>
  <c r="BO47" i="326"/>
  <c r="BO48" i="326"/>
  <c r="BO49" i="326"/>
  <c r="BO50" i="326"/>
  <c r="BO51" i="326"/>
  <c r="BO52" i="326"/>
  <c r="BO53" i="326"/>
  <c r="BO54" i="326"/>
  <c r="BO55" i="326"/>
  <c r="BO56" i="326"/>
  <c r="BO57" i="326"/>
  <c r="BO58" i="326"/>
  <c r="BO59" i="326"/>
  <c r="BO60" i="326"/>
  <c r="BO61" i="326"/>
  <c r="BO62" i="326"/>
  <c r="BO63" i="326"/>
  <c r="BO64" i="326"/>
  <c r="BO65" i="326"/>
  <c r="BO66" i="326"/>
  <c r="BO67" i="326"/>
  <c r="BO68" i="326"/>
  <c r="BO69" i="326"/>
  <c r="BO70" i="326"/>
  <c r="BO71" i="326"/>
  <c r="BO72" i="326"/>
  <c r="BO73" i="326"/>
  <c r="BO74" i="326"/>
  <c r="BO75" i="326"/>
  <c r="BO76" i="326"/>
  <c r="BO77" i="326"/>
  <c r="BO78" i="326"/>
  <c r="BO79" i="326"/>
  <c r="BO80" i="326"/>
  <c r="BO81" i="326"/>
  <c r="BO82" i="326"/>
  <c r="BO83" i="326"/>
  <c r="BO84" i="326"/>
  <c r="BO85" i="326"/>
  <c r="BO86" i="326"/>
  <c r="BO87" i="326"/>
  <c r="BO88" i="326"/>
  <c r="BO89" i="326"/>
  <c r="BO90" i="326"/>
  <c r="BO91" i="326"/>
  <c r="BO92" i="326"/>
  <c r="BO93" i="326"/>
  <c r="BO94" i="326"/>
  <c r="BO95" i="326"/>
  <c r="BO96" i="326"/>
  <c r="BO97" i="326"/>
  <c r="BO98" i="326"/>
  <c r="BO99" i="326"/>
  <c r="BO100" i="326"/>
  <c r="BO101" i="326"/>
  <c r="BO102" i="326"/>
  <c r="BO103" i="326"/>
  <c r="BO104" i="326"/>
  <c r="BO105" i="326"/>
  <c r="BO106" i="326"/>
  <c r="BO107" i="326"/>
  <c r="BO108" i="326"/>
  <c r="BO109" i="326"/>
  <c r="BO110" i="326"/>
  <c r="BO111" i="326"/>
  <c r="BO112" i="326"/>
  <c r="BO113" i="326"/>
  <c r="BO114" i="326"/>
  <c r="BO115" i="326"/>
  <c r="BO116" i="326"/>
  <c r="BO117" i="326"/>
  <c r="BO118" i="326"/>
  <c r="BO119" i="326"/>
  <c r="BO120" i="326"/>
  <c r="BO121" i="326"/>
  <c r="BO122" i="326"/>
  <c r="BO123" i="326"/>
  <c r="BO124" i="326"/>
  <c r="BO125" i="326"/>
  <c r="BO126" i="326"/>
  <c r="BO127" i="326"/>
  <c r="BO128" i="326"/>
  <c r="BO129" i="326"/>
  <c r="BO130" i="326"/>
  <c r="BO131" i="326"/>
  <c r="BO132" i="326"/>
  <c r="BO133" i="326"/>
  <c r="BO134" i="326"/>
  <c r="BO135" i="326"/>
  <c r="BO136" i="326"/>
  <c r="BO137" i="326"/>
  <c r="BO138" i="326"/>
  <c r="BO139" i="326"/>
  <c r="BO140" i="326"/>
  <c r="BO141" i="326"/>
  <c r="BO142" i="326"/>
  <c r="BO143" i="326"/>
  <c r="BO144" i="326"/>
  <c r="BO145" i="326"/>
  <c r="BO146" i="326"/>
  <c r="BO147" i="326"/>
  <c r="BO148" i="326"/>
  <c r="BO149" i="326"/>
  <c r="BO150" i="326"/>
  <c r="BO151" i="326"/>
  <c r="BO152" i="326"/>
  <c r="BO153" i="326"/>
  <c r="BO154" i="326"/>
  <c r="BO155" i="326"/>
  <c r="BO156" i="326"/>
  <c r="BO157" i="326"/>
  <c r="BO158" i="326"/>
  <c r="BO159" i="326"/>
  <c r="BO160" i="326"/>
  <c r="BO161" i="326"/>
  <c r="BO162" i="326"/>
  <c r="BO163" i="326"/>
  <c r="BO164" i="326"/>
  <c r="BO165" i="326"/>
  <c r="BO166" i="326"/>
  <c r="BO167" i="326"/>
  <c r="BO168" i="326"/>
  <c r="BO169" i="326"/>
  <c r="BO170" i="326"/>
  <c r="BO171" i="326"/>
  <c r="BO172" i="326"/>
  <c r="BO173" i="326"/>
  <c r="BO174" i="326"/>
  <c r="BO175" i="326"/>
  <c r="BO176" i="326"/>
  <c r="BO177" i="326"/>
  <c r="BO178" i="326"/>
  <c r="BO179" i="326"/>
  <c r="BO180" i="326"/>
  <c r="BO181" i="326"/>
  <c r="BO182" i="326"/>
  <c r="BO183" i="326"/>
  <c r="BO184" i="326"/>
  <c r="BO185" i="326"/>
  <c r="BO186" i="326"/>
  <c r="BO187" i="326"/>
  <c r="BO188" i="326"/>
  <c r="BO189" i="326"/>
  <c r="BO190" i="326"/>
  <c r="BO191" i="326"/>
  <c r="BO192" i="326"/>
  <c r="BO193" i="326"/>
  <c r="BO194" i="326"/>
  <c r="BO195" i="326"/>
  <c r="BO196" i="326"/>
  <c r="BO197" i="326"/>
  <c r="BO198" i="326"/>
  <c r="BO199" i="326"/>
  <c r="BO200" i="326"/>
  <c r="BO201" i="326"/>
  <c r="BO202" i="326"/>
  <c r="BO203" i="326"/>
  <c r="BO204" i="326"/>
  <c r="BO205" i="326"/>
  <c r="BO206" i="326"/>
  <c r="BO207" i="326"/>
  <c r="BO208" i="326"/>
  <c r="BO209" i="326"/>
  <c r="BO210" i="326"/>
  <c r="BO211" i="326"/>
  <c r="BO212" i="326"/>
  <c r="BO213" i="326"/>
  <c r="BO214" i="326"/>
  <c r="BO215" i="326"/>
  <c r="BO216" i="326"/>
  <c r="BO217" i="326"/>
  <c r="BO218" i="326"/>
  <c r="BO219" i="326"/>
  <c r="BO220" i="326"/>
  <c r="BO221" i="326"/>
  <c r="BO222" i="326"/>
  <c r="BO223" i="326"/>
  <c r="BO224" i="326"/>
  <c r="BO225" i="326"/>
  <c r="BO226" i="326"/>
  <c r="BO227" i="326"/>
  <c r="BO228" i="326"/>
  <c r="BO229" i="326"/>
  <c r="BO230" i="326"/>
  <c r="BO231" i="326"/>
  <c r="BO232" i="326"/>
  <c r="BO233" i="326"/>
  <c r="BO234" i="326"/>
  <c r="BO235" i="326"/>
  <c r="BO236" i="326"/>
  <c r="BO237" i="326"/>
  <c r="BO238" i="326"/>
  <c r="BO239" i="326"/>
  <c r="BO240" i="326"/>
  <c r="BO241" i="326"/>
  <c r="BO242" i="326"/>
  <c r="BO243" i="326"/>
  <c r="BO244" i="326"/>
  <c r="BO245" i="326"/>
  <c r="BO246" i="326"/>
  <c r="BO247" i="326"/>
  <c r="BO248" i="326"/>
  <c r="BO249" i="326"/>
  <c r="BO250" i="326"/>
  <c r="BO251" i="326"/>
  <c r="BO252" i="326"/>
  <c r="BO253" i="326"/>
  <c r="BO254" i="326"/>
  <c r="BO255" i="326"/>
  <c r="BO256" i="326"/>
  <c r="BO257" i="326"/>
  <c r="BO258" i="326"/>
  <c r="BO259" i="326"/>
  <c r="BO260" i="326"/>
  <c r="BO261" i="326"/>
  <c r="BO262" i="326"/>
  <c r="BO263" i="326"/>
  <c r="BO264" i="326"/>
  <c r="BO265" i="326"/>
  <c r="BO266" i="326"/>
  <c r="BO267" i="326"/>
  <c r="BO268" i="326"/>
  <c r="BO269" i="326"/>
  <c r="BO270" i="326"/>
  <c r="BO271" i="326"/>
  <c r="BO272" i="326"/>
  <c r="BO273" i="326"/>
  <c r="BO274" i="326"/>
  <c r="BO275" i="326"/>
  <c r="BO276" i="326"/>
  <c r="BO277" i="326"/>
  <c r="BO278" i="326"/>
  <c r="BO279" i="326"/>
  <c r="BO280" i="326"/>
  <c r="BO281" i="326"/>
  <c r="BO282" i="326"/>
  <c r="BO283" i="326"/>
  <c r="BO284" i="326"/>
  <c r="BO285" i="326"/>
  <c r="BO286" i="326"/>
  <c r="BO287" i="326"/>
  <c r="BO288" i="326"/>
  <c r="BO289" i="326"/>
  <c r="BO290" i="326"/>
  <c r="BO291" i="326"/>
  <c r="BO292" i="326"/>
  <c r="BO293" i="326"/>
  <c r="BO294" i="326"/>
  <c r="BO295" i="326"/>
  <c r="BO296" i="326"/>
  <c r="BO297" i="326"/>
  <c r="BO298" i="326"/>
  <c r="BO299" i="326"/>
  <c r="BO300" i="326"/>
  <c r="BO301" i="326"/>
  <c r="BO302" i="326"/>
  <c r="BO303" i="326"/>
  <c r="BO304" i="326"/>
  <c r="BO305" i="326"/>
  <c r="BO306" i="326"/>
  <c r="BO307" i="326"/>
  <c r="BO308" i="326"/>
  <c r="BO309" i="326"/>
  <c r="BO310" i="326"/>
  <c r="BO311" i="326"/>
  <c r="BO312" i="326"/>
  <c r="BO313" i="326"/>
  <c r="BO314" i="326"/>
  <c r="BO315" i="326"/>
  <c r="BO316" i="326"/>
  <c r="BO317" i="326"/>
  <c r="BO318" i="326"/>
  <c r="BO319" i="326"/>
  <c r="BO320" i="326"/>
  <c r="BO321" i="326"/>
  <c r="BO322" i="326"/>
  <c r="BO323" i="326"/>
  <c r="BO324" i="326"/>
  <c r="BO325" i="326"/>
  <c r="BO326" i="326"/>
  <c r="BO327" i="326"/>
  <c r="BO328" i="326"/>
  <c r="BO329" i="326"/>
  <c r="BO330" i="326"/>
  <c r="BO331" i="326"/>
  <c r="BO332" i="326"/>
  <c r="BO333" i="326"/>
  <c r="BO334" i="326"/>
  <c r="BO335" i="326"/>
  <c r="BO336" i="326"/>
  <c r="BO337" i="326"/>
  <c r="BO338" i="326"/>
  <c r="BO339" i="326"/>
  <c r="BO340" i="326"/>
  <c r="BO341" i="326"/>
  <c r="BO342" i="326"/>
  <c r="BO343" i="326"/>
  <c r="BO344" i="326"/>
  <c r="BO345" i="326"/>
  <c r="BO346" i="326"/>
  <c r="BO347" i="326"/>
  <c r="BO348" i="326"/>
  <c r="BO349" i="326"/>
  <c r="BO350" i="326"/>
  <c r="BO351" i="326"/>
  <c r="BO352" i="326"/>
  <c r="BO353" i="326"/>
  <c r="BO354" i="326"/>
  <c r="BO355" i="326"/>
  <c r="BO356" i="326"/>
  <c r="BO357" i="326"/>
  <c r="BO358" i="326"/>
  <c r="BO359" i="326"/>
  <c r="BO360" i="326"/>
  <c r="BO361" i="326"/>
  <c r="BO362" i="326"/>
  <c r="BO363" i="326"/>
  <c r="BO364" i="326"/>
  <c r="BO365" i="326"/>
  <c r="BO366" i="326"/>
  <c r="BO367" i="326"/>
  <c r="BO368" i="326"/>
  <c r="BO369" i="326"/>
  <c r="BO370" i="326"/>
  <c r="BO371" i="326"/>
  <c r="BO372" i="326"/>
  <c r="BO373" i="326"/>
  <c r="BO374" i="326"/>
  <c r="BO375" i="326"/>
  <c r="BO376" i="326"/>
  <c r="BO377" i="326"/>
  <c r="BO378" i="326"/>
  <c r="BO379" i="326"/>
  <c r="BO380" i="326"/>
  <c r="BO381" i="326"/>
  <c r="BO382" i="326"/>
  <c r="BO383" i="326"/>
  <c r="BO384" i="326"/>
  <c r="BO385" i="326"/>
  <c r="BO386" i="326"/>
  <c r="BO387" i="326"/>
  <c r="BO388" i="326"/>
  <c r="BO389" i="326"/>
  <c r="BO390" i="326"/>
  <c r="BO391" i="326"/>
  <c r="BO392" i="326"/>
  <c r="BO393" i="326"/>
  <c r="BO394" i="326"/>
  <c r="BO395" i="326"/>
  <c r="BO396" i="326"/>
  <c r="BO397" i="326"/>
  <c r="BO398" i="326"/>
  <c r="BO399" i="326"/>
  <c r="BO400" i="326"/>
  <c r="BO401" i="326"/>
  <c r="BO402" i="326"/>
  <c r="BO403" i="326"/>
  <c r="BO404" i="326"/>
  <c r="BO405" i="326"/>
  <c r="BO406" i="326"/>
  <c r="BO407" i="326"/>
  <c r="BO408" i="326"/>
  <c r="BO409" i="326"/>
  <c r="BO410" i="326"/>
  <c r="BO411" i="326"/>
  <c r="BO412" i="326"/>
  <c r="BO413" i="326"/>
  <c r="BO414" i="326"/>
  <c r="BO415" i="326"/>
  <c r="BO416" i="326"/>
  <c r="BO417" i="326"/>
  <c r="BO418" i="326"/>
  <c r="BO419" i="326"/>
  <c r="BO420" i="326"/>
  <c r="BO421" i="326"/>
  <c r="BO422" i="326"/>
  <c r="BO423" i="326"/>
  <c r="BO424" i="326"/>
  <c r="BO425" i="326"/>
  <c r="BO426" i="326"/>
  <c r="BO427" i="326"/>
  <c r="BO428" i="326"/>
  <c r="BO429" i="326"/>
  <c r="BO430" i="326"/>
  <c r="BO431" i="326"/>
  <c r="BO432" i="326"/>
  <c r="BO433" i="326"/>
  <c r="BO434" i="326"/>
  <c r="BO435" i="326"/>
  <c r="BO436" i="326"/>
  <c r="BO437" i="326"/>
  <c r="BO438" i="326"/>
  <c r="BO439" i="326"/>
  <c r="BO440" i="326"/>
  <c r="BO441" i="326"/>
  <c r="BO442" i="326"/>
  <c r="BO443" i="326"/>
  <c r="BO444" i="326"/>
  <c r="BO445" i="326"/>
  <c r="BO446" i="326"/>
  <c r="BO447" i="326"/>
  <c r="BO448" i="326"/>
  <c r="BO449" i="326"/>
  <c r="BO450" i="326"/>
  <c r="BO451" i="326"/>
  <c r="BO452" i="326"/>
  <c r="BO453" i="326"/>
  <c r="BO454" i="326"/>
  <c r="BO455" i="326"/>
  <c r="BO456" i="326"/>
  <c r="BO457" i="326"/>
  <c r="BO458" i="326"/>
  <c r="BO459" i="326"/>
  <c r="BO460" i="326"/>
  <c r="BO461" i="326"/>
  <c r="BO462" i="326"/>
  <c r="BO463" i="326"/>
  <c r="BO464" i="326"/>
  <c r="BO465" i="326"/>
  <c r="BO466" i="326"/>
  <c r="BO467" i="326"/>
  <c r="BO468" i="326"/>
  <c r="BO469" i="326"/>
  <c r="BO470" i="326"/>
  <c r="BO471" i="326"/>
  <c r="BO472" i="326"/>
  <c r="BO473" i="326"/>
  <c r="BO474" i="326"/>
  <c r="BO475" i="326"/>
  <c r="BO476" i="326"/>
  <c r="BO477" i="326"/>
  <c r="BO478" i="326"/>
  <c r="BO479" i="326"/>
  <c r="BO480" i="326"/>
  <c r="BO481" i="326"/>
  <c r="BO482" i="326"/>
  <c r="BO483" i="326"/>
  <c r="BO484" i="326"/>
  <c r="BO485" i="326"/>
  <c r="BO486" i="326"/>
  <c r="BO487" i="326"/>
  <c r="BO488" i="326"/>
  <c r="BO489" i="326"/>
  <c r="BO490" i="326"/>
  <c r="BO491" i="326"/>
  <c r="BO492" i="326"/>
  <c r="BO493" i="326"/>
  <c r="BO494" i="326"/>
  <c r="BO495" i="326"/>
  <c r="BO496" i="326"/>
  <c r="BO497" i="326"/>
  <c r="BO498" i="326"/>
  <c r="BO499" i="326"/>
  <c r="BO500" i="326"/>
  <c r="BO501" i="326"/>
  <c r="BO502" i="326"/>
  <c r="BO503" i="326"/>
  <c r="BO504" i="326"/>
  <c r="BO505" i="326"/>
  <c r="BO506" i="326"/>
  <c r="BO507" i="326"/>
  <c r="BO508" i="326"/>
  <c r="BO509" i="326"/>
  <c r="BO510" i="326"/>
  <c r="BO511" i="326"/>
  <c r="BO512" i="326"/>
  <c r="BO513" i="326"/>
  <c r="BO514" i="326"/>
  <c r="BO515" i="326"/>
  <c r="BO516" i="326"/>
  <c r="BO517" i="326"/>
  <c r="BO518" i="326"/>
  <c r="BO519" i="326"/>
  <c r="BO520" i="326"/>
  <c r="BO521" i="326"/>
  <c r="BO522" i="326"/>
  <c r="BO523" i="326"/>
  <c r="BO524" i="326"/>
  <c r="BO525" i="326"/>
  <c r="BO526" i="326"/>
  <c r="BO527" i="326"/>
  <c r="BO528" i="326"/>
  <c r="BO529" i="326"/>
  <c r="BO530" i="326"/>
  <c r="BO531" i="326"/>
  <c r="BO532" i="326"/>
  <c r="BO533" i="326"/>
  <c r="BO534" i="326"/>
  <c r="BO535" i="326"/>
  <c r="BO536" i="326"/>
  <c r="BO537" i="326"/>
  <c r="BO538" i="326"/>
  <c r="BO539" i="326"/>
  <c r="BO540" i="326"/>
  <c r="BO541" i="326"/>
  <c r="BO542" i="326"/>
  <c r="BO543" i="326"/>
  <c r="BO544" i="326"/>
  <c r="BO545" i="326"/>
  <c r="BO546" i="326"/>
  <c r="BO547" i="326"/>
  <c r="BO548" i="326"/>
  <c r="BO549" i="326"/>
  <c r="BO550" i="326"/>
  <c r="BO551" i="326"/>
  <c r="BO552" i="326"/>
  <c r="BO553" i="326"/>
  <c r="BO554" i="326"/>
  <c r="BO555" i="326"/>
  <c r="BO556" i="326"/>
  <c r="BO557" i="326"/>
  <c r="BO558" i="326"/>
  <c r="BO559" i="326"/>
  <c r="BO560" i="326"/>
  <c r="BO561" i="326"/>
  <c r="BO562" i="326"/>
  <c r="BO563" i="326"/>
  <c r="BO564" i="326"/>
  <c r="BO565" i="326"/>
  <c r="BO566" i="326"/>
  <c r="BO567" i="326"/>
  <c r="BO568" i="326"/>
  <c r="BO569" i="326"/>
  <c r="BO570" i="326"/>
  <c r="BO571" i="326"/>
  <c r="BO572" i="326"/>
  <c r="BO573" i="326"/>
  <c r="BO574" i="326"/>
  <c r="BO575" i="326"/>
  <c r="BO576" i="326"/>
  <c r="BO577" i="326"/>
  <c r="BO578" i="326"/>
  <c r="BO579" i="326"/>
  <c r="BO580" i="326"/>
  <c r="BO581" i="326"/>
  <c r="BO582" i="326"/>
  <c r="BO583" i="326"/>
  <c r="BO584" i="326"/>
  <c r="BO585" i="326"/>
  <c r="BO586" i="326"/>
  <c r="BO587" i="326"/>
  <c r="BO588" i="326"/>
  <c r="BO589" i="326"/>
  <c r="BO590" i="326"/>
  <c r="BO591" i="326"/>
  <c r="BO592" i="326"/>
  <c r="BO593" i="326"/>
  <c r="BO594" i="326"/>
  <c r="BO595" i="326"/>
  <c r="BO596" i="326"/>
  <c r="BO597" i="326"/>
  <c r="BO598" i="326"/>
  <c r="BO599" i="326"/>
  <c r="BO600" i="326"/>
  <c r="BO601" i="326"/>
  <c r="BO602" i="326"/>
  <c r="BO603" i="326"/>
  <c r="BO604" i="326"/>
  <c r="BO605" i="326"/>
  <c r="BO606" i="326"/>
  <c r="BO607" i="326"/>
  <c r="BO608" i="326"/>
  <c r="BO609" i="326"/>
  <c r="BO610" i="326"/>
  <c r="BO611" i="326"/>
  <c r="BO612" i="326"/>
  <c r="BO613" i="326"/>
  <c r="BO614" i="326"/>
  <c r="BO615" i="326"/>
  <c r="BO616" i="326"/>
  <c r="BO617" i="326"/>
  <c r="BO618" i="326"/>
  <c r="BO619" i="326"/>
  <c r="BO620" i="326"/>
  <c r="BO621" i="326"/>
  <c r="BO622" i="326"/>
  <c r="BO623" i="326"/>
  <c r="BO624" i="326"/>
  <c r="BO625" i="326"/>
  <c r="BO626" i="326"/>
  <c r="BO627" i="326"/>
  <c r="BO628" i="326"/>
  <c r="BO629" i="326"/>
  <c r="BO630" i="326"/>
  <c r="BO631" i="326"/>
  <c r="BO632" i="326"/>
  <c r="BO633" i="326"/>
  <c r="BO634" i="326"/>
  <c r="BO635" i="326"/>
  <c r="BO636" i="326"/>
  <c r="BO637" i="326"/>
  <c r="BO638" i="326"/>
  <c r="BO639" i="326"/>
  <c r="BO640" i="326"/>
  <c r="BO641" i="326"/>
  <c r="BO642" i="326"/>
  <c r="BO643" i="326"/>
  <c r="BO644" i="326"/>
  <c r="BO645" i="326"/>
  <c r="BO646" i="326"/>
  <c r="BO647" i="326"/>
  <c r="BO648" i="326"/>
  <c r="BO649" i="326"/>
  <c r="BO650" i="326"/>
  <c r="BO651" i="326"/>
  <c r="BO652" i="326"/>
  <c r="BO653" i="326"/>
  <c r="BO654" i="326"/>
  <c r="BO655" i="326"/>
  <c r="BO656" i="326"/>
  <c r="BO657" i="326"/>
  <c r="BO658" i="326"/>
  <c r="BO659" i="326"/>
  <c r="BO660" i="326"/>
  <c r="BO661" i="326"/>
  <c r="BO662" i="326"/>
  <c r="BO663" i="326"/>
  <c r="BO664" i="326"/>
  <c r="BO665" i="326"/>
  <c r="BO666" i="326"/>
  <c r="BO667" i="326"/>
  <c r="BO668" i="326"/>
  <c r="BO669" i="326"/>
  <c r="BO670" i="326"/>
  <c r="BO8" i="326"/>
  <c r="BC9" i="326"/>
  <c r="BC10" i="326"/>
  <c r="BC11" i="326"/>
  <c r="BC12" i="326"/>
  <c r="BC13" i="326"/>
  <c r="BC14" i="326"/>
  <c r="BC15" i="326"/>
  <c r="BC16" i="326"/>
  <c r="BC17" i="326"/>
  <c r="BC18" i="326"/>
  <c r="BC19" i="326"/>
  <c r="BC20" i="326"/>
  <c r="BC21" i="326"/>
  <c r="BC22" i="326"/>
  <c r="BC23" i="326"/>
  <c r="BC24" i="326"/>
  <c r="BC25" i="326"/>
  <c r="BC26" i="326"/>
  <c r="BC27" i="326"/>
  <c r="BC28" i="326"/>
  <c r="BC29" i="326"/>
  <c r="BC30" i="326"/>
  <c r="BC31" i="326"/>
  <c r="BC32" i="326"/>
  <c r="BC33" i="326"/>
  <c r="BC34" i="326"/>
  <c r="BC35" i="326"/>
  <c r="BC36" i="326"/>
  <c r="BC37" i="326"/>
  <c r="BC38" i="326"/>
  <c r="BC39" i="326"/>
  <c r="BC40" i="326"/>
  <c r="BC41" i="326"/>
  <c r="BC42" i="326"/>
  <c r="BC43" i="326"/>
  <c r="BC44" i="326"/>
  <c r="BC45" i="326"/>
  <c r="BC46" i="326"/>
  <c r="BC47" i="326"/>
  <c r="BC48" i="326"/>
  <c r="BC49" i="326"/>
  <c r="BC50" i="326"/>
  <c r="BC51" i="326"/>
  <c r="BC52" i="326"/>
  <c r="BC53" i="326"/>
  <c r="BC54" i="326"/>
  <c r="BC55" i="326"/>
  <c r="BC56" i="326"/>
  <c r="BC57" i="326"/>
  <c r="BC58" i="326"/>
  <c r="BC59" i="326"/>
  <c r="BC60" i="326"/>
  <c r="BC61" i="326"/>
  <c r="BC62" i="326"/>
  <c r="BC63" i="326"/>
  <c r="BC64" i="326"/>
  <c r="BC65" i="326"/>
  <c r="BC66" i="326"/>
  <c r="BC67" i="326"/>
  <c r="BC68" i="326"/>
  <c r="BC69" i="326"/>
  <c r="BC70" i="326"/>
  <c r="BC71" i="326"/>
  <c r="BC72" i="326"/>
  <c r="BC73" i="326"/>
  <c r="BC74" i="326"/>
  <c r="BC75" i="326"/>
  <c r="BC76" i="326"/>
  <c r="BC77" i="326"/>
  <c r="BC78" i="326"/>
  <c r="BC79" i="326"/>
  <c r="BC80" i="326"/>
  <c r="BC81" i="326"/>
  <c r="BC82" i="326"/>
  <c r="BC83" i="326"/>
  <c r="BC84" i="326"/>
  <c r="BC85" i="326"/>
  <c r="BC86" i="326"/>
  <c r="BC87" i="326"/>
  <c r="BC88" i="326"/>
  <c r="BC89" i="326"/>
  <c r="BC90" i="326"/>
  <c r="BC91" i="326"/>
  <c r="BC92" i="326"/>
  <c r="BC93" i="326"/>
  <c r="BC94" i="326"/>
  <c r="BC95" i="326"/>
  <c r="BC96" i="326"/>
  <c r="BC97" i="326"/>
  <c r="BC98" i="326"/>
  <c r="BC99" i="326"/>
  <c r="BC100" i="326"/>
  <c r="BC101" i="326"/>
  <c r="BC102" i="326"/>
  <c r="BC103" i="326"/>
  <c r="BC104" i="326"/>
  <c r="BC105" i="326"/>
  <c r="BC106" i="326"/>
  <c r="BC107" i="326"/>
  <c r="BC108" i="326"/>
  <c r="BC109" i="326"/>
  <c r="BC110" i="326"/>
  <c r="BC111" i="326"/>
  <c r="BC112" i="326"/>
  <c r="BC113" i="326"/>
  <c r="BC114" i="326"/>
  <c r="BC115" i="326"/>
  <c r="BC116" i="326"/>
  <c r="BC117" i="326"/>
  <c r="BC118" i="326"/>
  <c r="BC119" i="326"/>
  <c r="BC120" i="326"/>
  <c r="BC121" i="326"/>
  <c r="BC122" i="326"/>
  <c r="BC123" i="326"/>
  <c r="BC124" i="326"/>
  <c r="BC125" i="326"/>
  <c r="BC126" i="326"/>
  <c r="BC127" i="326"/>
  <c r="BC128" i="326"/>
  <c r="BC129" i="326"/>
  <c r="BC130" i="326"/>
  <c r="BC131" i="326"/>
  <c r="BC132" i="326"/>
  <c r="BC133" i="326"/>
  <c r="BC134" i="326"/>
  <c r="BC135" i="326"/>
  <c r="BC136" i="326"/>
  <c r="BC137" i="326"/>
  <c r="BC138" i="326"/>
  <c r="BC139" i="326"/>
  <c r="BC140" i="326"/>
  <c r="BC141" i="326"/>
  <c r="BC142" i="326"/>
  <c r="BC143" i="326"/>
  <c r="BC144" i="326"/>
  <c r="BC145" i="326"/>
  <c r="BC146" i="326"/>
  <c r="BC147" i="326"/>
  <c r="BC148" i="326"/>
  <c r="BC149" i="326"/>
  <c r="BC150" i="326"/>
  <c r="BC151" i="326"/>
  <c r="BC152" i="326"/>
  <c r="BC153" i="326"/>
  <c r="BC154" i="326"/>
  <c r="BC155" i="326"/>
  <c r="BC156" i="326"/>
  <c r="BC157" i="326"/>
  <c r="BC158" i="326"/>
  <c r="BC159" i="326"/>
  <c r="BC160" i="326"/>
  <c r="BC161" i="326"/>
  <c r="BC162" i="326"/>
  <c r="BC163" i="326"/>
  <c r="BC164" i="326"/>
  <c r="BC165" i="326"/>
  <c r="BC166" i="326"/>
  <c r="BC167" i="326"/>
  <c r="BC168" i="326"/>
  <c r="BC169" i="326"/>
  <c r="BC170" i="326"/>
  <c r="BC171" i="326"/>
  <c r="BC172" i="326"/>
  <c r="BC173" i="326"/>
  <c r="BC174" i="326"/>
  <c r="BC175" i="326"/>
  <c r="BC176" i="326"/>
  <c r="BC177" i="326"/>
  <c r="BC178" i="326"/>
  <c r="BC179" i="326"/>
  <c r="BC180" i="326"/>
  <c r="BC181" i="326"/>
  <c r="BC182" i="326"/>
  <c r="BC183" i="326"/>
  <c r="BC184" i="326"/>
  <c r="BC185" i="326"/>
  <c r="BC186" i="326"/>
  <c r="BC187" i="326"/>
  <c r="BC188" i="326"/>
  <c r="BC189" i="326"/>
  <c r="BC190" i="326"/>
  <c r="BC191" i="326"/>
  <c r="BC192" i="326"/>
  <c r="BC193" i="326"/>
  <c r="BC194" i="326"/>
  <c r="BC195" i="326"/>
  <c r="BC196" i="326"/>
  <c r="BC197" i="326"/>
  <c r="BC198" i="326"/>
  <c r="BC199" i="326"/>
  <c r="BC200" i="326"/>
  <c r="BC201" i="326"/>
  <c r="BC202" i="326"/>
  <c r="BC203" i="326"/>
  <c r="BC204" i="326"/>
  <c r="BC205" i="326"/>
  <c r="BC206" i="326"/>
  <c r="BC207" i="326"/>
  <c r="BC208" i="326"/>
  <c r="BC209" i="326"/>
  <c r="BC210" i="326"/>
  <c r="BC211" i="326"/>
  <c r="BC212" i="326"/>
  <c r="BC213" i="326"/>
  <c r="BC214" i="326"/>
  <c r="BC215" i="326"/>
  <c r="BC216" i="326"/>
  <c r="BC217" i="326"/>
  <c r="BC218" i="326"/>
  <c r="BC219" i="326"/>
  <c r="BC220" i="326"/>
  <c r="BC221" i="326"/>
  <c r="BC222" i="326"/>
  <c r="BC223" i="326"/>
  <c r="BC224" i="326"/>
  <c r="BC225" i="326"/>
  <c r="BC226" i="326"/>
  <c r="BC227" i="326"/>
  <c r="BC228" i="326"/>
  <c r="BC229" i="326"/>
  <c r="BC230" i="326"/>
  <c r="BC231" i="326"/>
  <c r="BC232" i="326"/>
  <c r="BC233" i="326"/>
  <c r="BC234" i="326"/>
  <c r="BC235" i="326"/>
  <c r="BC236" i="326"/>
  <c r="BC237" i="326"/>
  <c r="BC238" i="326"/>
  <c r="BC239" i="326"/>
  <c r="BC240" i="326"/>
  <c r="BC241" i="326"/>
  <c r="BC242" i="326"/>
  <c r="BC243" i="326"/>
  <c r="BC244" i="326"/>
  <c r="BC245" i="326"/>
  <c r="BC246" i="326"/>
  <c r="BC247" i="326"/>
  <c r="BC248" i="326"/>
  <c r="BC249" i="326"/>
  <c r="BC250" i="326"/>
  <c r="BC251" i="326"/>
  <c r="BC252" i="326"/>
  <c r="BC253" i="326"/>
  <c r="BC254" i="326"/>
  <c r="BC255" i="326"/>
  <c r="BC256" i="326"/>
  <c r="BC257" i="326"/>
  <c r="BC258" i="326"/>
  <c r="BC259" i="326"/>
  <c r="BC260" i="326"/>
  <c r="BC261" i="326"/>
  <c r="BC262" i="326"/>
  <c r="BC263" i="326"/>
  <c r="BC264" i="326"/>
  <c r="BC265" i="326"/>
  <c r="BC266" i="326"/>
  <c r="BC267" i="326"/>
  <c r="BC268" i="326"/>
  <c r="BC269" i="326"/>
  <c r="BC270" i="326"/>
  <c r="BC271" i="326"/>
  <c r="BC272" i="326"/>
  <c r="BC273" i="326"/>
  <c r="BC274" i="326"/>
  <c r="BC275" i="326"/>
  <c r="BC276" i="326"/>
  <c r="BC277" i="326"/>
  <c r="BC278" i="326"/>
  <c r="BC279" i="326"/>
  <c r="BC280" i="326"/>
  <c r="BC281" i="326"/>
  <c r="BC282" i="326"/>
  <c r="BC283" i="326"/>
  <c r="BC284" i="326"/>
  <c r="BC285" i="326"/>
  <c r="BC286" i="326"/>
  <c r="BC287" i="326"/>
  <c r="BC288" i="326"/>
  <c r="BC289" i="326"/>
  <c r="BC290" i="326"/>
  <c r="BC291" i="326"/>
  <c r="BC292" i="326"/>
  <c r="BC293" i="326"/>
  <c r="BC294" i="326"/>
  <c r="BC295" i="326"/>
  <c r="BC296" i="326"/>
  <c r="BC297" i="326"/>
  <c r="BC298" i="326"/>
  <c r="BC299" i="326"/>
  <c r="BC300" i="326"/>
  <c r="BC301" i="326"/>
  <c r="BC302" i="326"/>
  <c r="BC303" i="326"/>
  <c r="BC304" i="326"/>
  <c r="BC305" i="326"/>
  <c r="BC306" i="326"/>
  <c r="BC307" i="326"/>
  <c r="BC308" i="326"/>
  <c r="BC309" i="326"/>
  <c r="BC310" i="326"/>
  <c r="BC311" i="326"/>
  <c r="BC312" i="326"/>
  <c r="BC313" i="326"/>
  <c r="BC314" i="326"/>
  <c r="BC315" i="326"/>
  <c r="BC316" i="326"/>
  <c r="BC317" i="326"/>
  <c r="BC318" i="326"/>
  <c r="BC319" i="326"/>
  <c r="BC320" i="326"/>
  <c r="BC321" i="326"/>
  <c r="BC322" i="326"/>
  <c r="BC323" i="326"/>
  <c r="BC324" i="326"/>
  <c r="BC325" i="326"/>
  <c r="BC326" i="326"/>
  <c r="BC327" i="326"/>
  <c r="BC328" i="326"/>
  <c r="BC329" i="326"/>
  <c r="BC330" i="326"/>
  <c r="BC331" i="326"/>
  <c r="BC332" i="326"/>
  <c r="BC333" i="326"/>
  <c r="BC334" i="326"/>
  <c r="BC335" i="326"/>
  <c r="BC336" i="326"/>
  <c r="BC337" i="326"/>
  <c r="BC338" i="326"/>
  <c r="BC339" i="326"/>
  <c r="BC340" i="326"/>
  <c r="BC341" i="326"/>
  <c r="BC342" i="326"/>
  <c r="BC343" i="326"/>
  <c r="BC344" i="326"/>
  <c r="BC345" i="326"/>
  <c r="BC346" i="326"/>
  <c r="BC347" i="326"/>
  <c r="BC348" i="326"/>
  <c r="BC349" i="326"/>
  <c r="BC350" i="326"/>
  <c r="BC351" i="326"/>
  <c r="BC352" i="326"/>
  <c r="BC353" i="326"/>
  <c r="BC354" i="326"/>
  <c r="BC355" i="326"/>
  <c r="BC356" i="326"/>
  <c r="BC357" i="326"/>
  <c r="BC358" i="326"/>
  <c r="BC359" i="326"/>
  <c r="BC360" i="326"/>
  <c r="BC361" i="326"/>
  <c r="BC362" i="326"/>
  <c r="BC363" i="326"/>
  <c r="BC364" i="326"/>
  <c r="BC365" i="326"/>
  <c r="BC366" i="326"/>
  <c r="BC367" i="326"/>
  <c r="BC368" i="326"/>
  <c r="BC369" i="326"/>
  <c r="BC370" i="326"/>
  <c r="BC371" i="326"/>
  <c r="BC372" i="326"/>
  <c r="BC373" i="326"/>
  <c r="BC374" i="326"/>
  <c r="BC375" i="326"/>
  <c r="BC376" i="326"/>
  <c r="BC377" i="326"/>
  <c r="BC378" i="326"/>
  <c r="BC379" i="326"/>
  <c r="BC380" i="326"/>
  <c r="BC381" i="326"/>
  <c r="BC382" i="326"/>
  <c r="BC383" i="326"/>
  <c r="BC384" i="326"/>
  <c r="BC385" i="326"/>
  <c r="BC386" i="326"/>
  <c r="BC387" i="326"/>
  <c r="BC388" i="326"/>
  <c r="BC389" i="326"/>
  <c r="BC390" i="326"/>
  <c r="BC391" i="326"/>
  <c r="BC392" i="326"/>
  <c r="BC393" i="326"/>
  <c r="BC394" i="326"/>
  <c r="BC395" i="326"/>
  <c r="BC396" i="326"/>
  <c r="BC397" i="326"/>
  <c r="BC398" i="326"/>
  <c r="BC399" i="326"/>
  <c r="BC400" i="326"/>
  <c r="BC401" i="326"/>
  <c r="BC402" i="326"/>
  <c r="BC403" i="326"/>
  <c r="BC404" i="326"/>
  <c r="BC405" i="326"/>
  <c r="BC406" i="326"/>
  <c r="BC407" i="326"/>
  <c r="BC408" i="326"/>
  <c r="BC409" i="326"/>
  <c r="BC410" i="326"/>
  <c r="BC411" i="326"/>
  <c r="BC412" i="326"/>
  <c r="BC413" i="326"/>
  <c r="BC414" i="326"/>
  <c r="BC415" i="326"/>
  <c r="BC416" i="326"/>
  <c r="BC417" i="326"/>
  <c r="BC418" i="326"/>
  <c r="BC419" i="326"/>
  <c r="BC420" i="326"/>
  <c r="BC421" i="326"/>
  <c r="BC422" i="326"/>
  <c r="BC423" i="326"/>
  <c r="BC424" i="326"/>
  <c r="BC425" i="326"/>
  <c r="BC426" i="326"/>
  <c r="BC427" i="326"/>
  <c r="BC428" i="326"/>
  <c r="BC429" i="326"/>
  <c r="BC430" i="326"/>
  <c r="BC431" i="326"/>
  <c r="BC432" i="326"/>
  <c r="BC433" i="326"/>
  <c r="BC434" i="326"/>
  <c r="BC435" i="326"/>
  <c r="BC436" i="326"/>
  <c r="BC437" i="326"/>
  <c r="BC438" i="326"/>
  <c r="BC439" i="326"/>
  <c r="BC440" i="326"/>
  <c r="BC441" i="326"/>
  <c r="BC442" i="326"/>
  <c r="BC443" i="326"/>
  <c r="BC444" i="326"/>
  <c r="BC445" i="326"/>
  <c r="BC446" i="326"/>
  <c r="BC447" i="326"/>
  <c r="BC448" i="326"/>
  <c r="BC449" i="326"/>
  <c r="BC450" i="326"/>
  <c r="BC451" i="326"/>
  <c r="BC452" i="326"/>
  <c r="BC453" i="326"/>
  <c r="BC454" i="326"/>
  <c r="BC455" i="326"/>
  <c r="BC456" i="326"/>
  <c r="BC457" i="326"/>
  <c r="BC458" i="326"/>
  <c r="BC459" i="326"/>
  <c r="BC460" i="326"/>
  <c r="BC461" i="326"/>
  <c r="BC462" i="326"/>
  <c r="BC463" i="326"/>
  <c r="BC464" i="326"/>
  <c r="BC465" i="326"/>
  <c r="BC466" i="326"/>
  <c r="BC467" i="326"/>
  <c r="BC468" i="326"/>
  <c r="BC469" i="326"/>
  <c r="BC470" i="326"/>
  <c r="BC471" i="326"/>
  <c r="BC472" i="326"/>
  <c r="BC473" i="326"/>
  <c r="BC474" i="326"/>
  <c r="BC475" i="326"/>
  <c r="BC476" i="326"/>
  <c r="BC477" i="326"/>
  <c r="BC478" i="326"/>
  <c r="BC479" i="326"/>
  <c r="BC480" i="326"/>
  <c r="BC481" i="326"/>
  <c r="BC482" i="326"/>
  <c r="BC483" i="326"/>
  <c r="BC484" i="326"/>
  <c r="BC485" i="326"/>
  <c r="BC486" i="326"/>
  <c r="BC487" i="326"/>
  <c r="BC488" i="326"/>
  <c r="BC489" i="326"/>
  <c r="BC490" i="326"/>
  <c r="BC491" i="326"/>
  <c r="BC492" i="326"/>
  <c r="BC493" i="326"/>
  <c r="BC494" i="326"/>
  <c r="BC495" i="326"/>
  <c r="BC496" i="326"/>
  <c r="BC497" i="326"/>
  <c r="BC498" i="326"/>
  <c r="BC499" i="326"/>
  <c r="BC500" i="326"/>
  <c r="BC501" i="326"/>
  <c r="BC502" i="326"/>
  <c r="BC503" i="326"/>
  <c r="BC504" i="326"/>
  <c r="BC505" i="326"/>
  <c r="BC506" i="326"/>
  <c r="BC507" i="326"/>
  <c r="BC508" i="326"/>
  <c r="BC509" i="326"/>
  <c r="BC510" i="326"/>
  <c r="BC511" i="326"/>
  <c r="BC512" i="326"/>
  <c r="BC513" i="326"/>
  <c r="BC514" i="326"/>
  <c r="BC515" i="326"/>
  <c r="BC516" i="326"/>
  <c r="BC517" i="326"/>
  <c r="BC518" i="326"/>
  <c r="BC519" i="326"/>
  <c r="BC520" i="326"/>
  <c r="BC521" i="326"/>
  <c r="BC522" i="326"/>
  <c r="BC523" i="326"/>
  <c r="BC524" i="326"/>
  <c r="BC525" i="326"/>
  <c r="BC526" i="326"/>
  <c r="BC527" i="326"/>
  <c r="BC528" i="326"/>
  <c r="BC529" i="326"/>
  <c r="BC530" i="326"/>
  <c r="BC531" i="326"/>
  <c r="BC532" i="326"/>
  <c r="BC533" i="326"/>
  <c r="BC534" i="326"/>
  <c r="BC535" i="326"/>
  <c r="BC536" i="326"/>
  <c r="BC537" i="326"/>
  <c r="BC538" i="326"/>
  <c r="BC539" i="326"/>
  <c r="BC540" i="326"/>
  <c r="BC541" i="326"/>
  <c r="BC542" i="326"/>
  <c r="BC543" i="326"/>
  <c r="BC544" i="326"/>
  <c r="BC545" i="326"/>
  <c r="BC546" i="326"/>
  <c r="BC547" i="326"/>
  <c r="BC548" i="326"/>
  <c r="BC549" i="326"/>
  <c r="BC550" i="326"/>
  <c r="BC551" i="326"/>
  <c r="BC552" i="326"/>
  <c r="BC553" i="326"/>
  <c r="BC554" i="326"/>
  <c r="BC555" i="326"/>
  <c r="BC556" i="326"/>
  <c r="BC557" i="326"/>
  <c r="BC558" i="326"/>
  <c r="BC559" i="326"/>
  <c r="BC560" i="326"/>
  <c r="BC561" i="326"/>
  <c r="BC562" i="326"/>
  <c r="BC563" i="326"/>
  <c r="BC564" i="326"/>
  <c r="BC565" i="326"/>
  <c r="BC566" i="326"/>
  <c r="BC567" i="326"/>
  <c r="BC568" i="326"/>
  <c r="BC569" i="326"/>
  <c r="BC570" i="326"/>
  <c r="BC571" i="326"/>
  <c r="BC572" i="326"/>
  <c r="BC573" i="326"/>
  <c r="BC574" i="326"/>
  <c r="BC575" i="326"/>
  <c r="BC576" i="326"/>
  <c r="BC577" i="326"/>
  <c r="BC578" i="326"/>
  <c r="BC579" i="326"/>
  <c r="BC580" i="326"/>
  <c r="BC581" i="326"/>
  <c r="BC582" i="326"/>
  <c r="BC583" i="326"/>
  <c r="BC584" i="326"/>
  <c r="BC585" i="326"/>
  <c r="BC586" i="326"/>
  <c r="BC587" i="326"/>
  <c r="BC588" i="326"/>
  <c r="BC589" i="326"/>
  <c r="BC590" i="326"/>
  <c r="BC591" i="326"/>
  <c r="BC592" i="326"/>
  <c r="BC593" i="326"/>
  <c r="BC594" i="326"/>
  <c r="BC595" i="326"/>
  <c r="BC596" i="326"/>
  <c r="BC597" i="326"/>
  <c r="BC598" i="326"/>
  <c r="BC599" i="326"/>
  <c r="BC600" i="326"/>
  <c r="BC601" i="326"/>
  <c r="BC602" i="326"/>
  <c r="BC603" i="326"/>
  <c r="BC604" i="326"/>
  <c r="BC605" i="326"/>
  <c r="BC606" i="326"/>
  <c r="BC607" i="326"/>
  <c r="BC608" i="326"/>
  <c r="BC609" i="326"/>
  <c r="BC610" i="326"/>
  <c r="BC611" i="326"/>
  <c r="BC612" i="326"/>
  <c r="BC613" i="326"/>
  <c r="BC614" i="326"/>
  <c r="BC615" i="326"/>
  <c r="BC616" i="326"/>
  <c r="BC617" i="326"/>
  <c r="BC618" i="326"/>
  <c r="BC619" i="326"/>
  <c r="BC620" i="326"/>
  <c r="BC621" i="326"/>
  <c r="BC622" i="326"/>
  <c r="BC623" i="326"/>
  <c r="BC624" i="326"/>
  <c r="BC625" i="326"/>
  <c r="BC626" i="326"/>
  <c r="BC627" i="326"/>
  <c r="BC628" i="326"/>
  <c r="BC629" i="326"/>
  <c r="BC630" i="326"/>
  <c r="BC631" i="326"/>
  <c r="BC632" i="326"/>
  <c r="BC633" i="326"/>
  <c r="BC634" i="326"/>
  <c r="BC635" i="326"/>
  <c r="BC636" i="326"/>
  <c r="BC637" i="326"/>
  <c r="BC638" i="326"/>
  <c r="BC639" i="326"/>
  <c r="BC640" i="326"/>
  <c r="BC641" i="326"/>
  <c r="BC642" i="326"/>
  <c r="BC643" i="326"/>
  <c r="BC644" i="326"/>
  <c r="BC645" i="326"/>
  <c r="BC646" i="326"/>
  <c r="BC647" i="326"/>
  <c r="BC648" i="326"/>
  <c r="BC649" i="326"/>
  <c r="BC650" i="326"/>
  <c r="BC651" i="326"/>
  <c r="BC652" i="326"/>
  <c r="BC653" i="326"/>
  <c r="BC654" i="326"/>
  <c r="BC655" i="326"/>
  <c r="BC656" i="326"/>
  <c r="BC657" i="326"/>
  <c r="BC658" i="326"/>
  <c r="BC659" i="326"/>
  <c r="BC660" i="326"/>
  <c r="BC661" i="326"/>
  <c r="BC662" i="326"/>
  <c r="BC663" i="326"/>
  <c r="BC664" i="326"/>
  <c r="BC665" i="326"/>
  <c r="BC666" i="326"/>
  <c r="BC667" i="326"/>
  <c r="BC668" i="326"/>
  <c r="BC669" i="326"/>
  <c r="BC670" i="326"/>
  <c r="BC8" i="326"/>
  <c r="G4" i="326" l="1"/>
  <c r="GJ157" i="236" l="1"/>
  <c r="C37" i="236"/>
  <c r="C35" i="236"/>
  <c r="C17" i="236"/>
  <c r="C13" i="236"/>
  <c r="C9" i="236"/>
  <c r="D4" i="236"/>
  <c r="GJ163" i="235"/>
  <c r="C33" i="235"/>
  <c r="C23" i="235"/>
  <c r="C17" i="235"/>
  <c r="C13" i="235"/>
  <c r="C9" i="235"/>
  <c r="D4" i="235"/>
</calcChain>
</file>

<file path=xl/sharedStrings.xml><?xml version="1.0" encoding="utf-8"?>
<sst xmlns="http://schemas.openxmlformats.org/spreadsheetml/2006/main" count="962" uniqueCount="387">
  <si>
    <t>소조진행현황</t>
    <phoneticPr fontId="4" type="noConversion"/>
  </si>
  <si>
    <t>F.B</t>
    <phoneticPr fontId="4" type="noConversion"/>
  </si>
  <si>
    <t>앵글</t>
    <phoneticPr fontId="4" type="noConversion"/>
  </si>
  <si>
    <t>○</t>
  </si>
  <si>
    <t>STC</t>
    <phoneticPr fontId="4" type="noConversion"/>
  </si>
  <si>
    <t>曲</t>
    <phoneticPr fontId="4" type="noConversion"/>
  </si>
  <si>
    <t>PL.</t>
    <phoneticPr fontId="4" type="noConversion"/>
  </si>
  <si>
    <t>△:예정,◑:진행,○:완료, N:없음</t>
    <phoneticPr fontId="4" type="noConversion"/>
  </si>
  <si>
    <t>N</t>
  </si>
  <si>
    <t>절단처</t>
    <phoneticPr fontId="4" type="noConversion"/>
  </si>
  <si>
    <t>부재진행현황(소조)</t>
    <phoneticPr fontId="4" type="noConversion"/>
  </si>
  <si>
    <t>입고율</t>
    <phoneticPr fontId="4" type="noConversion"/>
  </si>
  <si>
    <t>판접</t>
    <phoneticPr fontId="4" type="noConversion"/>
  </si>
  <si>
    <t xml:space="preserve">       </t>
    <phoneticPr fontId="4" type="noConversion"/>
  </si>
  <si>
    <t xml:space="preserve"> </t>
    <phoneticPr fontId="4" type="noConversion"/>
  </si>
  <si>
    <t>조립팀</t>
    <phoneticPr fontId="4" type="noConversion"/>
  </si>
  <si>
    <t>호선</t>
    <phoneticPr fontId="4" type="noConversion"/>
  </si>
  <si>
    <t>입고완료</t>
    <phoneticPr fontId="4" type="noConversion"/>
  </si>
  <si>
    <t>선적</t>
    <phoneticPr fontId="4" type="noConversion"/>
  </si>
  <si>
    <t>3</t>
    <phoneticPr fontId="4" type="noConversion"/>
  </si>
  <si>
    <t>2</t>
    <phoneticPr fontId="4" type="noConversion"/>
  </si>
  <si>
    <t>검사</t>
    <phoneticPr fontId="4" type="noConversion"/>
  </si>
  <si>
    <t>N</t>
    <phoneticPr fontId="4" type="noConversion"/>
  </si>
  <si>
    <t>작성일 : 09-10 -21</t>
    <phoneticPr fontId="4" type="noConversion"/>
  </si>
  <si>
    <t>발주</t>
    <phoneticPr fontId="4" type="noConversion"/>
  </si>
  <si>
    <t>S</t>
    <phoneticPr fontId="4" type="noConversion"/>
  </si>
  <si>
    <t>D</t>
    <phoneticPr fontId="4" type="noConversion"/>
  </si>
  <si>
    <t xml:space="preserve">작성일 : </t>
    <phoneticPr fontId="21" type="noConversion"/>
  </si>
  <si>
    <t>중량</t>
    <phoneticPr fontId="4" type="noConversion"/>
  </si>
  <si>
    <t>강재현황</t>
    <phoneticPr fontId="4" type="noConversion"/>
  </si>
  <si>
    <t>절단일정</t>
    <phoneticPr fontId="4" type="noConversion"/>
  </si>
  <si>
    <t>블록</t>
    <phoneticPr fontId="4" type="noConversion"/>
  </si>
  <si>
    <t>NO</t>
    <phoneticPr fontId="4" type="noConversion"/>
  </si>
  <si>
    <t>명성</t>
    <phoneticPr fontId="4" type="noConversion"/>
  </si>
  <si>
    <t>구조</t>
    <phoneticPr fontId="4" type="noConversion"/>
  </si>
  <si>
    <t>S</t>
    <phoneticPr fontId="4" type="noConversion"/>
  </si>
  <si>
    <t>N</t>
    <phoneticPr fontId="4" type="noConversion"/>
  </si>
  <si>
    <t>재원</t>
    <phoneticPr fontId="4" type="noConversion"/>
  </si>
  <si>
    <t>1과</t>
    <phoneticPr fontId="4" type="noConversion"/>
  </si>
  <si>
    <t>SP</t>
    <phoneticPr fontId="4" type="noConversion"/>
  </si>
  <si>
    <t>4023</t>
    <phoneticPr fontId="4" type="noConversion"/>
  </si>
  <si>
    <t>1/2과</t>
    <phoneticPr fontId="4" type="noConversion"/>
  </si>
  <si>
    <t>2과</t>
    <phoneticPr fontId="4" type="noConversion"/>
  </si>
  <si>
    <t>1797</t>
    <phoneticPr fontId="4" type="noConversion"/>
  </si>
  <si>
    <t>T13C</t>
    <phoneticPr fontId="4" type="noConversion"/>
  </si>
  <si>
    <t>4214</t>
    <phoneticPr fontId="4" type="noConversion"/>
  </si>
  <si>
    <t>1755</t>
    <phoneticPr fontId="4" type="noConversion"/>
  </si>
  <si>
    <t>4023</t>
    <phoneticPr fontId="4" type="noConversion"/>
  </si>
  <si>
    <t>작업장 :  영 진</t>
    <phoneticPr fontId="4" type="noConversion"/>
  </si>
  <si>
    <t>8/23~24</t>
    <phoneticPr fontId="4" type="noConversion"/>
  </si>
  <si>
    <t>일정확인</t>
    <phoneticPr fontId="4" type="noConversion"/>
  </si>
  <si>
    <t>4과</t>
    <phoneticPr fontId="4" type="noConversion"/>
  </si>
  <si>
    <t>M</t>
    <phoneticPr fontId="4" type="noConversion"/>
  </si>
  <si>
    <t>8/25~27</t>
    <phoneticPr fontId="4" type="noConversion"/>
  </si>
  <si>
    <t>D13C</t>
    <phoneticPr fontId="4" type="noConversion"/>
  </si>
  <si>
    <t>1/2과</t>
    <phoneticPr fontId="4" type="noConversion"/>
  </si>
  <si>
    <t>W</t>
    <phoneticPr fontId="4" type="noConversion"/>
  </si>
  <si>
    <t>1118</t>
    <phoneticPr fontId="4" type="noConversion"/>
  </si>
  <si>
    <t>2010년 09월  합계:</t>
    <phoneticPr fontId="4" type="noConversion"/>
  </si>
  <si>
    <t>8/23~25</t>
  </si>
  <si>
    <t>8/23~26</t>
  </si>
  <si>
    <t>8/23~27</t>
  </si>
  <si>
    <t>8/29~30</t>
    <phoneticPr fontId="4" type="noConversion"/>
  </si>
  <si>
    <t>8/30~31</t>
    <phoneticPr fontId="4" type="noConversion"/>
  </si>
  <si>
    <t>9/6~7</t>
    <phoneticPr fontId="4" type="noConversion"/>
  </si>
  <si>
    <t>S1122</t>
    <phoneticPr fontId="4" type="noConversion"/>
  </si>
  <si>
    <t>T250P</t>
    <phoneticPr fontId="4" type="noConversion"/>
  </si>
  <si>
    <t>T250S</t>
    <phoneticPr fontId="4" type="noConversion"/>
  </si>
  <si>
    <t>S170S</t>
    <phoneticPr fontId="4" type="noConversion"/>
  </si>
  <si>
    <t>S170P</t>
    <phoneticPr fontId="4" type="noConversion"/>
  </si>
  <si>
    <t>M420P</t>
    <phoneticPr fontId="4" type="noConversion"/>
  </si>
  <si>
    <t>M420S</t>
    <phoneticPr fontId="4" type="noConversion"/>
  </si>
  <si>
    <t>D33P</t>
    <phoneticPr fontId="4" type="noConversion"/>
  </si>
  <si>
    <t>D33S</t>
    <phoneticPr fontId="4" type="noConversion"/>
  </si>
  <si>
    <t>성동</t>
    <phoneticPr fontId="4" type="noConversion"/>
  </si>
  <si>
    <t>착수/계획</t>
    <phoneticPr fontId="4" type="noConversion"/>
  </si>
  <si>
    <t>완료/게획</t>
    <phoneticPr fontId="4" type="noConversion"/>
  </si>
  <si>
    <t>착수/실행</t>
    <phoneticPr fontId="4" type="noConversion"/>
  </si>
  <si>
    <t>완료/실행</t>
    <phoneticPr fontId="4" type="noConversion"/>
  </si>
  <si>
    <t>D</t>
    <phoneticPr fontId="4" type="noConversion"/>
  </si>
  <si>
    <t>4214</t>
    <phoneticPr fontId="4" type="noConversion"/>
  </si>
  <si>
    <t>481</t>
    <phoneticPr fontId="4" type="noConversion"/>
  </si>
  <si>
    <t>491</t>
    <phoneticPr fontId="4" type="noConversion"/>
  </si>
  <si>
    <t>N</t>
    <phoneticPr fontId="4" type="noConversion"/>
  </si>
  <si>
    <t>D35P</t>
    <phoneticPr fontId="4" type="noConversion"/>
  </si>
  <si>
    <t>D35S</t>
    <phoneticPr fontId="4" type="noConversion"/>
  </si>
  <si>
    <t>SP</t>
    <phoneticPr fontId="4" type="noConversion"/>
  </si>
  <si>
    <t>SD</t>
    <phoneticPr fontId="4" type="noConversion"/>
  </si>
  <si>
    <t>D36P</t>
    <phoneticPr fontId="4" type="noConversion"/>
  </si>
  <si>
    <t>D36S</t>
    <phoneticPr fontId="4" type="noConversion"/>
  </si>
  <si>
    <t>1/2과</t>
    <phoneticPr fontId="4" type="noConversion"/>
  </si>
  <si>
    <t>S</t>
    <phoneticPr fontId="4" type="noConversion"/>
  </si>
  <si>
    <t>1854</t>
    <phoneticPr fontId="4" type="noConversion"/>
  </si>
  <si>
    <t>T11SC</t>
    <phoneticPr fontId="4" type="noConversion"/>
  </si>
  <si>
    <t>T13SC</t>
    <phoneticPr fontId="4" type="noConversion"/>
  </si>
  <si>
    <t>428</t>
    <phoneticPr fontId="4" type="noConversion"/>
  </si>
  <si>
    <t>438</t>
    <phoneticPr fontId="4" type="noConversion"/>
  </si>
  <si>
    <t>W</t>
    <phoneticPr fontId="4" type="noConversion"/>
  </si>
  <si>
    <t>1755</t>
    <phoneticPr fontId="4" type="noConversion"/>
  </si>
  <si>
    <t>M330P</t>
    <phoneticPr fontId="4" type="noConversion"/>
  </si>
  <si>
    <t>M330S</t>
    <phoneticPr fontId="4" type="noConversion"/>
  </si>
  <si>
    <t>4150</t>
    <phoneticPr fontId="4" type="noConversion"/>
  </si>
  <si>
    <t>429</t>
    <phoneticPr fontId="4" type="noConversion"/>
  </si>
  <si>
    <t>439</t>
    <phoneticPr fontId="4" type="noConversion"/>
  </si>
  <si>
    <t>S16P</t>
    <phoneticPr fontId="4" type="noConversion"/>
  </si>
  <si>
    <t>S16S</t>
    <phoneticPr fontId="4" type="noConversion"/>
  </si>
  <si>
    <t>S</t>
    <phoneticPr fontId="4" type="noConversion"/>
  </si>
  <si>
    <t>M300C</t>
    <phoneticPr fontId="4" type="noConversion"/>
  </si>
  <si>
    <t>M710P</t>
    <phoneticPr fontId="4" type="noConversion"/>
  </si>
  <si>
    <t>M710S</t>
    <phoneticPr fontId="4" type="noConversion"/>
  </si>
  <si>
    <t>1755</t>
    <phoneticPr fontId="4" type="noConversion"/>
  </si>
  <si>
    <t>1755</t>
    <phoneticPr fontId="4" type="noConversion"/>
  </si>
  <si>
    <t>M</t>
    <phoneticPr fontId="4" type="noConversion"/>
  </si>
  <si>
    <t>SP</t>
    <phoneticPr fontId="4" type="noConversion"/>
  </si>
  <si>
    <t>D52P</t>
    <phoneticPr fontId="4" type="noConversion"/>
  </si>
  <si>
    <t>D52S</t>
    <phoneticPr fontId="4" type="noConversion"/>
  </si>
  <si>
    <t>4023</t>
    <phoneticPr fontId="4" type="noConversion"/>
  </si>
  <si>
    <t>9/6~7</t>
    <phoneticPr fontId="4" type="noConversion"/>
  </si>
  <si>
    <t>2과</t>
    <phoneticPr fontId="4" type="noConversion"/>
  </si>
  <si>
    <t>S</t>
    <phoneticPr fontId="4" type="noConversion"/>
  </si>
  <si>
    <t>M440P</t>
    <phoneticPr fontId="4" type="noConversion"/>
  </si>
  <si>
    <t>M440S</t>
    <phoneticPr fontId="4" type="noConversion"/>
  </si>
  <si>
    <t>M</t>
    <phoneticPr fontId="4" type="noConversion"/>
  </si>
  <si>
    <t>SD</t>
    <phoneticPr fontId="4" type="noConversion"/>
  </si>
  <si>
    <t>1118</t>
    <phoneticPr fontId="4" type="noConversion"/>
  </si>
  <si>
    <t>D34P</t>
    <phoneticPr fontId="4" type="noConversion"/>
  </si>
  <si>
    <t>D34S</t>
    <phoneticPr fontId="4" type="noConversion"/>
  </si>
  <si>
    <t>1/2과</t>
    <phoneticPr fontId="4" type="noConversion"/>
  </si>
  <si>
    <t>D</t>
    <phoneticPr fontId="4" type="noConversion"/>
  </si>
  <si>
    <t>4215</t>
    <phoneticPr fontId="4" type="noConversion"/>
  </si>
  <si>
    <t>422</t>
    <phoneticPr fontId="4" type="noConversion"/>
  </si>
  <si>
    <t>432</t>
    <phoneticPr fontId="4" type="noConversion"/>
  </si>
  <si>
    <t>재원</t>
    <phoneticPr fontId="4" type="noConversion"/>
  </si>
  <si>
    <t>1821</t>
    <phoneticPr fontId="4" type="noConversion"/>
  </si>
  <si>
    <t>M110P</t>
    <phoneticPr fontId="4" type="noConversion"/>
  </si>
  <si>
    <t>M110S</t>
    <phoneticPr fontId="4" type="noConversion"/>
  </si>
  <si>
    <t>8/30~32</t>
  </si>
  <si>
    <t>M120P</t>
    <phoneticPr fontId="4" type="noConversion"/>
  </si>
  <si>
    <t>M120S</t>
    <phoneticPr fontId="4" type="noConversion"/>
  </si>
  <si>
    <t>W</t>
    <phoneticPr fontId="4" type="noConversion"/>
  </si>
  <si>
    <t>1과</t>
    <phoneticPr fontId="4" type="noConversion"/>
  </si>
  <si>
    <t>M130P</t>
    <phoneticPr fontId="4" type="noConversion"/>
  </si>
  <si>
    <t>M130S</t>
    <phoneticPr fontId="4" type="noConversion"/>
  </si>
  <si>
    <t>M510P</t>
    <phoneticPr fontId="4" type="noConversion"/>
  </si>
  <si>
    <t>M510S</t>
    <phoneticPr fontId="4" type="noConversion"/>
  </si>
  <si>
    <t>M620P</t>
    <phoneticPr fontId="4" type="noConversion"/>
  </si>
  <si>
    <t>M620S</t>
    <phoneticPr fontId="4" type="noConversion"/>
  </si>
  <si>
    <t>4214</t>
    <phoneticPr fontId="4" type="noConversion"/>
  </si>
  <si>
    <t>482</t>
    <phoneticPr fontId="4" type="noConversion"/>
  </si>
  <si>
    <t>492</t>
    <phoneticPr fontId="4" type="noConversion"/>
  </si>
  <si>
    <t>N</t>
    <phoneticPr fontId="4" type="noConversion"/>
  </si>
  <si>
    <t>재원</t>
    <phoneticPr fontId="4" type="noConversion"/>
  </si>
  <si>
    <t>9/8~9</t>
    <phoneticPr fontId="4" type="noConversion"/>
  </si>
  <si>
    <t>1</t>
    <phoneticPr fontId="4" type="noConversion"/>
  </si>
  <si>
    <t>작업장 :  천 보</t>
    <phoneticPr fontId="4" type="noConversion"/>
  </si>
  <si>
    <t>M340C</t>
    <phoneticPr fontId="4" type="noConversion"/>
  </si>
  <si>
    <t>M400C</t>
    <phoneticPr fontId="4" type="noConversion"/>
  </si>
  <si>
    <t>9/6~7</t>
    <phoneticPr fontId="4" type="noConversion"/>
  </si>
  <si>
    <t>9/3~7</t>
    <phoneticPr fontId="4" type="noConversion"/>
  </si>
  <si>
    <t>9/7~8</t>
    <phoneticPr fontId="4" type="noConversion"/>
  </si>
  <si>
    <t>9/6~8</t>
  </si>
  <si>
    <t>S</t>
    <phoneticPr fontId="4" type="noConversion"/>
  </si>
  <si>
    <t>M140P</t>
    <phoneticPr fontId="4" type="noConversion"/>
  </si>
  <si>
    <t>M140S</t>
    <phoneticPr fontId="4" type="noConversion"/>
  </si>
  <si>
    <t>D</t>
    <phoneticPr fontId="4" type="noConversion"/>
  </si>
  <si>
    <t>4150</t>
    <phoneticPr fontId="4" type="noConversion"/>
  </si>
  <si>
    <t>841</t>
    <phoneticPr fontId="4" type="noConversion"/>
  </si>
  <si>
    <t>851</t>
    <phoneticPr fontId="4" type="noConversion"/>
  </si>
  <si>
    <t>1898</t>
    <phoneticPr fontId="4" type="noConversion"/>
  </si>
  <si>
    <t>1755</t>
    <phoneticPr fontId="4" type="noConversion"/>
  </si>
  <si>
    <t>9/7~9</t>
  </si>
  <si>
    <t>M520P</t>
    <phoneticPr fontId="4" type="noConversion"/>
  </si>
  <si>
    <t>M520S</t>
    <phoneticPr fontId="4" type="noConversion"/>
  </si>
  <si>
    <t>1821</t>
    <phoneticPr fontId="4" type="noConversion"/>
  </si>
  <si>
    <t>S</t>
    <phoneticPr fontId="4" type="noConversion"/>
  </si>
  <si>
    <t>1898</t>
    <phoneticPr fontId="4" type="noConversion"/>
  </si>
  <si>
    <t>1898</t>
    <phoneticPr fontId="4" type="noConversion"/>
  </si>
  <si>
    <t>E110P</t>
    <phoneticPr fontId="4" type="noConversion"/>
  </si>
  <si>
    <t>E110S</t>
    <phoneticPr fontId="4" type="noConversion"/>
  </si>
  <si>
    <t>E</t>
    <phoneticPr fontId="4" type="noConversion"/>
  </si>
  <si>
    <t>긴급</t>
    <phoneticPr fontId="4" type="noConversion"/>
  </si>
  <si>
    <t>9/9~10</t>
    <phoneticPr fontId="4" type="noConversion"/>
  </si>
  <si>
    <t>9/11~13</t>
    <phoneticPr fontId="4" type="noConversion"/>
  </si>
  <si>
    <t>4</t>
    <phoneticPr fontId="4" type="noConversion"/>
  </si>
  <si>
    <t>T</t>
    <phoneticPr fontId="4" type="noConversion"/>
  </si>
  <si>
    <t>1755</t>
    <phoneticPr fontId="4" type="noConversion"/>
  </si>
  <si>
    <t>M430</t>
    <phoneticPr fontId="4" type="noConversion"/>
  </si>
  <si>
    <t>M</t>
    <phoneticPr fontId="4" type="noConversion"/>
  </si>
  <si>
    <t>1755</t>
    <phoneticPr fontId="4" type="noConversion"/>
  </si>
  <si>
    <t>M610S</t>
    <phoneticPr fontId="4" type="noConversion"/>
  </si>
  <si>
    <t>M610P</t>
    <phoneticPr fontId="4" type="noConversion"/>
  </si>
  <si>
    <t>1898</t>
    <phoneticPr fontId="4" type="noConversion"/>
  </si>
  <si>
    <t>M130S</t>
    <phoneticPr fontId="4" type="noConversion"/>
  </si>
  <si>
    <t>M130P</t>
    <phoneticPr fontId="4" type="noConversion"/>
  </si>
  <si>
    <t>1854</t>
    <phoneticPr fontId="4" type="noConversion"/>
  </si>
  <si>
    <t>T19C</t>
    <phoneticPr fontId="4" type="noConversion"/>
  </si>
  <si>
    <t>2과</t>
    <phoneticPr fontId="4" type="noConversion"/>
  </si>
  <si>
    <t>S</t>
    <phoneticPr fontId="4" type="noConversion"/>
  </si>
  <si>
    <t>1755</t>
    <phoneticPr fontId="4" type="noConversion"/>
  </si>
  <si>
    <t>M820C</t>
    <phoneticPr fontId="4" type="noConversion"/>
  </si>
  <si>
    <t>M</t>
    <phoneticPr fontId="4" type="noConversion"/>
  </si>
  <si>
    <t>1821</t>
    <phoneticPr fontId="4" type="noConversion"/>
  </si>
  <si>
    <t>T090P</t>
    <phoneticPr fontId="4" type="noConversion"/>
  </si>
  <si>
    <t>T090S</t>
    <phoneticPr fontId="4" type="noConversion"/>
  </si>
  <si>
    <t>M720P</t>
    <phoneticPr fontId="4" type="noConversion"/>
  </si>
  <si>
    <t>M720S</t>
    <phoneticPr fontId="4" type="noConversion"/>
  </si>
  <si>
    <t>1755</t>
    <phoneticPr fontId="4" type="noConversion"/>
  </si>
  <si>
    <t>M630P</t>
    <phoneticPr fontId="4" type="noConversion"/>
  </si>
  <si>
    <t>M630S</t>
    <phoneticPr fontId="4" type="noConversion"/>
  </si>
  <si>
    <t>1854</t>
    <phoneticPr fontId="4" type="noConversion"/>
  </si>
  <si>
    <t>T120P</t>
    <phoneticPr fontId="4" type="noConversion"/>
  </si>
  <si>
    <t>T120S</t>
    <phoneticPr fontId="4" type="noConversion"/>
  </si>
  <si>
    <t>4215</t>
    <phoneticPr fontId="4" type="noConversion"/>
  </si>
  <si>
    <t>428</t>
    <phoneticPr fontId="4" type="noConversion"/>
  </si>
  <si>
    <t>438</t>
    <phoneticPr fontId="4" type="noConversion"/>
  </si>
  <si>
    <t>8</t>
    <phoneticPr fontId="4" type="noConversion"/>
  </si>
  <si>
    <t>9</t>
    <phoneticPr fontId="4" type="noConversion"/>
  </si>
  <si>
    <t>SP</t>
    <phoneticPr fontId="4" type="noConversion"/>
  </si>
  <si>
    <t>4013</t>
    <phoneticPr fontId="4" type="noConversion"/>
  </si>
  <si>
    <t>B16P</t>
    <phoneticPr fontId="4" type="noConversion"/>
  </si>
  <si>
    <t>B16S</t>
    <phoneticPr fontId="4" type="noConversion"/>
  </si>
  <si>
    <t>B</t>
    <phoneticPr fontId="4" type="noConversion"/>
  </si>
  <si>
    <t>SP</t>
    <phoneticPr fontId="4" type="noConversion"/>
  </si>
  <si>
    <t>4013</t>
    <phoneticPr fontId="4" type="noConversion"/>
  </si>
  <si>
    <t>B17P</t>
    <phoneticPr fontId="4" type="noConversion"/>
  </si>
  <si>
    <t>B17S</t>
    <phoneticPr fontId="4" type="noConversion"/>
  </si>
  <si>
    <t>B</t>
    <phoneticPr fontId="4" type="noConversion"/>
  </si>
  <si>
    <t>N</t>
    <phoneticPr fontId="4" type="noConversion"/>
  </si>
  <si>
    <t>1898</t>
    <phoneticPr fontId="4" type="noConversion"/>
  </si>
  <si>
    <t>M120P</t>
    <phoneticPr fontId="4" type="noConversion"/>
  </si>
  <si>
    <t>M120S</t>
    <phoneticPr fontId="4" type="noConversion"/>
  </si>
  <si>
    <t>절단사급</t>
    <phoneticPr fontId="4" type="noConversion"/>
  </si>
  <si>
    <t>절단사급</t>
    <phoneticPr fontId="4" type="noConversion"/>
  </si>
  <si>
    <t>9/13~15</t>
    <phoneticPr fontId="4" type="noConversion"/>
  </si>
  <si>
    <t>9/15~16</t>
    <phoneticPr fontId="4" type="noConversion"/>
  </si>
  <si>
    <t>9/16~17</t>
    <phoneticPr fontId="4" type="noConversion"/>
  </si>
  <si>
    <t>6/16~17</t>
    <phoneticPr fontId="4" type="noConversion"/>
  </si>
  <si>
    <t>절단완료</t>
    <phoneticPr fontId="4" type="noConversion"/>
  </si>
  <si>
    <t>9/8~9</t>
    <phoneticPr fontId="4" type="noConversion"/>
  </si>
  <si>
    <t>1854</t>
    <phoneticPr fontId="4" type="noConversion"/>
  </si>
  <si>
    <t>T100C</t>
    <phoneticPr fontId="4" type="noConversion"/>
  </si>
  <si>
    <t>W</t>
    <phoneticPr fontId="4" type="noConversion"/>
  </si>
  <si>
    <t>9/17~18</t>
    <phoneticPr fontId="4" type="noConversion"/>
  </si>
  <si>
    <t>10</t>
    <phoneticPr fontId="4" type="noConversion"/>
  </si>
  <si>
    <t>11</t>
    <phoneticPr fontId="4" type="noConversion"/>
  </si>
  <si>
    <t>13</t>
    <phoneticPr fontId="4" type="noConversion"/>
  </si>
  <si>
    <t>9/16~17</t>
    <phoneticPr fontId="4" type="noConversion"/>
  </si>
  <si>
    <t>9/18~19</t>
    <phoneticPr fontId="4" type="noConversion"/>
  </si>
  <si>
    <t>4214</t>
    <phoneticPr fontId="4" type="noConversion"/>
  </si>
  <si>
    <t>427</t>
    <phoneticPr fontId="4" type="noConversion"/>
  </si>
  <si>
    <t>437</t>
    <phoneticPr fontId="4" type="noConversion"/>
  </si>
  <si>
    <t>2과</t>
    <phoneticPr fontId="4" type="noConversion"/>
  </si>
  <si>
    <t>9/17~19</t>
    <phoneticPr fontId="4" type="noConversion"/>
  </si>
  <si>
    <t>9/26~27</t>
    <phoneticPr fontId="4" type="noConversion"/>
  </si>
  <si>
    <t>9/20~25</t>
    <phoneticPr fontId="4" type="noConversion"/>
  </si>
  <si>
    <t>CHJ</t>
    <phoneticPr fontId="4" type="noConversion"/>
  </si>
  <si>
    <t>삼영</t>
    <phoneticPr fontId="4" type="noConversion"/>
  </si>
  <si>
    <t>BA</t>
    <phoneticPr fontId="4" type="noConversion"/>
  </si>
  <si>
    <t>절단사급</t>
    <phoneticPr fontId="4" type="noConversion"/>
  </si>
  <si>
    <t>9/28~30</t>
    <phoneticPr fontId="4" type="noConversion"/>
  </si>
  <si>
    <t>2과</t>
    <phoneticPr fontId="4" type="noConversion"/>
  </si>
  <si>
    <t>5</t>
    <phoneticPr fontId="4" type="noConversion"/>
  </si>
  <si>
    <t>6</t>
    <phoneticPr fontId="4" type="noConversion"/>
  </si>
  <si>
    <t>7</t>
    <phoneticPr fontId="4" type="noConversion"/>
  </si>
  <si>
    <t>18</t>
    <phoneticPr fontId="4" type="noConversion"/>
  </si>
  <si>
    <t>2</t>
    <phoneticPr fontId="4" type="noConversion"/>
  </si>
  <si>
    <t>3</t>
    <phoneticPr fontId="4" type="noConversion"/>
  </si>
  <si>
    <t>4</t>
    <phoneticPr fontId="4" type="noConversion"/>
  </si>
  <si>
    <t>11</t>
    <phoneticPr fontId="4" type="noConversion"/>
  </si>
  <si>
    <t>14</t>
    <phoneticPr fontId="4" type="noConversion"/>
  </si>
  <si>
    <t>15</t>
    <phoneticPr fontId="4" type="noConversion"/>
  </si>
  <si>
    <t>19</t>
    <phoneticPr fontId="4" type="noConversion"/>
  </si>
  <si>
    <t>2010년 09월(2과/천보)소조립공정계획 (4주)</t>
    <phoneticPr fontId="4" type="noConversion"/>
  </si>
  <si>
    <t>BKT누락/입고지연 /미작업OUT</t>
    <phoneticPr fontId="4" type="noConversion"/>
  </si>
  <si>
    <t>2010년 09월(1과/영진)소조립공정계획 (4주)</t>
    <phoneticPr fontId="4" type="noConversion"/>
  </si>
  <si>
    <t>3.240.63</t>
    <phoneticPr fontId="4" type="noConversion"/>
  </si>
  <si>
    <t>1</t>
    <phoneticPr fontId="4" type="noConversion"/>
  </si>
  <si>
    <t>10</t>
    <phoneticPr fontId="4" type="noConversion"/>
  </si>
  <si>
    <t>13</t>
    <phoneticPr fontId="4" type="noConversion"/>
  </si>
  <si>
    <t>17</t>
    <phoneticPr fontId="4" type="noConversion"/>
  </si>
  <si>
    <t>26</t>
  </si>
  <si>
    <t>9/30~10/1</t>
    <phoneticPr fontId="4" type="noConversion"/>
  </si>
  <si>
    <t>9/26~28</t>
  </si>
  <si>
    <t>9/27~29</t>
    <phoneticPr fontId="4" type="noConversion"/>
  </si>
  <si>
    <t>22</t>
    <phoneticPr fontId="4" type="noConversion"/>
  </si>
  <si>
    <t>24</t>
    <phoneticPr fontId="4" type="noConversion"/>
  </si>
  <si>
    <t>25</t>
    <phoneticPr fontId="4" type="noConversion"/>
  </si>
  <si>
    <t>3.478.40</t>
    <phoneticPr fontId="4" type="noConversion"/>
  </si>
  <si>
    <t>천보</t>
    <phoneticPr fontId="4" type="noConversion"/>
  </si>
  <si>
    <t>영진</t>
    <phoneticPr fontId="4" type="noConversion"/>
  </si>
  <si>
    <t>C2001</t>
    <phoneticPr fontId="4" type="noConversion"/>
  </si>
  <si>
    <t>B01A</t>
    <phoneticPr fontId="4" type="noConversion"/>
  </si>
  <si>
    <t>선사</t>
    <phoneticPr fontId="29" type="noConversion"/>
  </si>
  <si>
    <t>특이사항</t>
    <phoneticPr fontId="29" type="noConversion"/>
  </si>
  <si>
    <t>조립</t>
    <phoneticPr fontId="29" type="noConversion"/>
  </si>
  <si>
    <t>전처리</t>
    <phoneticPr fontId="29" type="noConversion"/>
  </si>
  <si>
    <t>도장 F</t>
    <phoneticPr fontId="29" type="noConversion"/>
  </si>
  <si>
    <t>선적일</t>
    <phoneticPr fontId="29" type="noConversion"/>
  </si>
  <si>
    <t>완료</t>
    <phoneticPr fontId="29" type="noConversion"/>
  </si>
  <si>
    <t>◈ 2026년 금강중공업 생산 계획 및 실적_배포용</t>
    <phoneticPr fontId="29" type="noConversion"/>
  </si>
  <si>
    <t>금강중공업 제작 SCOPE</t>
    <phoneticPr fontId="29" type="noConversion"/>
  </si>
  <si>
    <t>가공일정</t>
    <phoneticPr fontId="29" type="noConversion"/>
  </si>
  <si>
    <t>소조 일정</t>
    <phoneticPr fontId="29" type="noConversion"/>
  </si>
  <si>
    <t>의장일정</t>
    <phoneticPr fontId="29" type="noConversion"/>
  </si>
  <si>
    <t>CELL GUIDE 일정</t>
    <phoneticPr fontId="29" type="noConversion"/>
  </si>
  <si>
    <t>중/대조 실행 계획 및 실적</t>
    <phoneticPr fontId="29" type="noConversion"/>
  </si>
  <si>
    <t>PAINT 일정</t>
  </si>
  <si>
    <t>PE 일정</t>
  </si>
  <si>
    <t>납기 관리</t>
  </si>
  <si>
    <t>LINK ID 1</t>
    <phoneticPr fontId="29" type="noConversion"/>
  </si>
  <si>
    <t>LINK ID 2</t>
  </si>
  <si>
    <t>LINK ID 3</t>
  </si>
  <si>
    <t>CODE
ID</t>
    <phoneticPr fontId="29" type="noConversion"/>
  </si>
  <si>
    <t>LINK
NO.</t>
    <phoneticPr fontId="29" type="noConversion"/>
  </si>
  <si>
    <t>US
ER</t>
    <phoneticPr fontId="29" type="noConversion"/>
  </si>
  <si>
    <t>HULL</t>
  </si>
  <si>
    <t>BLK.</t>
  </si>
  <si>
    <t>PE BLK.</t>
  </si>
  <si>
    <t>TYPE</t>
  </si>
  <si>
    <t>TYPE
2</t>
    <phoneticPr fontId="29" type="noConversion"/>
  </si>
  <si>
    <t>WEIGHT</t>
  </si>
  <si>
    <t>STAGE</t>
    <phoneticPr fontId="29" type="noConversion"/>
  </si>
  <si>
    <t>S/C</t>
    <phoneticPr fontId="29" type="noConversion"/>
  </si>
  <si>
    <t>소조</t>
    <phoneticPr fontId="29" type="noConversion"/>
  </si>
  <si>
    <t>중
대조</t>
    <phoneticPr fontId="29" type="noConversion"/>
  </si>
  <si>
    <t>정반
PE</t>
    <phoneticPr fontId="29" type="noConversion"/>
  </si>
  <si>
    <t>대조
PE</t>
    <phoneticPr fontId="29" type="noConversion"/>
  </si>
  <si>
    <t>선PE</t>
    <phoneticPr fontId="29" type="noConversion"/>
  </si>
  <si>
    <t>도장</t>
    <phoneticPr fontId="29" type="noConversion"/>
  </si>
  <si>
    <t>PE</t>
    <phoneticPr fontId="29" type="noConversion"/>
  </si>
  <si>
    <t>PE
도장</t>
    <phoneticPr fontId="29" type="noConversion"/>
  </si>
  <si>
    <t>MEGA
PE</t>
    <phoneticPr fontId="29" type="noConversion"/>
  </si>
  <si>
    <t>MEGA
도장</t>
    <phoneticPr fontId="29" type="noConversion"/>
  </si>
  <si>
    <t>생산
과</t>
    <phoneticPr fontId="29" type="noConversion"/>
  </si>
  <si>
    <t>SIZE</t>
  </si>
  <si>
    <t>블록
특성</t>
    <phoneticPr fontId="29" type="noConversion"/>
  </si>
  <si>
    <t>선종</t>
    <phoneticPr fontId="29" type="noConversion"/>
  </si>
  <si>
    <t>선형</t>
    <phoneticPr fontId="29" type="noConversion"/>
  </si>
  <si>
    <t>검사
月</t>
    <phoneticPr fontId="29" type="noConversion"/>
  </si>
  <si>
    <t>정반
NO.</t>
    <phoneticPr fontId="29" type="noConversion"/>
  </si>
  <si>
    <t>검사장
NO.</t>
    <phoneticPr fontId="29" type="noConversion"/>
  </si>
  <si>
    <t>PE장
NO.</t>
    <phoneticPr fontId="29" type="noConversion"/>
  </si>
  <si>
    <t>강재
입고일</t>
    <phoneticPr fontId="29" type="noConversion"/>
  </si>
  <si>
    <t>PLATE</t>
    <phoneticPr fontId="29" type="noConversion"/>
  </si>
  <si>
    <t>ANGLE</t>
    <phoneticPr fontId="29" type="noConversion"/>
  </si>
  <si>
    <t>FB</t>
    <phoneticPr fontId="29" type="noConversion"/>
  </si>
  <si>
    <t>스타섹</t>
    <phoneticPr fontId="29" type="noConversion"/>
  </si>
  <si>
    <t>소조
착수</t>
    <phoneticPr fontId="29" type="noConversion"/>
  </si>
  <si>
    <t>소조
완료</t>
    <phoneticPr fontId="29" type="noConversion"/>
  </si>
  <si>
    <t>소조
공기</t>
    <phoneticPr fontId="29" type="noConversion"/>
  </si>
  <si>
    <t>후행
대비</t>
    <phoneticPr fontId="29" type="noConversion"/>
  </si>
  <si>
    <t>ISOP
착수</t>
    <phoneticPr fontId="29" type="noConversion"/>
  </si>
  <si>
    <t>MK
대비</t>
    <phoneticPr fontId="29" type="noConversion"/>
  </si>
  <si>
    <t>대조
의장</t>
    <phoneticPr fontId="29" type="noConversion"/>
  </si>
  <si>
    <t>T/O
대비</t>
    <phoneticPr fontId="29" type="noConversion"/>
  </si>
  <si>
    <t>착수</t>
    <phoneticPr fontId="29" type="noConversion"/>
  </si>
  <si>
    <t>공기</t>
    <phoneticPr fontId="29" type="noConversion"/>
  </si>
  <si>
    <t>OUT
대비</t>
    <phoneticPr fontId="29" type="noConversion"/>
  </si>
  <si>
    <t>판접</t>
    <phoneticPr fontId="29" type="noConversion"/>
  </si>
  <si>
    <t>취부</t>
    <phoneticPr fontId="29" type="noConversion"/>
  </si>
  <si>
    <t>T/O
(대착)</t>
    <phoneticPr fontId="29" type="noConversion"/>
  </si>
  <si>
    <t>정반
OUT</t>
    <phoneticPr fontId="29" type="noConversion"/>
  </si>
  <si>
    <t>조립
검사</t>
    <phoneticPr fontId="29" type="noConversion"/>
  </si>
  <si>
    <t>정반
공기</t>
    <phoneticPr fontId="29" type="noConversion"/>
  </si>
  <si>
    <t>검사
공기</t>
    <phoneticPr fontId="29" type="noConversion"/>
  </si>
  <si>
    <t>조립
공기</t>
    <phoneticPr fontId="29" type="noConversion"/>
  </si>
  <si>
    <t>후행
공기</t>
    <phoneticPr fontId="29" type="noConversion"/>
  </si>
  <si>
    <t>의장 중기
대비 착수</t>
    <phoneticPr fontId="29" type="noConversion"/>
  </si>
  <si>
    <t>PE
착수</t>
    <phoneticPr fontId="29" type="noConversion"/>
  </si>
  <si>
    <t>PQ</t>
    <phoneticPr fontId="29" type="noConversion"/>
  </si>
  <si>
    <t>PB</t>
    <phoneticPr fontId="29" type="noConversion"/>
  </si>
  <si>
    <t>PF</t>
    <phoneticPr fontId="29" type="noConversion"/>
  </si>
  <si>
    <t>PND</t>
    <phoneticPr fontId="29" type="noConversion"/>
  </si>
  <si>
    <t>이동처</t>
    <phoneticPr fontId="29" type="noConversion"/>
  </si>
  <si>
    <t>L</t>
  </si>
  <si>
    <t>B</t>
  </si>
  <si>
    <t>H</t>
  </si>
  <si>
    <t>절단</t>
    <phoneticPr fontId="29" type="noConversion"/>
  </si>
  <si>
    <t>소조</t>
  </si>
  <si>
    <t>취부</t>
  </si>
  <si>
    <t>용접</t>
  </si>
  <si>
    <t>사상</t>
  </si>
  <si>
    <t>족장</t>
  </si>
  <si>
    <t>의장</t>
  </si>
  <si>
    <t>전장</t>
  </si>
  <si>
    <t>가공</t>
    <phoneticPr fontId="29" type="noConversion"/>
  </si>
  <si>
    <t>PE도장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</si>
</sst>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176" formatCode="m&quot;/&quot;d"/>
    <numFmt numFmtId="177" formatCode="_-* #,##0.00_-;\-* #,##0.00_-;_-* &quot;-&quot;_-;_-@_-"/>
    <numFmt numFmtId="178" formatCode="0_ ;[Red]\-0\ "/>
    <numFmt numFmtId="179" formatCode="\(0.0\)"/>
    <numFmt numFmtId="180" formatCode="General&quot;주&quot;\:"/>
    <numFmt numFmtId="181" formatCode="\(0&quot;일&quot;\)"/>
    <numFmt numFmtId="182" formatCode="\(0\)"/>
    <numFmt numFmtId="183" formatCode="General\t"/>
    <numFmt numFmtId="184" formatCode="_-* #,##0_-;&quot;₩&quot;\!\-* #,##0_-;_-* &quot;-&quot;_-;_-@_-"/>
    <numFmt numFmtId="185" formatCode="_-* #,##0.00_-;&quot;₩&quot;\!\-* #,##0.00_-;_-* &quot;-&quot;??_-;_-@_-"/>
    <numFmt numFmtId="186" formatCode="0_);[Red]\(0\)"/>
    <numFmt numFmtId="187" formatCode="m&quot;/&quot;d;@"/>
    <numFmt numFmtId="188" formatCode="#,##0_);[Red]\(#,##0\)"/>
    <numFmt numFmtId="189" formatCode="#,##0.00_ "/>
    <numFmt numFmtId="190" formatCode="#,##0_ "/>
    <numFmt numFmtId="191" formatCode="0_);\(0\)"/>
    <numFmt numFmtId="192" formatCode="mm\/dd\ aaa"/>
    <numFmt numFmtId="193" formatCode="0_ "/>
    <numFmt numFmtId="194" formatCode="0.0_ "/>
    <numFmt numFmtId="195" formatCode="0.0"/>
    <numFmt numFmtId="196" formatCode="#,##0_ ;[Red]\-#,##0\ "/>
    <numFmt numFmtId="197" formatCode="mm\/dd"/>
    <numFmt numFmtId="198" formatCode="yyyy\/mm\/dd\ aaa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sz val="9"/>
      <name val="굴림체"/>
      <family val="3"/>
      <charset val="129"/>
    </font>
    <font>
      <sz val="10"/>
      <name val="돋움"/>
      <family val="3"/>
      <charset val="129"/>
    </font>
    <font>
      <sz val="10"/>
      <color indexed="16"/>
      <name val="굴림체"/>
      <family val="3"/>
      <charset val="129"/>
    </font>
    <font>
      <sz val="11"/>
      <name val="돋움"/>
      <family val="3"/>
      <charset val="129"/>
    </font>
    <font>
      <sz val="9"/>
      <color indexed="16"/>
      <name val="굴림체"/>
      <family val="3"/>
      <charset val="129"/>
    </font>
    <font>
      <sz val="6"/>
      <name val="돋움"/>
      <family val="3"/>
      <charset val="129"/>
    </font>
    <font>
      <sz val="6"/>
      <color indexed="16"/>
      <name val="돋움"/>
      <family val="3"/>
      <charset val="129"/>
    </font>
    <font>
      <sz val="10"/>
      <color indexed="12"/>
      <name val="굴림체"/>
      <family val="3"/>
      <charset val="129"/>
    </font>
    <font>
      <sz val="10"/>
      <color indexed="10"/>
      <name val="굴림체"/>
      <family val="3"/>
      <charset val="129"/>
    </font>
    <font>
      <sz val="10"/>
      <name val="HY중고딕"/>
      <family val="1"/>
      <charset val="129"/>
    </font>
    <font>
      <b/>
      <sz val="14"/>
      <name val="굴림체"/>
      <family val="3"/>
      <charset val="129"/>
    </font>
    <font>
      <sz val="14"/>
      <name val="굴림체"/>
      <family val="3"/>
      <charset val="129"/>
    </font>
    <font>
      <sz val="11"/>
      <name val="굴림체"/>
      <family val="3"/>
      <charset val="129"/>
    </font>
    <font>
      <sz val="18"/>
      <name val="굴림체"/>
      <family val="3"/>
      <charset val="129"/>
    </font>
    <font>
      <b/>
      <sz val="18"/>
      <name val="굴림체"/>
      <family val="3"/>
      <charset val="129"/>
    </font>
    <font>
      <sz val="8"/>
      <name val="맑은 고딕"/>
      <family val="3"/>
      <charset val="129"/>
    </font>
    <font>
      <sz val="12"/>
      <name val="굴림체"/>
      <family val="3"/>
      <charset val="129"/>
    </font>
    <font>
      <sz val="8"/>
      <color indexed="16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00FFFF"/>
        <bgColor indexed="64"/>
      </patternFill>
    </fill>
  </fills>
  <borders count="150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1" tint="0.499984740745262"/>
      </bottom>
      <diagonal/>
    </border>
    <border>
      <left/>
      <right/>
      <top style="medium">
        <color theme="0" tint="-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medium">
        <color theme="0" tint="-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medium">
        <color theme="0" tint="-0.499984740745262"/>
      </top>
      <bottom style="hair">
        <color theme="1" tint="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1" tint="0.499984740745262"/>
      </left>
      <right style="hair">
        <color theme="0" tint="-0.499984740745262"/>
      </right>
      <top style="medium">
        <color theme="0" tint="-0.499984740745262"/>
      </top>
      <bottom/>
      <diagonal/>
    </border>
    <border>
      <left style="medium">
        <color theme="1" tint="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1" tint="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1" tint="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hair">
        <color theme="0" tint="-0.499984740745262"/>
      </right>
      <top style="hair">
        <color theme="1" tint="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hair">
        <color theme="1" tint="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0" tint="-0.499984740745262"/>
      </left>
      <right style="thin">
        <color theme="1" tint="0.499984740745262"/>
      </right>
      <top/>
      <bottom/>
      <diagonal/>
    </border>
    <border>
      <left/>
      <right/>
      <top style="hair">
        <color theme="1" tint="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 style="hair">
        <color theme="0" tint="-0.499984740745262"/>
      </right>
      <top/>
      <bottom/>
      <diagonal/>
    </border>
    <border>
      <left/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0" tint="-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1" tint="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1" tint="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2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49" fontId="5" fillId="0" borderId="0" xfId="0" applyNumberFormat="1" applyFont="1" applyAlignment="1" applyProtection="1">
      <alignment horizontal="center" vertical="top"/>
      <protection locked="0"/>
    </xf>
    <xf numFmtId="0" fontId="12" fillId="0" borderId="1" xfId="0" applyFont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top"/>
    </xf>
    <xf numFmtId="177" fontId="3" fillId="0" borderId="0" xfId="1" applyNumberFormat="1" applyFont="1" applyFill="1" applyBorder="1" applyAlignment="1" applyProtection="1">
      <alignment horizontal="center" vertical="top"/>
      <protection locked="0"/>
    </xf>
    <xf numFmtId="0" fontId="3" fillId="4" borderId="0" xfId="0" applyFont="1" applyFill="1" applyAlignment="1">
      <alignment vertical="center"/>
    </xf>
    <xf numFmtId="180" fontId="3" fillId="0" borderId="0" xfId="0" applyNumberFormat="1" applyFont="1" applyAlignment="1">
      <alignment vertical="center"/>
    </xf>
    <xf numFmtId="181" fontId="3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2" borderId="0" xfId="0" applyFont="1" applyFill="1" applyAlignment="1">
      <alignment horizontal="center" vertical="top"/>
    </xf>
    <xf numFmtId="0" fontId="12" fillId="3" borderId="0" xfId="0" applyFont="1" applyFill="1" applyAlignment="1">
      <alignment horizontal="center" vertical="top"/>
    </xf>
    <xf numFmtId="49" fontId="15" fillId="0" borderId="0" xfId="0" applyNumberFormat="1" applyFont="1" applyAlignment="1" applyProtection="1">
      <alignment horizontal="center" vertical="center"/>
      <protection locked="0"/>
    </xf>
    <xf numFmtId="183" fontId="3" fillId="0" borderId="0" xfId="0" applyNumberFormat="1" applyFont="1" applyAlignment="1">
      <alignment vertical="center"/>
    </xf>
    <xf numFmtId="18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shrinkToFit="1" readingOrder="2"/>
    </xf>
    <xf numFmtId="0" fontId="16" fillId="0" borderId="0" xfId="0" applyFont="1" applyAlignment="1" applyProtection="1">
      <alignment horizontal="center" vertical="center" shrinkToFit="1" readingOrder="2"/>
      <protection locked="0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top"/>
    </xf>
    <xf numFmtId="49" fontId="3" fillId="0" borderId="2" xfId="0" applyNumberFormat="1" applyFont="1" applyBorder="1" applyAlignment="1" applyProtection="1">
      <alignment vertical="center" wrapText="1"/>
      <protection locked="0"/>
    </xf>
    <xf numFmtId="49" fontId="3" fillId="0" borderId="3" xfId="0" applyNumberFormat="1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76" fontId="3" fillId="0" borderId="4" xfId="0" applyNumberFormat="1" applyFont="1" applyBorder="1" applyAlignment="1" applyProtection="1">
      <alignment horizontal="center" vertical="center" wrapText="1"/>
      <protection locked="0"/>
    </xf>
    <xf numFmtId="176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 shrinkToFit="1" readingOrder="2"/>
    </xf>
    <xf numFmtId="49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 applyProtection="1">
      <alignment horizontal="center" vertical="top"/>
      <protection locked="0"/>
    </xf>
    <xf numFmtId="0" fontId="20" fillId="0" borderId="0" xfId="0" applyFont="1" applyAlignment="1" applyProtection="1">
      <alignment horizontal="center" vertical="center" shrinkToFit="1" readingOrder="2"/>
      <protection locked="0"/>
    </xf>
    <xf numFmtId="0" fontId="17" fillId="0" borderId="0" xfId="1" applyNumberFormat="1" applyFont="1" applyFill="1" applyBorder="1" applyAlignment="1">
      <alignment horizontal="center" vertical="center" shrinkToFit="1" readingOrder="2"/>
    </xf>
    <xf numFmtId="0" fontId="17" fillId="0" borderId="0" xfId="0" applyFont="1" applyAlignment="1" applyProtection="1">
      <alignment horizontal="center" vertical="center" shrinkToFit="1" readingOrder="2"/>
      <protection locked="0"/>
    </xf>
    <xf numFmtId="0" fontId="16" fillId="0" borderId="0" xfId="0" applyFont="1" applyAlignment="1" applyProtection="1">
      <alignment vertical="center" shrinkToFit="1" readingOrder="2"/>
      <protection locked="0"/>
    </xf>
    <xf numFmtId="49" fontId="3" fillId="0" borderId="6" xfId="0" applyNumberFormat="1" applyFont="1" applyBorder="1" applyAlignment="1" applyProtection="1">
      <alignment horizontal="left" vertical="center" indent="2"/>
      <protection locked="0"/>
    </xf>
    <xf numFmtId="0" fontId="3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top"/>
    </xf>
    <xf numFmtId="176" fontId="3" fillId="7" borderId="7" xfId="0" applyNumberFormat="1" applyFont="1" applyFill="1" applyBorder="1" applyAlignment="1">
      <alignment horizontal="center" vertical="center"/>
    </xf>
    <xf numFmtId="187" fontId="3" fillId="7" borderId="7" xfId="1" applyNumberFormat="1" applyFont="1" applyFill="1" applyBorder="1" applyAlignment="1">
      <alignment horizontal="center" vertical="center"/>
    </xf>
    <xf numFmtId="38" fontId="3" fillId="4" borderId="7" xfId="1" applyNumberFormat="1" applyFont="1" applyFill="1" applyBorder="1" applyAlignment="1">
      <alignment vertical="center"/>
    </xf>
    <xf numFmtId="41" fontId="3" fillId="7" borderId="7" xfId="1" applyFont="1" applyFill="1" applyBorder="1" applyAlignment="1">
      <alignment horizontal="center" vertical="center"/>
    </xf>
    <xf numFmtId="187" fontId="13" fillId="7" borderId="7" xfId="1" applyNumberFormat="1" applyFont="1" applyFill="1" applyBorder="1" applyAlignment="1">
      <alignment horizontal="center" vertical="center"/>
    </xf>
    <xf numFmtId="38" fontId="3" fillId="7" borderId="7" xfId="1" applyNumberFormat="1" applyFont="1" applyFill="1" applyBorder="1" applyAlignment="1">
      <alignment vertical="center"/>
    </xf>
    <xf numFmtId="187" fontId="3" fillId="7" borderId="8" xfId="1" applyNumberFormat="1" applyFont="1" applyFill="1" applyBorder="1" applyAlignment="1">
      <alignment horizontal="center" vertical="center"/>
    </xf>
    <xf numFmtId="177" fontId="3" fillId="5" borderId="9" xfId="1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 shrinkToFit="1" readingOrder="2"/>
    </xf>
    <xf numFmtId="0" fontId="16" fillId="0" borderId="10" xfId="0" applyFont="1" applyBorder="1" applyAlignment="1" applyProtection="1">
      <alignment vertical="center" shrinkToFit="1" readingOrder="2"/>
      <protection locked="0"/>
    </xf>
    <xf numFmtId="0" fontId="17" fillId="0" borderId="11" xfId="1" applyNumberFormat="1" applyFont="1" applyFill="1" applyBorder="1" applyAlignment="1">
      <alignment vertical="center" shrinkToFit="1" readingOrder="2"/>
    </xf>
    <xf numFmtId="0" fontId="17" fillId="0" borderId="12" xfId="0" applyFont="1" applyBorder="1" applyAlignment="1" applyProtection="1">
      <alignment vertical="center" shrinkToFit="1" readingOrder="2"/>
      <protection locked="0"/>
    </xf>
    <xf numFmtId="0" fontId="17" fillId="0" borderId="12" xfId="1" applyNumberFormat="1" applyFont="1" applyFill="1" applyBorder="1" applyAlignment="1">
      <alignment vertical="center" shrinkToFit="1" readingOrder="2"/>
    </xf>
    <xf numFmtId="0" fontId="16" fillId="0" borderId="12" xfId="0" applyFont="1" applyBorder="1" applyAlignment="1" applyProtection="1">
      <alignment vertical="center" shrinkToFit="1" readingOrder="2"/>
      <protection locked="0"/>
    </xf>
    <xf numFmtId="0" fontId="17" fillId="0" borderId="12" xfId="0" applyFont="1" applyBorder="1" applyAlignment="1">
      <alignment vertical="center" shrinkToFit="1" readingOrder="2"/>
    </xf>
    <xf numFmtId="178" fontId="13" fillId="8" borderId="7" xfId="1" applyNumberFormat="1" applyFont="1" applyFill="1" applyBorder="1" applyAlignment="1">
      <alignment horizontal="center" vertical="center"/>
    </xf>
    <xf numFmtId="187" fontId="13" fillId="8" borderId="7" xfId="1" applyNumberFormat="1" applyFont="1" applyFill="1" applyBorder="1" applyAlignment="1">
      <alignment horizontal="center" vertical="center"/>
    </xf>
    <xf numFmtId="49" fontId="20" fillId="0" borderId="0" xfId="0" applyNumberFormat="1" applyFont="1" applyAlignment="1" applyProtection="1">
      <alignment vertical="top"/>
      <protection locked="0"/>
    </xf>
    <xf numFmtId="177" fontId="3" fillId="7" borderId="0" xfId="1" applyNumberFormat="1" applyFont="1" applyFill="1" applyBorder="1" applyAlignment="1">
      <alignment horizontal="right" vertical="center"/>
    </xf>
    <xf numFmtId="178" fontId="13" fillId="7" borderId="0" xfId="1" applyNumberFormat="1" applyFont="1" applyFill="1" applyBorder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87" fontId="3" fillId="7" borderId="0" xfId="1" applyNumberFormat="1" applyFont="1" applyFill="1" applyBorder="1" applyAlignment="1">
      <alignment horizontal="center" vertical="center"/>
    </xf>
    <xf numFmtId="186" fontId="3" fillId="7" borderId="7" xfId="1" applyNumberFormat="1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vertical="center"/>
    </xf>
    <xf numFmtId="178" fontId="13" fillId="7" borderId="7" xfId="1" applyNumberFormat="1" applyFont="1" applyFill="1" applyBorder="1" applyAlignment="1">
      <alignment horizontal="center" vertical="center"/>
    </xf>
    <xf numFmtId="38" fontId="3" fillId="7" borderId="8" xfId="1" applyNumberFormat="1" applyFont="1" applyFill="1" applyBorder="1" applyAlignment="1">
      <alignment vertical="center"/>
    </xf>
    <xf numFmtId="186" fontId="22" fillId="6" borderId="9" xfId="1" applyNumberFormat="1" applyFont="1" applyFill="1" applyBorder="1" applyAlignment="1">
      <alignment horizontal="center" vertical="center"/>
    </xf>
    <xf numFmtId="178" fontId="3" fillId="7" borderId="13" xfId="1" applyNumberFormat="1" applyFont="1" applyFill="1" applyBorder="1" applyAlignment="1">
      <alignment horizontal="right" vertical="center"/>
    </xf>
    <xf numFmtId="49" fontId="3" fillId="7" borderId="13" xfId="0" applyNumberFormat="1" applyFont="1" applyFill="1" applyBorder="1" applyAlignment="1">
      <alignment horizontal="center" vertical="center"/>
    </xf>
    <xf numFmtId="49" fontId="13" fillId="7" borderId="13" xfId="0" applyNumberFormat="1" applyFont="1" applyFill="1" applyBorder="1" applyAlignment="1">
      <alignment horizontal="center" vertical="center"/>
    </xf>
    <xf numFmtId="177" fontId="14" fillId="7" borderId="13" xfId="1" applyNumberFormat="1" applyFont="1" applyFill="1" applyBorder="1" applyAlignment="1">
      <alignment horizontal="center" vertical="center"/>
    </xf>
    <xf numFmtId="187" fontId="13" fillId="7" borderId="13" xfId="1" applyNumberFormat="1" applyFont="1" applyFill="1" applyBorder="1" applyAlignment="1">
      <alignment horizontal="center" vertical="center"/>
    </xf>
    <xf numFmtId="176" fontId="3" fillId="7" borderId="13" xfId="0" applyNumberFormat="1" applyFont="1" applyFill="1" applyBorder="1" applyAlignment="1">
      <alignment horizontal="center" vertical="center"/>
    </xf>
    <xf numFmtId="187" fontId="3" fillId="7" borderId="13" xfId="1" applyNumberFormat="1" applyFont="1" applyFill="1" applyBorder="1" applyAlignment="1">
      <alignment horizontal="center" vertical="center"/>
    </xf>
    <xf numFmtId="49" fontId="3" fillId="7" borderId="13" xfId="0" applyNumberFormat="1" applyFont="1" applyFill="1" applyBorder="1" applyAlignment="1">
      <alignment vertical="center"/>
    </xf>
    <xf numFmtId="176" fontId="10" fillId="7" borderId="13" xfId="0" applyNumberFormat="1" applyFont="1" applyFill="1" applyBorder="1" applyAlignment="1">
      <alignment horizontal="center" vertical="center"/>
    </xf>
    <xf numFmtId="176" fontId="8" fillId="7" borderId="13" xfId="0" applyNumberFormat="1" applyFont="1" applyFill="1" applyBorder="1" applyAlignment="1">
      <alignment horizontal="center" vertical="center"/>
    </xf>
    <xf numFmtId="186" fontId="8" fillId="7" borderId="13" xfId="0" applyNumberFormat="1" applyFont="1" applyFill="1" applyBorder="1" applyAlignment="1">
      <alignment horizontal="center" vertical="center"/>
    </xf>
    <xf numFmtId="49" fontId="13" fillId="7" borderId="0" xfId="0" applyNumberFormat="1" applyFont="1" applyFill="1" applyAlignment="1">
      <alignment horizontal="center" vertical="center"/>
    </xf>
    <xf numFmtId="177" fontId="14" fillId="7" borderId="0" xfId="1" applyNumberFormat="1" applyFont="1" applyFill="1" applyBorder="1" applyAlignment="1">
      <alignment horizontal="center" vertical="center"/>
    </xf>
    <xf numFmtId="187" fontId="13" fillId="7" borderId="0" xfId="1" applyNumberFormat="1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vertical="center"/>
    </xf>
    <xf numFmtId="176" fontId="10" fillId="7" borderId="0" xfId="0" applyNumberFormat="1" applyFont="1" applyFill="1" applyAlignment="1">
      <alignment horizontal="center" vertical="center"/>
    </xf>
    <xf numFmtId="176" fontId="8" fillId="7" borderId="0" xfId="0" applyNumberFormat="1" applyFont="1" applyFill="1" applyAlignment="1">
      <alignment horizontal="center" vertical="center"/>
    </xf>
    <xf numFmtId="186" fontId="8" fillId="7" borderId="0" xfId="0" applyNumberFormat="1" applyFont="1" applyFill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186" fontId="3" fillId="7" borderId="0" xfId="0" applyNumberFormat="1" applyFont="1" applyFill="1" applyAlignment="1">
      <alignment horizontal="center" vertical="center"/>
    </xf>
    <xf numFmtId="177" fontId="3" fillId="7" borderId="0" xfId="1" applyNumberFormat="1" applyFont="1" applyFill="1" applyBorder="1" applyAlignment="1">
      <alignment horizontal="center" vertical="center"/>
    </xf>
    <xf numFmtId="38" fontId="3" fillId="7" borderId="0" xfId="1" applyNumberFormat="1" applyFont="1" applyFill="1" applyBorder="1" applyAlignment="1">
      <alignment vertical="center"/>
    </xf>
    <xf numFmtId="41" fontId="3" fillId="7" borderId="0" xfId="1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178" fontId="3" fillId="7" borderId="0" xfId="1" applyNumberFormat="1" applyFont="1" applyFill="1" applyBorder="1" applyAlignment="1">
      <alignment horizontal="right" vertical="center"/>
    </xf>
    <xf numFmtId="41" fontId="6" fillId="7" borderId="0" xfId="1" applyFont="1" applyFill="1" applyBorder="1" applyAlignment="1">
      <alignment horizontal="center" vertical="center"/>
    </xf>
    <xf numFmtId="14" fontId="25" fillId="0" borderId="0" xfId="0" applyNumberFormat="1" applyFont="1" applyAlignment="1">
      <alignment horizontal="left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3" fillId="7" borderId="14" xfId="0" applyNumberFormat="1" applyFont="1" applyFill="1" applyBorder="1" applyAlignment="1">
      <alignment horizontal="center" vertical="center"/>
    </xf>
    <xf numFmtId="176" fontId="3" fillId="7" borderId="8" xfId="0" applyNumberFormat="1" applyFont="1" applyFill="1" applyBorder="1" applyAlignment="1">
      <alignment horizontal="center" vertical="center"/>
    </xf>
    <xf numFmtId="176" fontId="8" fillId="7" borderId="15" xfId="0" applyNumberFormat="1" applyFont="1" applyFill="1" applyBorder="1" applyAlignment="1">
      <alignment horizontal="center" vertical="center"/>
    </xf>
    <xf numFmtId="176" fontId="26" fillId="7" borderId="7" xfId="0" applyNumberFormat="1" applyFont="1" applyFill="1" applyBorder="1" applyAlignment="1">
      <alignment horizontal="center" vertical="center"/>
    </xf>
    <xf numFmtId="187" fontId="26" fillId="7" borderId="15" xfId="0" applyNumberFormat="1" applyFont="1" applyFill="1" applyBorder="1" applyAlignment="1">
      <alignment horizontal="center" vertical="center"/>
    </xf>
    <xf numFmtId="176" fontId="26" fillId="7" borderId="8" xfId="0" applyNumberFormat="1" applyFont="1" applyFill="1" applyBorder="1" applyAlignment="1">
      <alignment horizontal="center" vertical="center"/>
    </xf>
    <xf numFmtId="187" fontId="26" fillId="7" borderId="16" xfId="0" applyNumberFormat="1" applyFont="1" applyFill="1" applyBorder="1" applyAlignment="1">
      <alignment horizontal="center" vertical="center"/>
    </xf>
    <xf numFmtId="176" fontId="26" fillId="7" borderId="15" xfId="0" applyNumberFormat="1" applyFont="1" applyFill="1" applyBorder="1" applyAlignment="1">
      <alignment horizontal="center" vertical="center"/>
    </xf>
    <xf numFmtId="176" fontId="3" fillId="7" borderId="17" xfId="0" applyNumberFormat="1" applyFont="1" applyFill="1" applyBorder="1" applyAlignment="1">
      <alignment horizontal="center" vertical="center"/>
    </xf>
    <xf numFmtId="176" fontId="26" fillId="7" borderId="17" xfId="0" applyNumberFormat="1" applyFont="1" applyFill="1" applyBorder="1" applyAlignment="1">
      <alignment horizontal="center" vertical="center"/>
    </xf>
    <xf numFmtId="187" fontId="26" fillId="7" borderId="18" xfId="0" applyNumberFormat="1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187" fontId="26" fillId="7" borderId="7" xfId="1" applyNumberFormat="1" applyFont="1" applyFill="1" applyBorder="1" applyAlignment="1">
      <alignment horizontal="center" vertical="center"/>
    </xf>
    <xf numFmtId="178" fontId="26" fillId="7" borderId="7" xfId="1" applyNumberFormat="1" applyFont="1" applyFill="1" applyBorder="1" applyAlignment="1">
      <alignment horizontal="center" vertical="center"/>
    </xf>
    <xf numFmtId="176" fontId="26" fillId="7" borderId="18" xfId="0" applyNumberFormat="1" applyFont="1" applyFill="1" applyBorder="1" applyAlignment="1">
      <alignment horizontal="center" vertical="center"/>
    </xf>
    <xf numFmtId="49" fontId="3" fillId="7" borderId="8" xfId="0" applyNumberFormat="1" applyFont="1" applyFill="1" applyBorder="1" applyAlignment="1">
      <alignment horizontal="center" vertical="center"/>
    </xf>
    <xf numFmtId="0" fontId="1" fillId="0" borderId="0" xfId="6">
      <alignment vertical="center"/>
    </xf>
    <xf numFmtId="0" fontId="1" fillId="0" borderId="0" xfId="6" applyAlignment="1">
      <alignment horizontal="center" vertical="center"/>
    </xf>
    <xf numFmtId="0" fontId="27" fillId="0" borderId="0" xfId="6" applyFont="1">
      <alignment vertical="center"/>
    </xf>
    <xf numFmtId="0" fontId="1" fillId="7" borderId="0" xfId="6" applyFill="1">
      <alignment vertical="center"/>
    </xf>
    <xf numFmtId="0" fontId="31" fillId="0" borderId="0" xfId="6" applyFont="1" applyAlignment="1">
      <alignment horizontal="center" vertical="center"/>
    </xf>
    <xf numFmtId="0" fontId="31" fillId="0" borderId="0" xfId="6" applyFont="1">
      <alignment vertical="center"/>
    </xf>
    <xf numFmtId="0" fontId="32" fillId="7" borderId="0" xfId="6" applyFont="1" applyFill="1">
      <alignment vertical="center"/>
    </xf>
    <xf numFmtId="190" fontId="1" fillId="0" borderId="0" xfId="6" applyNumberFormat="1">
      <alignment vertical="center"/>
    </xf>
    <xf numFmtId="191" fontId="1" fillId="0" borderId="0" xfId="6" applyNumberFormat="1" applyAlignment="1">
      <alignment horizontal="center" vertical="center"/>
    </xf>
    <xf numFmtId="41" fontId="0" fillId="0" borderId="0" xfId="7" applyFont="1" applyFill="1" applyAlignment="1">
      <alignment horizontal="center" vertical="center"/>
    </xf>
    <xf numFmtId="58" fontId="1" fillId="0" borderId="0" xfId="6" applyNumberFormat="1">
      <alignment vertical="center"/>
    </xf>
    <xf numFmtId="192" fontId="1" fillId="0" borderId="0" xfId="6" applyNumberFormat="1">
      <alignment vertical="center"/>
    </xf>
    <xf numFmtId="193" fontId="1" fillId="0" borderId="0" xfId="6" applyNumberFormat="1">
      <alignment vertical="center"/>
    </xf>
    <xf numFmtId="187" fontId="1" fillId="0" borderId="0" xfId="6" applyNumberFormat="1">
      <alignment vertical="center"/>
    </xf>
    <xf numFmtId="14" fontId="31" fillId="0" borderId="37" xfId="6" applyNumberFormat="1" applyFont="1" applyBorder="1" applyAlignment="1">
      <alignment horizontal="left" vertical="center"/>
    </xf>
    <xf numFmtId="186" fontId="1" fillId="0" borderId="0" xfId="6" applyNumberFormat="1" applyAlignment="1">
      <alignment horizontal="center" vertical="center"/>
    </xf>
    <xf numFmtId="187" fontId="27" fillId="20" borderId="47" xfId="6" applyNumberFormat="1" applyFont="1" applyFill="1" applyBorder="1">
      <alignment vertical="center"/>
    </xf>
    <xf numFmtId="0" fontId="27" fillId="20" borderId="45" xfId="6" applyFont="1" applyFill="1" applyBorder="1">
      <alignment vertical="center"/>
    </xf>
    <xf numFmtId="0" fontId="27" fillId="20" borderId="48" xfId="6" applyFont="1" applyFill="1" applyBorder="1">
      <alignment vertical="center"/>
    </xf>
    <xf numFmtId="0" fontId="27" fillId="20" borderId="47" xfId="6" applyFont="1" applyFill="1" applyBorder="1">
      <alignment vertical="center"/>
    </xf>
    <xf numFmtId="194" fontId="27" fillId="20" borderId="46" xfId="6" applyNumberFormat="1" applyFont="1" applyFill="1" applyBorder="1">
      <alignment vertical="center"/>
    </xf>
    <xf numFmtId="0" fontId="27" fillId="20" borderId="87" xfId="6" applyFont="1" applyFill="1" applyBorder="1" applyAlignment="1">
      <alignment horizontal="center" vertical="center"/>
    </xf>
    <xf numFmtId="0" fontId="27" fillId="20" borderId="90" xfId="6" applyFont="1" applyFill="1" applyBorder="1" applyAlignment="1">
      <alignment horizontal="center" vertical="center"/>
    </xf>
    <xf numFmtId="0" fontId="27" fillId="20" borderId="91" xfId="6" applyFont="1" applyFill="1" applyBorder="1" applyAlignment="1">
      <alignment horizontal="center" vertical="center"/>
    </xf>
    <xf numFmtId="194" fontId="27" fillId="20" borderId="92" xfId="6" applyNumberFormat="1" applyFont="1" applyFill="1" applyBorder="1" applyAlignment="1">
      <alignment horizontal="center" vertical="center"/>
    </xf>
    <xf numFmtId="0" fontId="30" fillId="20" borderId="91" xfId="6" applyFont="1" applyFill="1" applyBorder="1" applyAlignment="1">
      <alignment horizontal="center" vertical="center"/>
    </xf>
    <xf numFmtId="0" fontId="27" fillId="20" borderId="94" xfId="6" applyFont="1" applyFill="1" applyBorder="1" applyAlignment="1">
      <alignment horizontal="center" vertical="center"/>
    </xf>
    <xf numFmtId="0" fontId="27" fillId="20" borderId="95" xfId="6" applyFont="1" applyFill="1" applyBorder="1" applyAlignment="1">
      <alignment horizontal="center" vertical="center"/>
    </xf>
    <xf numFmtId="0" fontId="27" fillId="20" borderId="92" xfId="6" applyFont="1" applyFill="1" applyBorder="1" applyAlignment="1">
      <alignment horizontal="center" vertical="center"/>
    </xf>
    <xf numFmtId="0" fontId="27" fillId="20" borderId="96" xfId="6" applyFont="1" applyFill="1" applyBorder="1" applyAlignment="1">
      <alignment horizontal="center" vertical="center"/>
    </xf>
    <xf numFmtId="0" fontId="27" fillId="20" borderId="97" xfId="6" applyFont="1" applyFill="1" applyBorder="1" applyAlignment="1">
      <alignment horizontal="center" vertical="center" wrapText="1"/>
    </xf>
    <xf numFmtId="0" fontId="27" fillId="20" borderId="98" xfId="6" applyFont="1" applyFill="1" applyBorder="1" applyAlignment="1">
      <alignment horizontal="center" vertical="center"/>
    </xf>
    <xf numFmtId="0" fontId="27" fillId="20" borderId="99" xfId="6" applyFont="1" applyFill="1" applyBorder="1" applyAlignment="1">
      <alignment horizontal="center" vertical="center"/>
    </xf>
    <xf numFmtId="0" fontId="27" fillId="20" borderId="100" xfId="6" applyFont="1" applyFill="1" applyBorder="1" applyAlignment="1">
      <alignment horizontal="center" vertical="center" wrapText="1"/>
    </xf>
    <xf numFmtId="0" fontId="31" fillId="7" borderId="0" xfId="6" applyFont="1" applyFill="1" applyAlignment="1">
      <alignment horizontal="center" vertical="center"/>
    </xf>
    <xf numFmtId="0" fontId="27" fillId="7" borderId="0" xfId="6" applyFont="1" applyFill="1" applyAlignment="1">
      <alignment horizontal="center" vertical="center"/>
    </xf>
    <xf numFmtId="0" fontId="27" fillId="7" borderId="0" xfId="6" applyFont="1" applyFill="1" applyAlignment="1">
      <alignment horizontal="center" vertical="center" wrapText="1"/>
    </xf>
    <xf numFmtId="0" fontId="30" fillId="7" borderId="109" xfId="6" applyFont="1" applyFill="1" applyBorder="1" applyAlignment="1">
      <alignment horizontal="center" vertical="center"/>
    </xf>
    <xf numFmtId="0" fontId="30" fillId="7" borderId="0" xfId="6" applyFont="1" applyFill="1" applyAlignment="1">
      <alignment horizontal="center" vertical="center"/>
    </xf>
    <xf numFmtId="0" fontId="27" fillId="7" borderId="55" xfId="6" applyFont="1" applyFill="1" applyBorder="1" applyAlignment="1">
      <alignment horizontal="center" vertical="center"/>
    </xf>
    <xf numFmtId="0" fontId="27" fillId="7" borderId="110" xfId="6" applyFont="1" applyFill="1" applyBorder="1" applyAlignment="1">
      <alignment horizontal="center" vertical="center" wrapText="1"/>
    </xf>
    <xf numFmtId="0" fontId="27" fillId="7" borderId="56" xfId="6" applyFont="1" applyFill="1" applyBorder="1" applyAlignment="1">
      <alignment horizontal="center" vertical="center"/>
    </xf>
    <xf numFmtId="0" fontId="27" fillId="7" borderId="56" xfId="6" applyFont="1" applyFill="1" applyBorder="1" applyAlignment="1">
      <alignment horizontal="center" vertical="center" wrapText="1"/>
    </xf>
    <xf numFmtId="0" fontId="27" fillId="7" borderId="57" xfId="6" applyFont="1" applyFill="1" applyBorder="1" applyAlignment="1">
      <alignment horizontal="center" vertical="center" wrapText="1"/>
    </xf>
    <xf numFmtId="0" fontId="27" fillId="7" borderId="111" xfId="6" applyFont="1" applyFill="1" applyBorder="1" applyAlignment="1">
      <alignment horizontal="center" vertical="center"/>
    </xf>
    <xf numFmtId="0" fontId="27" fillId="7" borderId="82" xfId="6" applyFont="1" applyFill="1" applyBorder="1" applyAlignment="1">
      <alignment horizontal="center" vertical="center"/>
    </xf>
    <xf numFmtId="0" fontId="27" fillId="7" borderId="75" xfId="6" applyFont="1" applyFill="1" applyBorder="1" applyAlignment="1">
      <alignment horizontal="center" vertical="center"/>
    </xf>
    <xf numFmtId="194" fontId="27" fillId="7" borderId="112" xfId="6" applyNumberFormat="1" applyFont="1" applyFill="1" applyBorder="1" applyAlignment="1">
      <alignment horizontal="center" vertical="center"/>
    </xf>
    <xf numFmtId="0" fontId="27" fillId="7" borderId="49" xfId="6" applyFont="1" applyFill="1" applyBorder="1" applyAlignment="1">
      <alignment horizontal="center" vertical="center"/>
    </xf>
    <xf numFmtId="0" fontId="27" fillId="7" borderId="57" xfId="6" applyFont="1" applyFill="1" applyBorder="1" applyAlignment="1">
      <alignment horizontal="center" vertical="center"/>
    </xf>
    <xf numFmtId="0" fontId="27" fillId="7" borderId="113" xfId="6" applyFont="1" applyFill="1" applyBorder="1" applyAlignment="1">
      <alignment horizontal="center" vertical="center"/>
    </xf>
    <xf numFmtId="0" fontId="27" fillId="7" borderId="114" xfId="6" applyFont="1" applyFill="1" applyBorder="1" applyAlignment="1">
      <alignment horizontal="center" vertical="center"/>
    </xf>
    <xf numFmtId="0" fontId="27" fillId="7" borderId="76" xfId="6" applyFont="1" applyFill="1" applyBorder="1" applyAlignment="1">
      <alignment horizontal="center" vertical="center"/>
    </xf>
    <xf numFmtId="0" fontId="27" fillId="7" borderId="74" xfId="6" applyFont="1" applyFill="1" applyBorder="1" applyAlignment="1">
      <alignment horizontal="center" vertical="center"/>
    </xf>
    <xf numFmtId="0" fontId="27" fillId="7" borderId="112" xfId="6" applyFont="1" applyFill="1" applyBorder="1" applyAlignment="1">
      <alignment horizontal="center" vertical="center"/>
    </xf>
    <xf numFmtId="0" fontId="27" fillId="7" borderId="115" xfId="6" applyFont="1" applyFill="1" applyBorder="1" applyAlignment="1">
      <alignment horizontal="center" vertical="center"/>
    </xf>
    <xf numFmtId="0" fontId="27" fillId="7" borderId="109" xfId="6" applyFont="1" applyFill="1" applyBorder="1" applyAlignment="1">
      <alignment horizontal="center" vertical="center"/>
    </xf>
    <xf numFmtId="0" fontId="27" fillId="7" borderId="116" xfId="6" applyFont="1" applyFill="1" applyBorder="1" applyAlignment="1">
      <alignment horizontal="center" vertical="center" wrapText="1"/>
    </xf>
    <xf numFmtId="0" fontId="27" fillId="7" borderId="117" xfId="6" applyFont="1" applyFill="1" applyBorder="1" applyAlignment="1">
      <alignment horizontal="center" vertical="center"/>
    </xf>
    <xf numFmtId="0" fontId="27" fillId="7" borderId="118" xfId="6" applyFont="1" applyFill="1" applyBorder="1" applyAlignment="1">
      <alignment horizontal="center" vertical="center" wrapText="1"/>
    </xf>
    <xf numFmtId="0" fontId="27" fillId="7" borderId="119" xfId="6" applyFont="1" applyFill="1" applyBorder="1" applyAlignment="1">
      <alignment horizontal="center" vertical="center"/>
    </xf>
    <xf numFmtId="0" fontId="27" fillId="7" borderId="115" xfId="6" applyFont="1" applyFill="1" applyBorder="1" applyAlignment="1">
      <alignment horizontal="center" vertical="center" wrapText="1"/>
    </xf>
    <xf numFmtId="0" fontId="27" fillId="7" borderId="120" xfId="6" applyFont="1" applyFill="1" applyBorder="1" applyAlignment="1">
      <alignment horizontal="center" vertical="center"/>
    </xf>
    <xf numFmtId="0" fontId="27" fillId="7" borderId="121" xfId="6" applyFont="1" applyFill="1" applyBorder="1" applyAlignment="1">
      <alignment horizontal="center" vertical="center"/>
    </xf>
    <xf numFmtId="0" fontId="27" fillId="7" borderId="122" xfId="6" applyFont="1" applyFill="1" applyBorder="1" applyAlignment="1">
      <alignment horizontal="center" vertical="center"/>
    </xf>
    <xf numFmtId="0" fontId="27" fillId="7" borderId="123" xfId="6" applyFont="1" applyFill="1" applyBorder="1" applyAlignment="1">
      <alignment horizontal="center" vertical="center"/>
    </xf>
    <xf numFmtId="0" fontId="27" fillId="7" borderId="124" xfId="6" applyFont="1" applyFill="1" applyBorder="1" applyAlignment="1">
      <alignment horizontal="center" vertical="center"/>
    </xf>
    <xf numFmtId="0" fontId="33" fillId="7" borderId="124" xfId="6" applyFont="1" applyFill="1" applyBorder="1" applyAlignment="1">
      <alignment horizontal="center" vertical="center"/>
    </xf>
    <xf numFmtId="0" fontId="27" fillId="7" borderId="125" xfId="6" applyFont="1" applyFill="1" applyBorder="1" applyAlignment="1">
      <alignment horizontal="center" vertical="center" wrapText="1"/>
    </xf>
    <xf numFmtId="0" fontId="27" fillId="7" borderId="126" xfId="6" applyFont="1" applyFill="1" applyBorder="1" applyAlignment="1">
      <alignment horizontal="center" vertical="center"/>
    </xf>
    <xf numFmtId="0" fontId="27" fillId="7" borderId="127" xfId="6" applyFont="1" applyFill="1" applyBorder="1" applyAlignment="1">
      <alignment horizontal="center" vertical="center"/>
    </xf>
    <xf numFmtId="0" fontId="27" fillId="7" borderId="128" xfId="6" applyFont="1" applyFill="1" applyBorder="1" applyAlignment="1">
      <alignment horizontal="center" vertical="center"/>
    </xf>
    <xf numFmtId="0" fontId="27" fillId="7" borderId="129" xfId="6" applyFont="1" applyFill="1" applyBorder="1" applyAlignment="1">
      <alignment horizontal="center" vertical="center"/>
    </xf>
    <xf numFmtId="0" fontId="27" fillId="7" borderId="130" xfId="6" applyFont="1" applyFill="1" applyBorder="1" applyAlignment="1">
      <alignment horizontal="center" vertical="center"/>
    </xf>
    <xf numFmtId="192" fontId="27" fillId="7" borderId="0" xfId="6" applyNumberFormat="1" applyFont="1" applyFill="1" applyAlignment="1">
      <alignment horizontal="center" vertical="center" wrapText="1"/>
    </xf>
    <xf numFmtId="187" fontId="27" fillId="7" borderId="55" xfId="6" applyNumberFormat="1" applyFont="1" applyFill="1" applyBorder="1" applyAlignment="1">
      <alignment horizontal="center" vertical="center"/>
    </xf>
    <xf numFmtId="0" fontId="31" fillId="0" borderId="79" xfId="6" applyFont="1" applyBorder="1" applyAlignment="1">
      <alignment horizontal="center" vertical="center"/>
    </xf>
    <xf numFmtId="0" fontId="34" fillId="7" borderId="131" xfId="6" applyFont="1" applyFill="1" applyBorder="1" applyAlignment="1">
      <alignment horizontal="center" vertical="center"/>
    </xf>
    <xf numFmtId="0" fontId="27" fillId="0" borderId="132" xfId="6" applyFont="1" applyBorder="1" applyAlignment="1">
      <alignment horizontal="center" vertical="center"/>
    </xf>
    <xf numFmtId="0" fontId="27" fillId="0" borderId="133" xfId="6" applyFont="1" applyBorder="1" applyAlignment="1">
      <alignment horizontal="center" vertical="center"/>
    </xf>
    <xf numFmtId="195" fontId="27" fillId="0" borderId="79" xfId="6" applyNumberFormat="1" applyFont="1" applyBorder="1" applyAlignment="1">
      <alignment horizontal="center" vertical="center"/>
    </xf>
    <xf numFmtId="0" fontId="27" fillId="0" borderId="134" xfId="6" applyFont="1" applyBorder="1" applyAlignment="1">
      <alignment horizontal="center" vertical="center"/>
    </xf>
    <xf numFmtId="0" fontId="27" fillId="0" borderId="79" xfId="6" applyFont="1" applyBorder="1" applyAlignment="1">
      <alignment horizontal="center" vertical="center"/>
    </xf>
    <xf numFmtId="0" fontId="27" fillId="0" borderId="73" xfId="6" applyFont="1" applyBorder="1" applyAlignment="1">
      <alignment horizontal="center" vertical="center"/>
    </xf>
    <xf numFmtId="0" fontId="27" fillId="0" borderId="135" xfId="6" applyFont="1" applyBorder="1" applyAlignment="1">
      <alignment horizontal="center" vertical="center"/>
    </xf>
    <xf numFmtId="0" fontId="27" fillId="0" borderId="136" xfId="6" applyFont="1" applyBorder="1" applyAlignment="1">
      <alignment horizontal="center" vertical="center"/>
    </xf>
    <xf numFmtId="194" fontId="27" fillId="0" borderId="79" xfId="6" applyNumberFormat="1" applyFont="1" applyBorder="1" applyAlignment="1">
      <alignment horizontal="center" vertical="center"/>
    </xf>
    <xf numFmtId="194" fontId="27" fillId="0" borderId="73" xfId="6" applyNumberFormat="1" applyFont="1" applyBorder="1" applyAlignment="1">
      <alignment horizontal="center" vertical="center"/>
    </xf>
    <xf numFmtId="194" fontId="27" fillId="0" borderId="135" xfId="6" applyNumberFormat="1" applyFont="1" applyBorder="1" applyAlignment="1">
      <alignment horizontal="center" vertical="center"/>
    </xf>
    <xf numFmtId="196" fontId="27" fillId="0" borderId="135" xfId="6" applyNumberFormat="1" applyFont="1" applyBorder="1" applyAlignment="1">
      <alignment horizontal="center" vertical="center"/>
    </xf>
    <xf numFmtId="196" fontId="27" fillId="0" borderId="73" xfId="6" applyNumberFormat="1" applyFont="1" applyBorder="1" applyAlignment="1">
      <alignment horizontal="center" vertical="center"/>
    </xf>
    <xf numFmtId="0" fontId="28" fillId="0" borderId="137" xfId="6" applyFont="1" applyBorder="1" applyAlignment="1">
      <alignment horizontal="center" vertical="center"/>
    </xf>
    <xf numFmtId="0" fontId="27" fillId="0" borderId="79" xfId="6" applyFont="1" applyBorder="1">
      <alignment vertical="center"/>
    </xf>
    <xf numFmtId="0" fontId="27" fillId="0" borderId="138" xfId="6" applyFont="1" applyBorder="1" applyAlignment="1">
      <alignment horizontal="center" vertical="center"/>
    </xf>
    <xf numFmtId="0" fontId="27" fillId="0" borderId="77" xfId="6" applyFont="1" applyBorder="1" applyAlignment="1">
      <alignment horizontal="center" vertical="center"/>
    </xf>
    <xf numFmtId="0" fontId="31" fillId="0" borderId="139" xfId="6" applyFont="1" applyBorder="1" applyAlignment="1">
      <alignment horizontal="center" vertical="center"/>
    </xf>
    <xf numFmtId="9" fontId="27" fillId="0" borderId="137" xfId="6" applyNumberFormat="1" applyFont="1" applyBorder="1" applyAlignment="1">
      <alignment horizontal="center" vertical="center"/>
    </xf>
    <xf numFmtId="197" fontId="31" fillId="0" borderId="140" xfId="6" applyNumberFormat="1" applyFont="1" applyBorder="1" applyAlignment="1">
      <alignment horizontal="center" vertical="center"/>
    </xf>
    <xf numFmtId="197" fontId="31" fillId="0" borderId="139" xfId="6" applyNumberFormat="1" applyFont="1" applyBorder="1" applyAlignment="1">
      <alignment horizontal="center" vertical="center"/>
    </xf>
    <xf numFmtId="0" fontId="27" fillId="0" borderId="141" xfId="6" applyFont="1" applyBorder="1" applyAlignment="1">
      <alignment horizontal="center" vertical="center"/>
    </xf>
    <xf numFmtId="197" fontId="31" fillId="0" borderId="142" xfId="6" applyNumberFormat="1" applyFont="1" applyBorder="1" applyAlignment="1">
      <alignment horizontal="center" vertical="center"/>
    </xf>
    <xf numFmtId="197" fontId="31" fillId="0" borderId="141" xfId="6" applyNumberFormat="1" applyFont="1" applyBorder="1" applyAlignment="1">
      <alignment horizontal="center" vertical="center"/>
    </xf>
    <xf numFmtId="0" fontId="27" fillId="0" borderId="143" xfId="6" applyFont="1" applyBorder="1" applyAlignment="1">
      <alignment horizontal="center" vertical="center"/>
    </xf>
    <xf numFmtId="197" fontId="31" fillId="0" borderId="144" xfId="6" applyNumberFormat="1" applyFont="1" applyBorder="1" applyAlignment="1">
      <alignment horizontal="center" vertical="center"/>
    </xf>
    <xf numFmtId="196" fontId="27" fillId="0" borderId="80" xfId="6" applyNumberFormat="1" applyFont="1" applyBorder="1" applyAlignment="1">
      <alignment horizontal="center" vertical="center"/>
    </xf>
    <xf numFmtId="196" fontId="27" fillId="0" borderId="81" xfId="6" applyNumberFormat="1" applyFont="1" applyBorder="1" applyAlignment="1">
      <alignment horizontal="center" vertical="center"/>
    </xf>
    <xf numFmtId="196" fontId="27" fillId="0" borderId="145" xfId="6" applyNumberFormat="1" applyFont="1" applyBorder="1" applyAlignment="1">
      <alignment horizontal="center" vertical="center"/>
    </xf>
    <xf numFmtId="197" fontId="31" fillId="0" borderId="146" xfId="6" applyNumberFormat="1" applyFont="1" applyBorder="1" applyAlignment="1">
      <alignment horizontal="center" vertical="center"/>
    </xf>
    <xf numFmtId="197" fontId="31" fillId="0" borderId="147" xfId="6" applyNumberFormat="1" applyFont="1" applyBorder="1" applyAlignment="1">
      <alignment horizontal="center" vertical="center"/>
    </xf>
    <xf numFmtId="197" fontId="31" fillId="0" borderId="148" xfId="6" applyNumberFormat="1" applyFont="1" applyBorder="1" applyAlignment="1">
      <alignment horizontal="center" vertical="center"/>
    </xf>
    <xf numFmtId="197" fontId="31" fillId="0" borderId="149" xfId="6" applyNumberFormat="1" applyFont="1" applyBorder="1" applyAlignment="1">
      <alignment horizontal="center" vertical="center"/>
    </xf>
    <xf numFmtId="192" fontId="33" fillId="0" borderId="147" xfId="6" applyNumberFormat="1" applyFont="1" applyBorder="1" applyAlignment="1">
      <alignment horizontal="center" vertical="center"/>
    </xf>
    <xf numFmtId="196" fontId="27" fillId="0" borderId="77" xfId="6" applyNumberFormat="1" applyFont="1" applyBorder="1" applyAlignment="1">
      <alignment horizontal="center" vertical="center" wrapText="1"/>
    </xf>
    <xf numFmtId="196" fontId="27" fillId="0" borderId="73" xfId="6" applyNumberFormat="1" applyFont="1" applyBorder="1" applyAlignment="1">
      <alignment horizontal="center" vertical="center" wrapText="1"/>
    </xf>
    <xf numFmtId="196" fontId="27" fillId="0" borderId="138" xfId="6" applyNumberFormat="1" applyFont="1" applyBorder="1" applyAlignment="1">
      <alignment horizontal="center" vertical="center" wrapText="1"/>
    </xf>
    <xf numFmtId="196" fontId="27" fillId="0" borderId="132" xfId="6" applyNumberFormat="1" applyFont="1" applyBorder="1" applyAlignment="1">
      <alignment horizontal="center" vertical="center"/>
    </xf>
    <xf numFmtId="178" fontId="27" fillId="0" borderId="137" xfId="6" applyNumberFormat="1" applyFont="1" applyBorder="1" applyAlignment="1">
      <alignment horizontal="center" vertical="center"/>
    </xf>
    <xf numFmtId="192" fontId="31" fillId="0" borderId="79" xfId="6" applyNumberFormat="1" applyFont="1" applyBorder="1" applyAlignment="1">
      <alignment horizontal="center" vertical="center"/>
    </xf>
    <xf numFmtId="192" fontId="31" fillId="0" borderId="138" xfId="6" applyNumberFormat="1" applyFont="1" applyBorder="1" applyAlignment="1">
      <alignment horizontal="center" vertical="center"/>
    </xf>
    <xf numFmtId="196" fontId="27" fillId="0" borderId="81" xfId="6" applyNumberFormat="1" applyFont="1" applyBorder="1" applyAlignment="1">
      <alignment horizontal="center" vertical="center" wrapText="1"/>
    </xf>
    <xf numFmtId="187" fontId="27" fillId="0" borderId="79" xfId="6" applyNumberFormat="1" applyFont="1" applyBorder="1" applyAlignment="1">
      <alignment horizontal="center" vertical="center"/>
    </xf>
    <xf numFmtId="197" fontId="33" fillId="0" borderId="149" xfId="6" applyNumberFormat="1" applyFont="1" applyBorder="1" applyAlignment="1">
      <alignment horizontal="center" vertical="center"/>
    </xf>
    <xf numFmtId="198" fontId="27" fillId="0" borderId="73" xfId="6" applyNumberFormat="1" applyFont="1" applyBorder="1" applyAlignment="1">
      <alignment horizontal="center" vertical="center" wrapText="1"/>
    </xf>
    <xf numFmtId="0" fontId="34" fillId="22" borderId="131" xfId="6" applyFont="1" applyFill="1" applyBorder="1" applyAlignment="1">
      <alignment horizontal="center" vertical="center"/>
    </xf>
    <xf numFmtId="194" fontId="1" fillId="0" borderId="0" xfId="6" applyNumberFormat="1">
      <alignment vertical="center"/>
    </xf>
    <xf numFmtId="0" fontId="27" fillId="20" borderId="80" xfId="6" applyFont="1" applyFill="1" applyBorder="1" applyAlignment="1">
      <alignment horizontal="center" vertical="center"/>
    </xf>
    <xf numFmtId="0" fontId="27" fillId="20" borderId="107" xfId="6" applyFont="1" applyFill="1" applyBorder="1" applyAlignment="1">
      <alignment horizontal="center" vertical="center"/>
    </xf>
    <xf numFmtId="0" fontId="27" fillId="20" borderId="81" xfId="6" applyFont="1" applyFill="1" applyBorder="1" applyAlignment="1">
      <alignment horizontal="center" vertical="center" wrapText="1"/>
    </xf>
    <xf numFmtId="0" fontId="27" fillId="20" borderId="108" xfId="6" applyFont="1" applyFill="1" applyBorder="1" applyAlignment="1">
      <alignment horizontal="center" vertical="center"/>
    </xf>
    <xf numFmtId="0" fontId="27" fillId="20" borderId="82" xfId="6" applyFont="1" applyFill="1" applyBorder="1" applyAlignment="1">
      <alignment horizontal="center" vertical="center" wrapText="1"/>
    </xf>
    <xf numFmtId="0" fontId="27" fillId="20" borderId="85" xfId="6" applyFont="1" applyFill="1" applyBorder="1" applyAlignment="1">
      <alignment horizontal="center" vertical="center"/>
    </xf>
    <xf numFmtId="0" fontId="27" fillId="20" borderId="73" xfId="6" applyFont="1" applyFill="1" applyBorder="1" applyAlignment="1">
      <alignment horizontal="center" vertical="center" wrapText="1"/>
    </xf>
    <xf numFmtId="0" fontId="27" fillId="20" borderId="91" xfId="6" applyFont="1" applyFill="1" applyBorder="1" applyAlignment="1">
      <alignment horizontal="center" vertical="center"/>
    </xf>
    <xf numFmtId="0" fontId="27" fillId="20" borderId="75" xfId="6" applyFont="1" applyFill="1" applyBorder="1" applyAlignment="1">
      <alignment horizontal="center" vertical="center"/>
    </xf>
    <xf numFmtId="0" fontId="27" fillId="20" borderId="87" xfId="6" applyFont="1" applyFill="1" applyBorder="1" applyAlignment="1">
      <alignment horizontal="center" vertical="center"/>
    </xf>
    <xf numFmtId="192" fontId="27" fillId="20" borderId="75" xfId="6" applyNumberFormat="1" applyFont="1" applyFill="1" applyBorder="1" applyAlignment="1">
      <alignment horizontal="center" vertical="center" wrapText="1"/>
    </xf>
    <xf numFmtId="192" fontId="27" fillId="20" borderId="87" xfId="6" applyNumberFormat="1" applyFont="1" applyFill="1" applyBorder="1" applyAlignment="1">
      <alignment horizontal="center" vertical="center" wrapText="1"/>
    </xf>
    <xf numFmtId="0" fontId="27" fillId="20" borderId="77" xfId="6" applyFont="1" applyFill="1" applyBorder="1" applyAlignment="1">
      <alignment horizontal="center" vertical="center" wrapText="1"/>
    </xf>
    <xf numFmtId="0" fontId="27" fillId="20" borderId="95" xfId="6" applyFont="1" applyFill="1" applyBorder="1" applyAlignment="1">
      <alignment horizontal="center" vertical="center"/>
    </xf>
    <xf numFmtId="0" fontId="27" fillId="20" borderId="78" xfId="6" applyFont="1" applyFill="1" applyBorder="1" applyAlignment="1">
      <alignment horizontal="center" vertical="center" wrapText="1"/>
    </xf>
    <xf numFmtId="0" fontId="27" fillId="20" borderId="106" xfId="6" applyFont="1" applyFill="1" applyBorder="1" applyAlignment="1">
      <alignment horizontal="center" vertical="center"/>
    </xf>
    <xf numFmtId="0" fontId="27" fillId="20" borderId="58" xfId="6" applyFont="1" applyFill="1" applyBorder="1" applyAlignment="1">
      <alignment horizontal="center" vertical="center" wrapText="1"/>
    </xf>
    <xf numFmtId="0" fontId="27" fillId="20" borderId="89" xfId="6" applyFont="1" applyFill="1" applyBorder="1" applyAlignment="1">
      <alignment horizontal="center" vertical="center"/>
    </xf>
    <xf numFmtId="0" fontId="27" fillId="20" borderId="79" xfId="6" applyFont="1" applyFill="1" applyBorder="1" applyAlignment="1">
      <alignment horizontal="center" vertical="center" wrapText="1"/>
    </xf>
    <xf numFmtId="0" fontId="27" fillId="20" borderId="90" xfId="6" applyFont="1" applyFill="1" applyBorder="1" applyAlignment="1">
      <alignment horizontal="center" vertical="center"/>
    </xf>
    <xf numFmtId="0" fontId="27" fillId="20" borderId="75" xfId="6" applyFont="1" applyFill="1" applyBorder="1" applyAlignment="1">
      <alignment horizontal="center" vertical="center" wrapText="1"/>
    </xf>
    <xf numFmtId="0" fontId="27" fillId="20" borderId="87" xfId="6" applyFont="1" applyFill="1" applyBorder="1" applyAlignment="1">
      <alignment horizontal="center" vertical="center" wrapText="1"/>
    </xf>
    <xf numFmtId="0" fontId="27" fillId="20" borderId="76" xfId="6" applyFont="1" applyFill="1" applyBorder="1" applyAlignment="1">
      <alignment horizontal="center" vertical="center" wrapText="1"/>
    </xf>
    <xf numFmtId="0" fontId="27" fillId="20" borderId="101" xfId="6" applyFont="1" applyFill="1" applyBorder="1" applyAlignment="1">
      <alignment horizontal="center" vertical="center"/>
    </xf>
    <xf numFmtId="0" fontId="27" fillId="20" borderId="53" xfId="6" applyFont="1" applyFill="1" applyBorder="1" applyAlignment="1">
      <alignment horizontal="center" vertical="center" wrapText="1"/>
    </xf>
    <xf numFmtId="0" fontId="27" fillId="20" borderId="59" xfId="6" applyFont="1" applyFill="1" applyBorder="1" applyAlignment="1">
      <alignment horizontal="center" vertical="center" wrapText="1"/>
    </xf>
    <xf numFmtId="0" fontId="27" fillId="20" borderId="69" xfId="6" applyFont="1" applyFill="1" applyBorder="1" applyAlignment="1">
      <alignment horizontal="center" vertical="center" wrapText="1"/>
    </xf>
    <xf numFmtId="0" fontId="27" fillId="20" borderId="70" xfId="6" applyFont="1" applyFill="1" applyBorder="1" applyAlignment="1">
      <alignment horizontal="center" vertical="center" wrapText="1"/>
    </xf>
    <xf numFmtId="0" fontId="27" fillId="20" borderId="102" xfId="6" applyFont="1" applyFill="1" applyBorder="1" applyAlignment="1">
      <alignment horizontal="center" vertical="center"/>
    </xf>
    <xf numFmtId="0" fontId="27" fillId="20" borderId="72" xfId="6" applyFont="1" applyFill="1" applyBorder="1" applyAlignment="1">
      <alignment horizontal="center" vertical="center"/>
    </xf>
    <xf numFmtId="0" fontId="27" fillId="20" borderId="104" xfId="6" applyFont="1" applyFill="1" applyBorder="1" applyAlignment="1">
      <alignment horizontal="center" vertical="center"/>
    </xf>
    <xf numFmtId="0" fontId="33" fillId="20" borderId="73" xfId="6" applyFont="1" applyFill="1" applyBorder="1" applyAlignment="1">
      <alignment horizontal="center" vertical="center" wrapText="1"/>
    </xf>
    <xf numFmtId="0" fontId="33" fillId="20" borderId="91" xfId="6" applyFont="1" applyFill="1" applyBorder="1" applyAlignment="1">
      <alignment horizontal="center" vertical="center"/>
    </xf>
    <xf numFmtId="0" fontId="27" fillId="20" borderId="74" xfId="6" applyFont="1" applyFill="1" applyBorder="1" applyAlignment="1">
      <alignment horizontal="center" vertical="center" wrapText="1"/>
    </xf>
    <xf numFmtId="0" fontId="27" fillId="20" borderId="105" xfId="6" applyFont="1" applyFill="1" applyBorder="1" applyAlignment="1">
      <alignment horizontal="center" vertical="center" wrapText="1"/>
    </xf>
    <xf numFmtId="0" fontId="27" fillId="20" borderId="63" xfId="6" applyFont="1" applyFill="1" applyBorder="1" applyAlignment="1">
      <alignment horizontal="center" vertical="center"/>
    </xf>
    <xf numFmtId="0" fontId="27" fillId="20" borderId="64" xfId="6" applyFont="1" applyFill="1" applyBorder="1" applyAlignment="1">
      <alignment horizontal="center" vertical="center"/>
    </xf>
    <xf numFmtId="0" fontId="27" fillId="20" borderId="60" xfId="6" applyFont="1" applyFill="1" applyBorder="1" applyAlignment="1">
      <alignment horizontal="center" vertical="center" wrapText="1"/>
    </xf>
    <xf numFmtId="0" fontId="27" fillId="20" borderId="88" xfId="6" applyFont="1" applyFill="1" applyBorder="1" applyAlignment="1">
      <alignment horizontal="center" vertical="center"/>
    </xf>
    <xf numFmtId="0" fontId="27" fillId="20" borderId="65" xfId="6" applyFont="1" applyFill="1" applyBorder="1" applyAlignment="1">
      <alignment horizontal="center" vertical="center" wrapText="1"/>
    </xf>
    <xf numFmtId="0" fontId="27" fillId="20" borderId="66" xfId="6" applyFont="1" applyFill="1" applyBorder="1" applyAlignment="1">
      <alignment horizontal="center" vertical="center" wrapText="1"/>
    </xf>
    <xf numFmtId="0" fontId="27" fillId="20" borderId="67" xfId="6" applyFont="1" applyFill="1" applyBorder="1" applyAlignment="1">
      <alignment horizontal="center" vertical="center" wrapText="1"/>
    </xf>
    <xf numFmtId="0" fontId="27" fillId="20" borderId="68" xfId="6" applyFont="1" applyFill="1" applyBorder="1" applyAlignment="1">
      <alignment horizontal="center" vertical="center" wrapText="1"/>
    </xf>
    <xf numFmtId="0" fontId="27" fillId="20" borderId="61" xfId="6" applyFont="1" applyFill="1" applyBorder="1" applyAlignment="1">
      <alignment horizontal="center" vertical="center" wrapText="1"/>
    </xf>
    <xf numFmtId="0" fontId="27" fillId="20" borderId="93" xfId="6" applyFont="1" applyFill="1" applyBorder="1" applyAlignment="1">
      <alignment horizontal="center" vertical="center"/>
    </xf>
    <xf numFmtId="0" fontId="27" fillId="20" borderId="71" xfId="6" applyFont="1" applyFill="1" applyBorder="1" applyAlignment="1">
      <alignment horizontal="center" vertical="center" wrapText="1"/>
    </xf>
    <xf numFmtId="0" fontId="27" fillId="20" borderId="103" xfId="6" applyFont="1" applyFill="1" applyBorder="1" applyAlignment="1">
      <alignment horizontal="center" vertical="center"/>
    </xf>
    <xf numFmtId="0" fontId="27" fillId="20" borderId="59" xfId="6" applyFont="1" applyFill="1" applyBorder="1" applyAlignment="1">
      <alignment horizontal="center" vertical="center"/>
    </xf>
    <xf numFmtId="0" fontId="27" fillId="20" borderId="60" xfId="6" applyFont="1" applyFill="1" applyBorder="1" applyAlignment="1">
      <alignment horizontal="center" vertical="center"/>
    </xf>
    <xf numFmtId="0" fontId="27" fillId="20" borderId="93" xfId="6" applyFont="1" applyFill="1" applyBorder="1" applyAlignment="1">
      <alignment horizontal="center" vertical="center" wrapText="1"/>
    </xf>
    <xf numFmtId="0" fontId="27" fillId="20" borderId="58" xfId="6" applyFont="1" applyFill="1" applyBorder="1" applyAlignment="1">
      <alignment horizontal="center" vertical="center"/>
    </xf>
    <xf numFmtId="0" fontId="27" fillId="20" borderId="62" xfId="6" applyFont="1" applyFill="1" applyBorder="1" applyAlignment="1">
      <alignment horizontal="center" vertical="center"/>
    </xf>
    <xf numFmtId="0" fontId="30" fillId="20" borderId="50" xfId="6" applyFont="1" applyFill="1" applyBorder="1" applyAlignment="1">
      <alignment horizontal="center" vertical="center" wrapText="1"/>
    </xf>
    <xf numFmtId="0" fontId="30" fillId="20" borderId="83" xfId="6" applyFont="1" applyFill="1" applyBorder="1" applyAlignment="1">
      <alignment horizontal="center" vertical="center"/>
    </xf>
    <xf numFmtId="0" fontId="30" fillId="20" borderId="51" xfId="6" applyFont="1" applyFill="1" applyBorder="1" applyAlignment="1">
      <alignment horizontal="center" vertical="center" wrapText="1"/>
    </xf>
    <xf numFmtId="0" fontId="30" fillId="20" borderId="37" xfId="6" applyFont="1" applyFill="1" applyBorder="1" applyAlignment="1">
      <alignment horizontal="center" vertical="center"/>
    </xf>
    <xf numFmtId="14" fontId="31" fillId="0" borderId="37" xfId="6" applyNumberFormat="1" applyFont="1" applyBorder="1" applyAlignment="1">
      <alignment horizontal="center" vertical="center"/>
    </xf>
    <xf numFmtId="0" fontId="31" fillId="20" borderId="38" xfId="6" applyFont="1" applyFill="1" applyBorder="1" applyAlignment="1">
      <alignment horizontal="center" vertical="center"/>
    </xf>
    <xf numFmtId="0" fontId="31" fillId="20" borderId="39" xfId="6" applyFont="1" applyFill="1" applyBorder="1" applyAlignment="1">
      <alignment horizontal="center" vertical="center"/>
    </xf>
    <xf numFmtId="0" fontId="31" fillId="20" borderId="40" xfId="6" applyFont="1" applyFill="1" applyBorder="1" applyAlignment="1">
      <alignment horizontal="center" vertical="center"/>
    </xf>
    <xf numFmtId="0" fontId="31" fillId="21" borderId="41" xfId="6" applyFont="1" applyFill="1" applyBorder="1" applyAlignment="1">
      <alignment horizontal="center" vertical="center"/>
    </xf>
    <xf numFmtId="0" fontId="31" fillId="21" borderId="42" xfId="6" applyFont="1" applyFill="1" applyBorder="1" applyAlignment="1">
      <alignment horizontal="center" vertical="center"/>
    </xf>
    <xf numFmtId="0" fontId="31" fillId="21" borderId="43" xfId="6" applyFont="1" applyFill="1" applyBorder="1" applyAlignment="1">
      <alignment horizontal="center" vertical="center"/>
    </xf>
    <xf numFmtId="0" fontId="27" fillId="20" borderId="52" xfId="6" applyFont="1" applyFill="1" applyBorder="1" applyAlignment="1">
      <alignment horizontal="center" vertical="center" wrapText="1"/>
    </xf>
    <xf numFmtId="0" fontId="27" fillId="20" borderId="84" xfId="6" applyFont="1" applyFill="1" applyBorder="1" applyAlignment="1">
      <alignment horizontal="center" vertical="center"/>
    </xf>
    <xf numFmtId="0" fontId="27" fillId="20" borderId="51" xfId="6" applyFont="1" applyFill="1" applyBorder="1" applyAlignment="1">
      <alignment horizontal="center" vertical="center" wrapText="1"/>
    </xf>
    <xf numFmtId="0" fontId="27" fillId="20" borderId="37" xfId="6" applyFont="1" applyFill="1" applyBorder="1" applyAlignment="1">
      <alignment horizontal="center" vertical="center"/>
    </xf>
    <xf numFmtId="0" fontId="27" fillId="20" borderId="55" xfId="6" applyFont="1" applyFill="1" applyBorder="1" applyAlignment="1">
      <alignment horizontal="center" vertical="center"/>
    </xf>
    <xf numFmtId="0" fontId="27" fillId="20" borderId="56" xfId="6" applyFont="1" applyFill="1" applyBorder="1" applyAlignment="1">
      <alignment horizontal="center" vertical="center"/>
    </xf>
    <xf numFmtId="0" fontId="27" fillId="20" borderId="56" xfId="6" applyFont="1" applyFill="1" applyBorder="1" applyAlignment="1">
      <alignment horizontal="center" vertical="center" wrapText="1"/>
    </xf>
    <xf numFmtId="0" fontId="31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 wrapText="1"/>
    </xf>
    <xf numFmtId="0" fontId="27" fillId="0" borderId="49" xfId="6" applyFont="1" applyBorder="1" applyAlignment="1">
      <alignment horizontal="center" vertical="center" wrapText="1"/>
    </xf>
    <xf numFmtId="0" fontId="31" fillId="20" borderId="41" xfId="6" applyFont="1" applyFill="1" applyBorder="1" applyAlignment="1">
      <alignment horizontal="center" vertical="center"/>
    </xf>
    <xf numFmtId="0" fontId="27" fillId="20" borderId="42" xfId="6" applyFont="1" applyFill="1" applyBorder="1" applyAlignment="1">
      <alignment horizontal="center" vertical="center"/>
    </xf>
    <xf numFmtId="0" fontId="27" fillId="20" borderId="43" xfId="6" applyFont="1" applyFill="1" applyBorder="1" applyAlignment="1">
      <alignment horizontal="center" vertical="center"/>
    </xf>
    <xf numFmtId="0" fontId="27" fillId="20" borderId="54" xfId="6" applyFont="1" applyFill="1" applyBorder="1" applyAlignment="1">
      <alignment horizontal="center" vertical="center" wrapText="1"/>
    </xf>
    <xf numFmtId="0" fontId="27" fillId="20" borderId="86" xfId="6" applyFont="1" applyFill="1" applyBorder="1" applyAlignment="1">
      <alignment horizontal="center" vertical="center" wrapText="1"/>
    </xf>
    <xf numFmtId="0" fontId="27" fillId="20" borderId="44" xfId="6" applyFont="1" applyFill="1" applyBorder="1" applyAlignment="1">
      <alignment horizontal="center" vertical="center"/>
    </xf>
    <xf numFmtId="0" fontId="27" fillId="20" borderId="45" xfId="6" applyFont="1" applyFill="1" applyBorder="1" applyAlignment="1">
      <alignment horizontal="center" vertical="center"/>
    </xf>
    <xf numFmtId="0" fontId="27" fillId="20" borderId="46" xfId="6" applyFont="1" applyFill="1" applyBorder="1" applyAlignment="1">
      <alignment horizontal="center" vertical="center"/>
    </xf>
    <xf numFmtId="0" fontId="27" fillId="20" borderId="47" xfId="6" applyFont="1" applyFill="1" applyBorder="1" applyAlignment="1">
      <alignment horizontal="center" vertical="center"/>
    </xf>
    <xf numFmtId="0" fontId="27" fillId="20" borderId="57" xfId="6" applyFont="1" applyFill="1" applyBorder="1" applyAlignment="1">
      <alignment horizontal="center" vertical="center" wrapText="1"/>
    </xf>
    <xf numFmtId="0" fontId="27" fillId="20" borderId="88" xfId="6" applyFont="1" applyFill="1" applyBorder="1" applyAlignment="1">
      <alignment horizontal="center" vertical="center" wrapText="1"/>
    </xf>
    <xf numFmtId="0" fontId="27" fillId="20" borderId="89" xfId="6" applyFont="1" applyFill="1" applyBorder="1" applyAlignment="1">
      <alignment horizontal="center" vertical="center" wrapText="1"/>
    </xf>
    <xf numFmtId="0" fontId="27" fillId="20" borderId="53" xfId="6" applyFont="1" applyFill="1" applyBorder="1" applyAlignment="1">
      <alignment horizontal="center" vertical="center"/>
    </xf>
    <xf numFmtId="49" fontId="3" fillId="7" borderId="8" xfId="0" applyNumberFormat="1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3" fillId="7" borderId="21" xfId="0" applyNumberFormat="1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189" fontId="3" fillId="7" borderId="8" xfId="1" applyNumberFormat="1" applyFont="1" applyFill="1" applyBorder="1" applyAlignment="1">
      <alignment horizontal="right" vertical="center"/>
    </xf>
    <xf numFmtId="189" fontId="3" fillId="7" borderId="17" xfId="1" applyNumberFormat="1" applyFont="1" applyFill="1" applyBorder="1" applyAlignment="1">
      <alignment horizontal="right" vertical="center"/>
    </xf>
    <xf numFmtId="49" fontId="13" fillId="7" borderId="8" xfId="0" applyNumberFormat="1" applyFont="1" applyFill="1" applyBorder="1" applyAlignment="1">
      <alignment horizontal="center" vertical="center"/>
    </xf>
    <xf numFmtId="49" fontId="13" fillId="7" borderId="17" xfId="0" applyNumberFormat="1" applyFont="1" applyFill="1" applyBorder="1" applyAlignment="1">
      <alignment horizontal="center" vertical="center"/>
    </xf>
    <xf numFmtId="49" fontId="3" fillId="9" borderId="22" xfId="0" applyNumberFormat="1" applyFont="1" applyFill="1" applyBorder="1" applyAlignment="1">
      <alignment horizontal="center" vertical="center"/>
    </xf>
    <xf numFmtId="49" fontId="3" fillId="9" borderId="23" xfId="0" applyNumberFormat="1" applyFont="1" applyFill="1" applyBorder="1" applyAlignment="1">
      <alignment horizontal="center" vertical="center"/>
    </xf>
    <xf numFmtId="178" fontId="3" fillId="7" borderId="0" xfId="1" applyNumberFormat="1" applyFont="1" applyFill="1" applyBorder="1" applyAlignment="1">
      <alignment horizontal="right" vertical="center"/>
    </xf>
    <xf numFmtId="49" fontId="3" fillId="7" borderId="0" xfId="0" applyNumberFormat="1" applyFont="1" applyFill="1" applyAlignment="1">
      <alignment horizontal="center" vertical="center"/>
    </xf>
    <xf numFmtId="49" fontId="5" fillId="5" borderId="33" xfId="0" applyNumberFormat="1" applyFont="1" applyFill="1" applyBorder="1" applyAlignment="1">
      <alignment horizontal="center" vertical="center"/>
    </xf>
    <xf numFmtId="49" fontId="5" fillId="5" borderId="9" xfId="0" applyNumberFormat="1" applyFont="1" applyFill="1" applyBorder="1" applyAlignment="1">
      <alignment horizontal="center" vertical="center"/>
    </xf>
    <xf numFmtId="49" fontId="5" fillId="5" borderId="34" xfId="0" applyNumberFormat="1" applyFont="1" applyFill="1" applyBorder="1" applyAlignment="1">
      <alignment horizontal="center" vertical="center"/>
    </xf>
    <xf numFmtId="41" fontId="6" fillId="13" borderId="35" xfId="1" applyFont="1" applyFill="1" applyBorder="1" applyAlignment="1">
      <alignment horizontal="center" vertical="center"/>
    </xf>
    <xf numFmtId="41" fontId="6" fillId="13" borderId="28" xfId="1" applyFont="1" applyFill="1" applyBorder="1" applyAlignment="1">
      <alignment horizontal="center" vertical="center"/>
    </xf>
    <xf numFmtId="41" fontId="6" fillId="13" borderId="31" xfId="1" applyFont="1" applyFill="1" applyBorder="1" applyAlignment="1">
      <alignment horizontal="center" vertical="center"/>
    </xf>
    <xf numFmtId="188" fontId="3" fillId="7" borderId="0" xfId="1" applyNumberFormat="1" applyFont="1" applyFill="1" applyBorder="1" applyAlignment="1">
      <alignment horizontal="center" vertical="center"/>
    </xf>
    <xf numFmtId="178" fontId="14" fillId="7" borderId="0" xfId="1" applyNumberFormat="1" applyFont="1" applyFill="1" applyBorder="1" applyAlignment="1">
      <alignment horizontal="center" vertical="center"/>
    </xf>
    <xf numFmtId="176" fontId="3" fillId="7" borderId="8" xfId="0" applyNumberFormat="1" applyFont="1" applyFill="1" applyBorder="1" applyAlignment="1">
      <alignment horizontal="center" vertical="center"/>
    </xf>
    <xf numFmtId="176" fontId="3" fillId="7" borderId="17" xfId="0" applyNumberFormat="1" applyFont="1" applyFill="1" applyBorder="1" applyAlignment="1">
      <alignment horizontal="center" vertical="center"/>
    </xf>
    <xf numFmtId="177" fontId="14" fillId="7" borderId="8" xfId="1" applyNumberFormat="1" applyFont="1" applyFill="1" applyBorder="1" applyAlignment="1">
      <alignment horizontal="center" vertical="center"/>
    </xf>
    <xf numFmtId="177" fontId="14" fillId="7" borderId="17" xfId="1" applyNumberFormat="1" applyFont="1" applyFill="1" applyBorder="1" applyAlignment="1">
      <alignment horizontal="center" vertical="center"/>
    </xf>
    <xf numFmtId="49" fontId="3" fillId="7" borderId="20" xfId="0" applyNumberFormat="1" applyFont="1" applyFill="1" applyBorder="1" applyAlignment="1">
      <alignment horizontal="center" vertical="center"/>
    </xf>
    <xf numFmtId="49" fontId="3" fillId="7" borderId="22" xfId="0" applyNumberFormat="1" applyFont="1" applyFill="1" applyBorder="1" applyAlignment="1">
      <alignment horizontal="center" vertical="center"/>
    </xf>
    <xf numFmtId="49" fontId="3" fillId="7" borderId="23" xfId="0" applyNumberFormat="1" applyFont="1" applyFill="1" applyBorder="1" applyAlignment="1">
      <alignment horizontal="center" vertical="center"/>
    </xf>
    <xf numFmtId="188" fontId="3" fillId="7" borderId="21" xfId="1" applyNumberFormat="1" applyFont="1" applyFill="1" applyBorder="1" applyAlignment="1">
      <alignment horizontal="center" vertical="center"/>
    </xf>
    <xf numFmtId="189" fontId="3" fillId="7" borderId="8" xfId="1" applyNumberFormat="1" applyFont="1" applyFill="1" applyBorder="1" applyAlignment="1">
      <alignment vertical="center"/>
    </xf>
    <xf numFmtId="189" fontId="3" fillId="7" borderId="17" xfId="1" applyNumberFormat="1" applyFont="1" applyFill="1" applyBorder="1" applyAlignment="1">
      <alignment vertical="center"/>
    </xf>
    <xf numFmtId="49" fontId="3" fillId="14" borderId="29" xfId="0" applyNumberFormat="1" applyFont="1" applyFill="1" applyBorder="1" applyAlignment="1" applyProtection="1">
      <alignment horizontal="center" vertical="center" wrapText="1"/>
      <protection locked="0"/>
    </xf>
    <xf numFmtId="49" fontId="3" fillId="14" borderId="32" xfId="0" applyNumberFormat="1" applyFont="1" applyFill="1" applyBorder="1" applyAlignment="1" applyProtection="1">
      <alignment horizontal="center" vertical="center" wrapText="1"/>
      <protection locked="0"/>
    </xf>
    <xf numFmtId="49" fontId="3" fillId="14" borderId="27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30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9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3" fillId="15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15" borderId="3" xfId="0" applyNumberFormat="1" applyFont="1" applyFill="1" applyBorder="1" applyAlignment="1" applyProtection="1">
      <alignment horizontal="center" vertical="center" wrapText="1"/>
      <protection locked="0"/>
    </xf>
    <xf numFmtId="178" fontId="13" fillId="7" borderId="8" xfId="1" applyNumberFormat="1" applyFont="1" applyFill="1" applyBorder="1" applyAlignment="1">
      <alignment horizontal="center" vertical="center"/>
    </xf>
    <xf numFmtId="178" fontId="13" fillId="7" borderId="17" xfId="1" applyNumberFormat="1" applyFont="1" applyFill="1" applyBorder="1" applyAlignment="1">
      <alignment horizontal="center" vertical="center"/>
    </xf>
    <xf numFmtId="49" fontId="26" fillId="7" borderId="8" xfId="0" applyNumberFormat="1" applyFont="1" applyFill="1" applyBorder="1" applyAlignment="1">
      <alignment horizontal="center" vertical="center"/>
    </xf>
    <xf numFmtId="49" fontId="26" fillId="7" borderId="17" xfId="0" applyNumberFormat="1" applyFont="1" applyFill="1" applyBorder="1" applyAlignment="1">
      <alignment horizontal="center" vertical="center"/>
    </xf>
    <xf numFmtId="176" fontId="26" fillId="7" borderId="8" xfId="0" applyNumberFormat="1" applyFont="1" applyFill="1" applyBorder="1" applyAlignment="1">
      <alignment horizontal="center" vertical="center"/>
    </xf>
    <xf numFmtId="176" fontId="26" fillId="7" borderId="17" xfId="0" applyNumberFormat="1" applyFont="1" applyFill="1" applyBorder="1" applyAlignment="1">
      <alignment horizontal="center" vertical="center"/>
    </xf>
    <xf numFmtId="187" fontId="26" fillId="7" borderId="16" xfId="0" applyNumberFormat="1" applyFont="1" applyFill="1" applyBorder="1" applyAlignment="1">
      <alignment horizontal="center" vertical="center"/>
    </xf>
    <xf numFmtId="187" fontId="26" fillId="7" borderId="18" xfId="0" applyNumberFormat="1" applyFont="1" applyFill="1" applyBorder="1" applyAlignment="1">
      <alignment horizontal="center" vertical="center"/>
    </xf>
    <xf numFmtId="0" fontId="23" fillId="10" borderId="36" xfId="0" applyFont="1" applyFill="1" applyBorder="1" applyAlignment="1">
      <alignment horizontal="center" vertical="top"/>
    </xf>
    <xf numFmtId="0" fontId="23" fillId="10" borderId="0" xfId="0" applyFont="1" applyFill="1" applyAlignment="1">
      <alignment horizontal="center" vertical="top"/>
    </xf>
    <xf numFmtId="176" fontId="26" fillId="7" borderId="16" xfId="0" applyNumberFormat="1" applyFont="1" applyFill="1" applyBorder="1" applyAlignment="1">
      <alignment horizontal="center" vertical="center"/>
    </xf>
    <xf numFmtId="176" fontId="26" fillId="7" borderId="18" xfId="0" applyNumberFormat="1" applyFont="1" applyFill="1" applyBorder="1" applyAlignment="1">
      <alignment horizontal="center" vertical="center"/>
    </xf>
    <xf numFmtId="0" fontId="25" fillId="0" borderId="6" xfId="0" applyFont="1" applyBorder="1" applyAlignment="1">
      <alignment horizontal="right" vertical="center"/>
    </xf>
    <xf numFmtId="14" fontId="25" fillId="0" borderId="6" xfId="0" applyNumberFormat="1" applyFont="1" applyBorder="1" applyAlignment="1">
      <alignment horizontal="left" vertical="center"/>
    </xf>
    <xf numFmtId="49" fontId="3" fillId="19" borderId="30" xfId="0" applyNumberFormat="1" applyFont="1" applyFill="1" applyBorder="1" applyAlignment="1" applyProtection="1">
      <alignment horizontal="center" vertical="center"/>
      <protection locked="0"/>
    </xf>
    <xf numFmtId="49" fontId="3" fillId="19" borderId="19" xfId="0" applyNumberFormat="1" applyFont="1" applyFill="1" applyBorder="1" applyAlignment="1" applyProtection="1">
      <alignment horizontal="center" vertical="center"/>
      <protection locked="0"/>
    </xf>
    <xf numFmtId="49" fontId="3" fillId="19" borderId="20" xfId="0" applyNumberFormat="1" applyFont="1" applyFill="1" applyBorder="1" applyAlignment="1" applyProtection="1">
      <alignment horizontal="center" vertical="center"/>
      <protection locked="0"/>
    </xf>
    <xf numFmtId="49" fontId="3" fillId="14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14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14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16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16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17" borderId="30" xfId="0" applyNumberFormat="1" applyFont="1" applyFill="1" applyBorder="1" applyAlignment="1" applyProtection="1">
      <alignment horizontal="center" vertical="center" wrapText="1"/>
      <protection locked="0"/>
    </xf>
    <xf numFmtId="49" fontId="3" fillId="17" borderId="19" xfId="0" applyNumberFormat="1" applyFont="1" applyFill="1" applyBorder="1" applyAlignment="1" applyProtection="1">
      <alignment horizontal="center" vertical="center" wrapText="1"/>
      <protection locked="0"/>
    </xf>
    <xf numFmtId="49" fontId="3" fillId="17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18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18" borderId="25" xfId="0" applyNumberFormat="1" applyFont="1" applyFill="1" applyBorder="1" applyAlignment="1" applyProtection="1">
      <alignment horizontal="center" vertical="center" wrapText="1"/>
      <protection locked="0"/>
    </xf>
    <xf numFmtId="49" fontId="3" fillId="18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18" borderId="24" xfId="0" applyNumberFormat="1" applyFont="1" applyFill="1" applyBorder="1" applyAlignment="1" applyProtection="1">
      <alignment horizontal="center" vertical="center" wrapText="1"/>
      <protection locked="0"/>
    </xf>
    <xf numFmtId="49" fontId="14" fillId="7" borderId="8" xfId="0" applyNumberFormat="1" applyFont="1" applyFill="1" applyBorder="1" applyAlignment="1">
      <alignment horizontal="center" vertical="center"/>
    </xf>
    <xf numFmtId="49" fontId="14" fillId="7" borderId="17" xfId="0" applyNumberFormat="1" applyFont="1" applyFill="1" applyBorder="1" applyAlignment="1">
      <alignment horizontal="center" vertical="center"/>
    </xf>
    <xf numFmtId="178" fontId="3" fillId="7" borderId="21" xfId="1" applyNumberFormat="1" applyFont="1" applyFill="1" applyBorder="1" applyAlignment="1">
      <alignment horizontal="center" vertical="center"/>
    </xf>
    <xf numFmtId="178" fontId="3" fillId="7" borderId="22" xfId="1" applyNumberFormat="1" applyFont="1" applyFill="1" applyBorder="1" applyAlignment="1">
      <alignment horizontal="center" vertical="center"/>
    </xf>
    <xf numFmtId="178" fontId="3" fillId="7" borderId="23" xfId="1" applyNumberFormat="1" applyFont="1" applyFill="1" applyBorder="1" applyAlignment="1">
      <alignment horizontal="center" vertical="center"/>
    </xf>
    <xf numFmtId="177" fontId="3" fillId="7" borderId="8" xfId="1" applyNumberFormat="1" applyFont="1" applyFill="1" applyBorder="1" applyAlignment="1">
      <alignment horizontal="center" vertical="center"/>
    </xf>
    <xf numFmtId="177" fontId="3" fillId="7" borderId="17" xfId="1" applyNumberFormat="1" applyFont="1" applyFill="1" applyBorder="1" applyAlignment="1">
      <alignment horizontal="center" vertical="center"/>
    </xf>
    <xf numFmtId="49" fontId="3" fillId="16" borderId="30" xfId="0" applyNumberFormat="1" applyFont="1" applyFill="1" applyBorder="1" applyAlignment="1" applyProtection="1">
      <alignment horizontal="center" vertical="center" wrapText="1"/>
      <protection locked="0"/>
    </xf>
    <xf numFmtId="49" fontId="3" fillId="16" borderId="26" xfId="0" applyNumberFormat="1" applyFont="1" applyFill="1" applyBorder="1" applyAlignment="1" applyProtection="1">
      <alignment horizontal="center" vertical="center" wrapText="1"/>
      <protection locked="0"/>
    </xf>
    <xf numFmtId="49" fontId="3" fillId="15" borderId="30" xfId="0" applyNumberFormat="1" applyFont="1" applyFill="1" applyBorder="1" applyAlignment="1" applyProtection="1">
      <alignment horizontal="center" vertical="center" wrapText="1"/>
      <protection locked="0"/>
    </xf>
    <xf numFmtId="49" fontId="3" fillId="15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8" xfId="0" applyFont="1" applyFill="1" applyBorder="1" applyAlignment="1">
      <alignment horizontal="left" vertical="center" indent="1"/>
    </xf>
    <xf numFmtId="49" fontId="3" fillId="7" borderId="17" xfId="0" applyNumberFormat="1" applyFont="1" applyFill="1" applyBorder="1" applyAlignment="1">
      <alignment horizontal="left" vertical="center" indent="1"/>
    </xf>
    <xf numFmtId="49" fontId="13" fillId="7" borderId="30" xfId="0" applyNumberFormat="1" applyFont="1" applyFill="1" applyBorder="1" applyAlignment="1">
      <alignment horizontal="center" vertical="center"/>
    </xf>
    <xf numFmtId="177" fontId="3" fillId="7" borderId="30" xfId="1" applyNumberFormat="1" applyFont="1" applyFill="1" applyBorder="1" applyAlignment="1">
      <alignment horizontal="center" vertical="center"/>
    </xf>
    <xf numFmtId="49" fontId="26" fillId="7" borderId="30" xfId="0" applyNumberFormat="1" applyFont="1" applyFill="1" applyBorder="1" applyAlignment="1">
      <alignment horizontal="center" vertical="center"/>
    </xf>
    <xf numFmtId="49" fontId="22" fillId="7" borderId="8" xfId="0" applyNumberFormat="1" applyFont="1" applyFill="1" applyBorder="1" applyAlignment="1">
      <alignment horizontal="center" vertical="center"/>
    </xf>
    <xf numFmtId="49" fontId="22" fillId="7" borderId="20" xfId="0" applyNumberFormat="1" applyFont="1" applyFill="1" applyBorder="1" applyAlignment="1">
      <alignment horizontal="center" vertical="center"/>
    </xf>
    <xf numFmtId="49" fontId="22" fillId="7" borderId="17" xfId="0" applyNumberFormat="1" applyFont="1" applyFill="1" applyBorder="1" applyAlignment="1">
      <alignment horizontal="center" vertical="center"/>
    </xf>
    <xf numFmtId="177" fontId="3" fillId="7" borderId="19" xfId="1" applyNumberFormat="1" applyFont="1" applyFill="1" applyBorder="1" applyAlignment="1">
      <alignment horizontal="center" vertical="center"/>
    </xf>
  </cellXfs>
  <cellStyles count="8">
    <cellStyle name="쉼표 [0]" xfId="1" builtinId="6"/>
    <cellStyle name="쉼표 [0] 2" xfId="7" xr:uid="{3B77E69B-5C37-494A-B736-7DF1CCCCAD7A}"/>
    <cellStyle name="콤마 [0]_2002년-업체별(SHOP)" xfId="2" xr:uid="{00000000-0005-0000-0000-000002000000}"/>
    <cellStyle name="콤마_2002년-업체별(SHOP)" xfId="3" xr:uid="{00000000-0005-0000-0000-000003000000}"/>
    <cellStyle name="표준" xfId="0" builtinId="0"/>
    <cellStyle name="표준 2" xfId="4" xr:uid="{00000000-0005-0000-0000-000005000000}"/>
    <cellStyle name="표준 3" xfId="5" xr:uid="{00000000-0005-0000-0000-000006000000}"/>
    <cellStyle name="표준 4" xfId="6" xr:uid="{D4977C65-49B5-41A8-A7A3-A45F5152B6DF}"/>
  </cellStyles>
  <dxfs count="22"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  <condense val="0"/>
        <extend val="0"/>
        <color indexed="16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2"/>
      </font>
    </dxf>
    <dxf>
      <font>
        <b/>
        <i val="0"/>
        <condense val="0"/>
        <extend val="0"/>
        <color indexed="16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2"/>
      </font>
    </dxf>
    <dxf>
      <font>
        <b/>
        <i val="0"/>
        <condense val="0"/>
        <extend val="0"/>
        <color indexed="16"/>
      </font>
      <fill>
        <patternFill patternType="none">
          <bgColor indexed="65"/>
        </patternFill>
      </fill>
    </dxf>
    <dxf>
      <font>
        <b val="0"/>
        <i val="0"/>
        <condense val="0"/>
        <extend val="0"/>
        <color indexed="12"/>
      </font>
    </dxf>
  </dxfs>
  <tableStyles count="0" defaultTableStyle="TableStyleMedium9" defaultPivotStyle="PivotStyleLight16"/>
  <colors>
    <mruColors>
      <color rgb="FFFFFFCC"/>
      <color rgb="FFFFCCFF"/>
      <color rgb="FFFFFF99"/>
      <color rgb="FF99FF33"/>
      <color rgb="FF66FFFF"/>
      <color rgb="FFFFCC99"/>
      <color rgb="FF99FFCC"/>
      <color rgb="FF99FF66"/>
      <color rgb="FF00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J163"/>
  <sheetViews>
    <sheetView workbookViewId="0">
      <pane xSplit="3" ySplit="7" topLeftCell="D23" activePane="bottomRight" state="frozen"/>
      <selection pane="topRight" activeCell="D1" sqref="D1"/>
      <selection pane="bottomLeft" activeCell="A8" sqref="A8"/>
      <selection pane="bottomRight" activeCell="E54" sqref="E54:E55"/>
    </sheetView>
  </sheetViews>
  <sheetFormatPr defaultColWidth="8.88671875" defaultRowHeight="17.25" customHeight="1"/>
  <cols>
    <col min="1" max="1" width="4.109375" style="2" customWidth="1"/>
    <col min="2" max="2" width="7" style="2" customWidth="1"/>
    <col min="3" max="3" width="9" style="2" customWidth="1"/>
    <col min="4" max="4" width="9.44140625" style="2" customWidth="1"/>
    <col min="5" max="5" width="8" style="2" customWidth="1"/>
    <col min="6" max="6" width="8.21875" style="2" customWidth="1"/>
    <col min="7" max="7" width="5.6640625" style="2" customWidth="1"/>
    <col min="8" max="8" width="13" style="2" customWidth="1"/>
    <col min="9" max="9" width="6.6640625" style="2" customWidth="1"/>
    <col min="10" max="10" width="6.77734375" style="2" customWidth="1"/>
    <col min="11" max="11" width="5.33203125" style="2" hidden="1" customWidth="1"/>
    <col min="12" max="12" width="6.77734375" style="3" customWidth="1"/>
    <col min="13" max="13" width="6" style="3" customWidth="1"/>
    <col min="14" max="14" width="6.6640625" style="2" customWidth="1"/>
    <col min="15" max="15" width="5.77734375" style="2" customWidth="1"/>
    <col min="16" max="16" width="5" style="2" customWidth="1"/>
    <col min="17" max="17" width="7.88671875" style="2" customWidth="1"/>
    <col min="18" max="18" width="7.6640625" style="2" customWidth="1"/>
    <col min="19" max="19" width="7.88671875" style="2" customWidth="1"/>
    <col min="20" max="20" width="7.77734375" style="2" customWidth="1"/>
    <col min="21" max="16384" width="8.88671875" style="1"/>
  </cols>
  <sheetData>
    <row r="1" spans="1:190" s="60" customFormat="1" ht="48" customHeight="1">
      <c r="A1" s="54" t="s">
        <v>13</v>
      </c>
      <c r="B1" s="54" t="s">
        <v>14</v>
      </c>
      <c r="C1" s="54"/>
      <c r="D1" s="63" t="s">
        <v>274</v>
      </c>
      <c r="E1" s="63"/>
      <c r="F1" s="63"/>
      <c r="G1" s="63"/>
      <c r="H1" s="63"/>
      <c r="I1" s="63"/>
      <c r="J1" s="63"/>
      <c r="K1" s="63"/>
      <c r="L1" s="38"/>
      <c r="M1" s="63"/>
      <c r="N1" s="63"/>
      <c r="O1" s="63"/>
      <c r="P1" s="63"/>
      <c r="Q1" s="42"/>
      <c r="R1" s="42"/>
      <c r="S1" s="42"/>
      <c r="T1" s="42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6"/>
      <c r="AW1" s="57"/>
      <c r="AX1" s="58"/>
      <c r="AY1" s="59"/>
      <c r="AZ1" s="58"/>
      <c r="BA1" s="59"/>
      <c r="BB1" s="57"/>
      <c r="BC1" s="58"/>
      <c r="BD1" s="57"/>
      <c r="BE1" s="58"/>
      <c r="BF1" s="59"/>
      <c r="BG1" s="59"/>
      <c r="BH1" s="57"/>
      <c r="BI1" s="58"/>
      <c r="BJ1" s="58"/>
      <c r="BK1" s="57"/>
      <c r="BL1" s="58"/>
      <c r="BM1" s="59"/>
      <c r="BN1" s="59"/>
      <c r="BO1" s="57"/>
      <c r="BP1" s="58"/>
      <c r="BQ1" s="58"/>
      <c r="BR1" s="59"/>
      <c r="BS1" s="59"/>
      <c r="BT1" s="58"/>
      <c r="BU1" s="57"/>
      <c r="BV1" s="58"/>
      <c r="BW1" s="59"/>
      <c r="BX1" s="59"/>
      <c r="BY1" s="58"/>
      <c r="BZ1" s="57"/>
      <c r="CA1" s="58"/>
      <c r="CB1" s="59"/>
      <c r="CC1" s="59"/>
      <c r="CD1" s="58"/>
      <c r="CE1" s="57"/>
      <c r="CF1" s="58"/>
      <c r="CG1" s="59"/>
      <c r="CH1" s="59"/>
      <c r="CI1" s="58"/>
      <c r="CJ1" s="57"/>
      <c r="CK1" s="58"/>
      <c r="CL1" s="57"/>
      <c r="CM1" s="58"/>
      <c r="CN1" s="58"/>
      <c r="CO1" s="57"/>
      <c r="CP1" s="58"/>
      <c r="CQ1" s="59"/>
      <c r="CR1" s="59"/>
    </row>
    <row r="2" spans="1:190" s="20" customFormat="1" ht="6.75" hidden="1" customHeight="1">
      <c r="F2" s="36"/>
      <c r="G2" s="36"/>
      <c r="H2" s="37"/>
      <c r="I2" s="38"/>
      <c r="J2" s="39"/>
      <c r="K2" s="39"/>
      <c r="L2" s="39"/>
      <c r="M2" s="39"/>
      <c r="N2" s="39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40"/>
      <c r="AW2" s="41"/>
      <c r="AX2" s="40"/>
      <c r="AY2" s="21"/>
      <c r="AZ2" s="40"/>
      <c r="BA2" s="21"/>
      <c r="BB2" s="41"/>
      <c r="BC2" s="40"/>
      <c r="BD2" s="41"/>
      <c r="BE2" s="40"/>
      <c r="BF2" s="21"/>
      <c r="BG2" s="21"/>
      <c r="BH2" s="41"/>
      <c r="BI2" s="40"/>
      <c r="BJ2" s="40"/>
      <c r="BK2" s="41"/>
      <c r="BL2" s="40"/>
      <c r="BM2" s="21"/>
      <c r="BN2" s="21"/>
      <c r="BO2" s="41"/>
      <c r="BP2" s="40"/>
      <c r="BQ2" s="40"/>
      <c r="BR2" s="21"/>
      <c r="BS2" s="21"/>
      <c r="BT2" s="40"/>
      <c r="BU2" s="41"/>
      <c r="BV2" s="40"/>
      <c r="BW2" s="21"/>
      <c r="BX2" s="21"/>
      <c r="BY2" s="40"/>
      <c r="BZ2" s="41"/>
      <c r="CA2" s="40"/>
      <c r="CB2" s="21"/>
      <c r="CC2" s="21"/>
      <c r="CD2" s="40"/>
      <c r="CE2" s="41"/>
      <c r="CF2" s="40"/>
      <c r="CG2" s="21"/>
      <c r="CH2" s="21"/>
      <c r="CI2" s="40"/>
      <c r="CJ2" s="41"/>
      <c r="CK2" s="40"/>
      <c r="CL2" s="41"/>
      <c r="CM2" s="40"/>
      <c r="CN2" s="40"/>
      <c r="CO2" s="41"/>
      <c r="CP2" s="40"/>
      <c r="CQ2" s="21"/>
      <c r="CR2" s="21"/>
    </row>
    <row r="3" spans="1:190" ht="14.25" hidden="1" customHeight="1">
      <c r="A3" s="4"/>
      <c r="B3" s="4"/>
      <c r="C3" s="4"/>
      <c r="D3" s="4"/>
      <c r="E3" s="4"/>
      <c r="F3" s="4"/>
      <c r="G3" s="4"/>
      <c r="H3" s="8"/>
      <c r="I3" s="4"/>
      <c r="J3" s="4"/>
      <c r="K3" s="4"/>
      <c r="L3" s="10"/>
      <c r="M3" s="10"/>
      <c r="N3" s="11"/>
      <c r="O3" s="11"/>
      <c r="P3" s="11"/>
      <c r="Q3" s="10"/>
      <c r="R3" s="11"/>
      <c r="S3" s="11"/>
      <c r="T3" s="12"/>
      <c r="U3" s="10"/>
    </row>
    <row r="4" spans="1:190" ht="19.5" customHeight="1" thickBot="1">
      <c r="A4" s="43" t="s">
        <v>23</v>
      </c>
      <c r="B4" s="383" t="s">
        <v>27</v>
      </c>
      <c r="C4" s="383"/>
      <c r="D4" s="384">
        <f ca="1">TODAY()</f>
        <v>46279</v>
      </c>
      <c r="E4" s="384"/>
      <c r="F4" s="384"/>
      <c r="G4" s="100"/>
      <c r="H4" s="16"/>
      <c r="I4" s="4"/>
      <c r="J4" s="4"/>
      <c r="K4" s="4"/>
      <c r="L4" s="17" t="s">
        <v>48</v>
      </c>
      <c r="M4" s="17"/>
      <c r="N4" s="18"/>
      <c r="O4" s="18"/>
      <c r="P4" s="18"/>
      <c r="Q4" s="17"/>
      <c r="R4" s="17"/>
      <c r="S4" s="19"/>
      <c r="T4" s="19"/>
    </row>
    <row r="5" spans="1:190" ht="18.75" customHeight="1">
      <c r="A5" s="360" t="s">
        <v>32</v>
      </c>
      <c r="B5" s="388" t="s">
        <v>24</v>
      </c>
      <c r="C5" s="385" t="s">
        <v>16</v>
      </c>
      <c r="D5" s="363" t="s">
        <v>31</v>
      </c>
      <c r="E5" s="366" t="s">
        <v>9</v>
      </c>
      <c r="F5" s="395" t="s">
        <v>28</v>
      </c>
      <c r="G5" s="366" t="s">
        <v>34</v>
      </c>
      <c r="H5" s="369" t="s">
        <v>29</v>
      </c>
      <c r="I5" s="391" t="s">
        <v>18</v>
      </c>
      <c r="J5" s="391" t="s">
        <v>12</v>
      </c>
      <c r="K5" s="26"/>
      <c r="L5" s="393" t="s">
        <v>10</v>
      </c>
      <c r="M5" s="393"/>
      <c r="N5" s="393"/>
      <c r="O5" s="393"/>
      <c r="P5" s="393"/>
      <c r="Q5" s="398" t="s">
        <v>0</v>
      </c>
      <c r="R5" s="398"/>
      <c r="S5" s="398"/>
      <c r="T5" s="399"/>
    </row>
    <row r="6" spans="1:190" ht="6" customHeight="1">
      <c r="A6" s="361"/>
      <c r="B6" s="389"/>
      <c r="C6" s="386"/>
      <c r="D6" s="364"/>
      <c r="E6" s="367"/>
      <c r="F6" s="396"/>
      <c r="G6" s="367"/>
      <c r="H6" s="370"/>
      <c r="I6" s="392"/>
      <c r="J6" s="392"/>
      <c r="K6" s="27"/>
      <c r="L6" s="394"/>
      <c r="M6" s="394"/>
      <c r="N6" s="394"/>
      <c r="O6" s="394"/>
      <c r="P6" s="394"/>
      <c r="Q6" s="400"/>
      <c r="R6" s="400"/>
      <c r="S6" s="400"/>
      <c r="T6" s="401"/>
    </row>
    <row r="7" spans="1:190" ht="20.25" customHeight="1" thickBot="1">
      <c r="A7" s="362"/>
      <c r="B7" s="390"/>
      <c r="C7" s="387"/>
      <c r="D7" s="365"/>
      <c r="E7" s="368"/>
      <c r="F7" s="397"/>
      <c r="G7" s="368"/>
      <c r="H7" s="29" t="s">
        <v>30</v>
      </c>
      <c r="I7" s="29" t="s">
        <v>21</v>
      </c>
      <c r="J7" s="29" t="s">
        <v>15</v>
      </c>
      <c r="K7" s="30" t="s">
        <v>11</v>
      </c>
      <c r="L7" s="28" t="s">
        <v>1</v>
      </c>
      <c r="M7" s="31" t="s">
        <v>6</v>
      </c>
      <c r="N7" s="28" t="s">
        <v>2</v>
      </c>
      <c r="O7" s="28" t="s">
        <v>4</v>
      </c>
      <c r="P7" s="28" t="s">
        <v>5</v>
      </c>
      <c r="Q7" s="32" t="s">
        <v>75</v>
      </c>
      <c r="R7" s="28" t="s">
        <v>76</v>
      </c>
      <c r="S7" s="28" t="s">
        <v>77</v>
      </c>
      <c r="T7" s="33" t="s">
        <v>78</v>
      </c>
    </row>
    <row r="8" spans="1:190" ht="20.25" customHeight="1">
      <c r="A8" s="332" t="s">
        <v>276</v>
      </c>
      <c r="B8" s="101" t="s">
        <v>25</v>
      </c>
      <c r="C8" s="101" t="s">
        <v>43</v>
      </c>
      <c r="D8" s="101" t="s">
        <v>66</v>
      </c>
      <c r="E8" s="336" t="s">
        <v>33</v>
      </c>
      <c r="F8" s="334">
        <v>203</v>
      </c>
      <c r="G8" s="373" t="s">
        <v>36</v>
      </c>
      <c r="H8" s="70" t="s">
        <v>17</v>
      </c>
      <c r="I8" s="46">
        <v>40499</v>
      </c>
      <c r="J8" s="47">
        <v>40427</v>
      </c>
      <c r="K8" s="51"/>
      <c r="L8" s="49" t="s">
        <v>3</v>
      </c>
      <c r="M8" s="49" t="s">
        <v>3</v>
      </c>
      <c r="N8" s="49" t="s">
        <v>3</v>
      </c>
      <c r="O8" s="49" t="s">
        <v>3</v>
      </c>
      <c r="P8" s="49" t="s">
        <v>8</v>
      </c>
      <c r="Q8" s="46">
        <v>40424</v>
      </c>
      <c r="R8" s="46">
        <v>40426</v>
      </c>
      <c r="S8" s="105">
        <v>40423</v>
      </c>
      <c r="T8" s="105">
        <v>40428</v>
      </c>
      <c r="U8" s="13"/>
      <c r="V8" s="13"/>
      <c r="W8" s="13"/>
      <c r="X8" s="13"/>
      <c r="Y8" s="14"/>
      <c r="Z8" s="15"/>
      <c r="AA8" s="13"/>
      <c r="AB8" s="13"/>
      <c r="AC8" s="13"/>
      <c r="AD8" s="13"/>
      <c r="AE8" s="13"/>
      <c r="AF8" s="14"/>
      <c r="AG8" s="15"/>
      <c r="AH8" s="13"/>
      <c r="AI8" s="13"/>
      <c r="AJ8" s="13"/>
      <c r="AK8" s="13"/>
      <c r="AL8" s="13"/>
      <c r="AM8" s="14"/>
      <c r="AN8" s="15"/>
      <c r="AO8" s="13"/>
      <c r="AP8" s="15"/>
      <c r="AQ8" s="13"/>
      <c r="AR8" s="13"/>
      <c r="AS8" s="13"/>
      <c r="AT8" s="14"/>
      <c r="AU8" s="15"/>
      <c r="AV8" s="13"/>
      <c r="AW8" s="13"/>
      <c r="AX8" s="13"/>
      <c r="AY8" s="13"/>
      <c r="AZ8" s="13"/>
      <c r="BA8" s="14"/>
      <c r="BB8" s="15"/>
      <c r="BC8" s="13"/>
      <c r="BD8" s="13"/>
      <c r="BE8" s="13"/>
      <c r="BF8" s="13"/>
      <c r="BG8" s="13"/>
      <c r="BH8" s="14"/>
      <c r="BI8" s="15"/>
      <c r="BJ8" s="13"/>
      <c r="BK8" s="13"/>
      <c r="BL8" s="13"/>
      <c r="BM8" s="13"/>
      <c r="BN8" s="13"/>
      <c r="BO8" s="14"/>
      <c r="BP8" s="15"/>
      <c r="BQ8" s="13"/>
      <c r="BR8" s="13"/>
      <c r="BS8" s="13"/>
      <c r="BT8" s="13"/>
      <c r="BU8" s="13"/>
      <c r="BV8" s="14"/>
      <c r="BW8" s="15"/>
      <c r="BX8" s="13"/>
      <c r="BY8" s="13"/>
      <c r="BZ8" s="13"/>
      <c r="CA8" s="13"/>
      <c r="CB8" s="13"/>
      <c r="CC8" s="14"/>
      <c r="CD8" s="15"/>
      <c r="CE8" s="13"/>
      <c r="CF8" s="13"/>
      <c r="CG8" s="13"/>
      <c r="CH8" s="13"/>
      <c r="CI8" s="13"/>
      <c r="CJ8" s="14"/>
      <c r="CK8" s="15"/>
      <c r="CL8" s="13"/>
      <c r="CM8" s="13"/>
      <c r="CN8" s="13"/>
      <c r="CO8" s="13"/>
      <c r="CP8" s="13"/>
      <c r="CQ8" s="14"/>
      <c r="CR8" s="15"/>
      <c r="CS8" s="13"/>
      <c r="CT8" s="13"/>
      <c r="CU8" s="13"/>
      <c r="CV8" s="13"/>
      <c r="CW8" s="13"/>
      <c r="CX8" s="14"/>
      <c r="CY8" s="13"/>
      <c r="CZ8" s="13"/>
      <c r="DA8" s="14"/>
      <c r="DB8" s="15"/>
      <c r="DC8" s="13"/>
      <c r="DD8" s="13"/>
      <c r="DE8" s="13"/>
      <c r="DF8" s="13"/>
      <c r="DG8" s="13"/>
      <c r="DH8" s="14"/>
      <c r="DI8" s="15"/>
      <c r="DJ8" s="13"/>
      <c r="DK8" s="13"/>
      <c r="DL8" s="15"/>
      <c r="DM8" s="13"/>
      <c r="DN8" s="13"/>
      <c r="DO8" s="13"/>
      <c r="DP8" s="13"/>
      <c r="DQ8" s="13"/>
      <c r="DR8" s="34"/>
      <c r="DS8" s="35"/>
      <c r="DT8" s="23"/>
      <c r="DU8" s="23"/>
      <c r="DV8" s="23"/>
      <c r="DW8" s="23"/>
      <c r="DX8" s="23"/>
      <c r="DY8" s="34"/>
      <c r="DZ8" s="35"/>
      <c r="EA8" s="23"/>
      <c r="EB8" s="23"/>
      <c r="EC8" s="23"/>
      <c r="ED8" s="23"/>
      <c r="EE8" s="23"/>
      <c r="EF8" s="34"/>
      <c r="EG8" s="35"/>
      <c r="EH8" s="23"/>
      <c r="EI8" s="23"/>
      <c r="EJ8" s="23"/>
      <c r="EK8" s="23"/>
      <c r="EL8" s="23"/>
      <c r="EM8" s="34"/>
      <c r="EN8" s="35"/>
      <c r="EO8" s="23"/>
      <c r="EP8" s="23"/>
      <c r="EQ8" s="23"/>
      <c r="ER8" s="23"/>
      <c r="ES8" s="23"/>
      <c r="ET8" s="23"/>
      <c r="EU8" s="23"/>
      <c r="EV8" s="14"/>
      <c r="EW8" s="15"/>
      <c r="EX8" s="23"/>
      <c r="EY8" s="23"/>
      <c r="EZ8" s="23"/>
      <c r="FA8" s="23"/>
      <c r="FB8" s="23"/>
      <c r="FC8" s="24"/>
      <c r="FD8" s="22"/>
      <c r="FE8" s="23"/>
      <c r="FF8" s="23"/>
      <c r="FG8" s="23"/>
      <c r="FH8" s="23"/>
      <c r="FI8" s="23"/>
      <c r="FJ8" s="24"/>
      <c r="FK8" s="22"/>
      <c r="FL8" s="23"/>
      <c r="FM8" s="23"/>
      <c r="FN8" s="23"/>
      <c r="FO8" s="23"/>
      <c r="FP8" s="23"/>
      <c r="FQ8" s="24"/>
      <c r="FR8" s="22"/>
      <c r="FS8" s="23"/>
      <c r="FT8" s="23"/>
      <c r="FU8" s="23"/>
      <c r="FV8" s="23"/>
      <c r="FW8" s="23"/>
      <c r="FX8" s="24"/>
      <c r="FY8" s="22"/>
      <c r="FZ8" s="23"/>
      <c r="GA8" s="23"/>
      <c r="GB8" s="23"/>
      <c r="GC8" s="23"/>
      <c r="GD8" s="23"/>
      <c r="GE8" s="24"/>
      <c r="GF8" s="22"/>
      <c r="GG8" s="23"/>
      <c r="GH8" s="23"/>
    </row>
    <row r="9" spans="1:190" ht="20.25" customHeight="1">
      <c r="A9" s="332"/>
      <c r="B9" s="101" t="s">
        <v>25</v>
      </c>
      <c r="C9" s="101" t="str">
        <f>C8</f>
        <v>1797</v>
      </c>
      <c r="D9" s="101" t="s">
        <v>67</v>
      </c>
      <c r="E9" s="337"/>
      <c r="F9" s="335"/>
      <c r="G9" s="374"/>
      <c r="H9" s="50" t="s">
        <v>60</v>
      </c>
      <c r="I9" s="46">
        <v>40451</v>
      </c>
      <c r="J9" s="47" t="s">
        <v>38</v>
      </c>
      <c r="K9" s="51"/>
      <c r="L9" s="47">
        <v>40417</v>
      </c>
      <c r="M9" s="47">
        <v>40418</v>
      </c>
      <c r="N9" s="47">
        <v>40415</v>
      </c>
      <c r="O9" s="47">
        <v>40413</v>
      </c>
      <c r="P9" s="47"/>
      <c r="Q9" s="46">
        <v>40424</v>
      </c>
      <c r="R9" s="46">
        <v>40426</v>
      </c>
      <c r="S9" s="105">
        <v>40423</v>
      </c>
      <c r="T9" s="105">
        <v>40428</v>
      </c>
      <c r="U9" s="13"/>
      <c r="V9" s="13"/>
      <c r="W9" s="13"/>
      <c r="X9" s="13"/>
      <c r="Y9" s="14"/>
      <c r="Z9" s="15"/>
      <c r="AA9" s="13"/>
      <c r="AB9" s="13"/>
      <c r="AC9" s="13"/>
      <c r="AD9" s="13"/>
      <c r="AE9" s="13"/>
      <c r="AF9" s="14"/>
      <c r="AG9" s="15"/>
      <c r="AH9" s="13"/>
      <c r="AI9" s="13"/>
      <c r="AJ9" s="13"/>
      <c r="AK9" s="13"/>
      <c r="AL9" s="13"/>
      <c r="AM9" s="14"/>
      <c r="AN9" s="15"/>
      <c r="AO9" s="13"/>
      <c r="AP9" s="15"/>
      <c r="AQ9" s="13"/>
      <c r="AR9" s="13"/>
      <c r="AS9" s="13"/>
      <c r="AT9" s="14"/>
      <c r="AU9" s="15"/>
      <c r="AV9" s="13"/>
      <c r="AW9" s="13"/>
      <c r="AX9" s="13"/>
      <c r="AY9" s="13"/>
      <c r="AZ9" s="13"/>
      <c r="BA9" s="14"/>
      <c r="BB9" s="15"/>
      <c r="BC9" s="13"/>
      <c r="BD9" s="13"/>
      <c r="BE9" s="13"/>
      <c r="BF9" s="13"/>
      <c r="BG9" s="13"/>
      <c r="BH9" s="14"/>
      <c r="BI9" s="15"/>
      <c r="BJ9" s="13"/>
      <c r="BK9" s="13"/>
      <c r="BL9" s="13"/>
      <c r="BM9" s="13"/>
      <c r="BN9" s="13"/>
      <c r="BO9" s="14"/>
      <c r="BP9" s="15"/>
      <c r="BQ9" s="13"/>
      <c r="BR9" s="13"/>
      <c r="BS9" s="13"/>
      <c r="BT9" s="13"/>
      <c r="BU9" s="13"/>
      <c r="BV9" s="14"/>
      <c r="BW9" s="15"/>
      <c r="BX9" s="13"/>
      <c r="BY9" s="13"/>
      <c r="BZ9" s="13"/>
      <c r="CA9" s="13"/>
      <c r="CB9" s="13"/>
      <c r="CC9" s="14"/>
      <c r="CD9" s="15"/>
      <c r="CE9" s="13"/>
      <c r="CF9" s="13"/>
      <c r="CG9" s="13"/>
      <c r="CH9" s="13"/>
      <c r="CI9" s="13"/>
      <c r="CJ9" s="14"/>
      <c r="CK9" s="15"/>
      <c r="CL9" s="13"/>
      <c r="CM9" s="13"/>
      <c r="CN9" s="13"/>
      <c r="CO9" s="13"/>
      <c r="CP9" s="13"/>
      <c r="CQ9" s="14"/>
      <c r="CR9" s="15"/>
      <c r="CS9" s="13"/>
      <c r="CT9" s="13"/>
      <c r="CU9" s="13"/>
      <c r="CV9" s="13"/>
      <c r="CW9" s="13"/>
      <c r="CX9" s="14"/>
      <c r="CY9" s="13"/>
      <c r="CZ9" s="13"/>
      <c r="DA9" s="14"/>
      <c r="DB9" s="15"/>
      <c r="DC9" s="13"/>
      <c r="DD9" s="13"/>
      <c r="DE9" s="13"/>
      <c r="DF9" s="13"/>
      <c r="DG9" s="13"/>
      <c r="DH9" s="14"/>
      <c r="DI9" s="15"/>
      <c r="DJ9" s="13"/>
      <c r="DK9" s="13"/>
      <c r="DL9" s="15"/>
      <c r="DM9" s="13"/>
      <c r="DN9" s="13"/>
      <c r="DO9" s="13"/>
      <c r="DP9" s="13"/>
      <c r="DQ9" s="13"/>
      <c r="DR9" s="34"/>
      <c r="DS9" s="35"/>
      <c r="DT9" s="23"/>
      <c r="DU9" s="23"/>
      <c r="DV9" s="23"/>
      <c r="DW9" s="23"/>
      <c r="DX9" s="23"/>
      <c r="DY9" s="34"/>
      <c r="DZ9" s="35"/>
      <c r="EA9" s="23"/>
      <c r="EB9" s="23"/>
      <c r="EC9" s="23"/>
      <c r="ED9" s="23"/>
      <c r="EE9" s="23"/>
      <c r="EF9" s="34"/>
      <c r="EG9" s="35"/>
      <c r="EH9" s="23"/>
      <c r="EI9" s="23"/>
      <c r="EJ9" s="23"/>
      <c r="EK9" s="23"/>
      <c r="EL9" s="23"/>
      <c r="EM9" s="34"/>
      <c r="EN9" s="35"/>
      <c r="EO9" s="23"/>
      <c r="EP9" s="23"/>
      <c r="EQ9" s="23"/>
      <c r="ER9" s="23"/>
      <c r="ES9" s="23"/>
      <c r="ET9" s="23"/>
      <c r="EU9" s="23"/>
      <c r="EV9" s="14"/>
      <c r="EW9" s="15"/>
      <c r="EX9" s="23"/>
      <c r="EY9" s="23"/>
      <c r="EZ9" s="23"/>
      <c r="FA9" s="23"/>
      <c r="FB9" s="23"/>
      <c r="FC9" s="24"/>
      <c r="FD9" s="22"/>
      <c r="FE9" s="23"/>
      <c r="FF9" s="23"/>
      <c r="FG9" s="23"/>
      <c r="FH9" s="23"/>
      <c r="FI9" s="23"/>
      <c r="FJ9" s="24"/>
      <c r="FK9" s="22"/>
      <c r="FL9" s="23"/>
      <c r="FM9" s="23"/>
      <c r="FN9" s="23"/>
      <c r="FO9" s="23"/>
      <c r="FP9" s="23"/>
      <c r="FQ9" s="24"/>
      <c r="FR9" s="22"/>
      <c r="FS9" s="23"/>
      <c r="FT9" s="23"/>
      <c r="FU9" s="23"/>
      <c r="FV9" s="23"/>
      <c r="FW9" s="23"/>
      <c r="FX9" s="24"/>
      <c r="FY9" s="22"/>
      <c r="FZ9" s="23"/>
      <c r="GA9" s="23"/>
      <c r="GB9" s="23"/>
      <c r="GC9" s="23"/>
      <c r="GD9" s="23"/>
      <c r="GE9" s="24"/>
      <c r="GF9" s="22"/>
      <c r="GG9" s="23"/>
      <c r="GH9" s="23"/>
    </row>
    <row r="10" spans="1:190" ht="18" customHeight="1">
      <c r="A10" s="332" t="s">
        <v>265</v>
      </c>
      <c r="B10" s="333" t="s">
        <v>25</v>
      </c>
      <c r="C10" s="330" t="s">
        <v>46</v>
      </c>
      <c r="D10" s="330" t="s">
        <v>155</v>
      </c>
      <c r="E10" s="336" t="s">
        <v>33</v>
      </c>
      <c r="F10" s="334">
        <v>6</v>
      </c>
      <c r="G10" s="352" t="s">
        <v>52</v>
      </c>
      <c r="H10" s="70" t="s">
        <v>17</v>
      </c>
      <c r="I10" s="46">
        <v>40457</v>
      </c>
      <c r="J10" s="47">
        <v>40428</v>
      </c>
      <c r="K10" s="51"/>
      <c r="L10" s="49" t="s">
        <v>3</v>
      </c>
      <c r="M10" s="49" t="s">
        <v>3</v>
      </c>
      <c r="N10" s="49" t="s">
        <v>3</v>
      </c>
      <c r="O10" s="49" t="s">
        <v>3</v>
      </c>
      <c r="P10" s="49" t="s">
        <v>8</v>
      </c>
      <c r="Q10" s="350">
        <v>40427</v>
      </c>
      <c r="R10" s="350">
        <v>40428</v>
      </c>
      <c r="S10" s="375">
        <v>40427</v>
      </c>
      <c r="T10" s="377">
        <v>40430</v>
      </c>
      <c r="U10" s="13"/>
      <c r="V10" s="13"/>
      <c r="W10" s="13"/>
      <c r="X10" s="13"/>
      <c r="Y10" s="14"/>
      <c r="Z10" s="15"/>
      <c r="AA10" s="13"/>
      <c r="AB10" s="13"/>
      <c r="AC10" s="13"/>
      <c r="AD10" s="13"/>
      <c r="AE10" s="13"/>
      <c r="AF10" s="14"/>
      <c r="AG10" s="15"/>
      <c r="AH10" s="13"/>
      <c r="AI10" s="13"/>
      <c r="AJ10" s="13"/>
      <c r="AK10" s="13"/>
      <c r="AL10" s="13"/>
      <c r="AM10" s="14"/>
      <c r="AN10" s="15"/>
      <c r="AO10" s="13"/>
      <c r="AP10" s="15"/>
      <c r="AQ10" s="13"/>
      <c r="AR10" s="13"/>
      <c r="AS10" s="13"/>
      <c r="AT10" s="14"/>
      <c r="AU10" s="15"/>
      <c r="AV10" s="13"/>
      <c r="AW10" s="13"/>
      <c r="AX10" s="13"/>
      <c r="AY10" s="13"/>
      <c r="AZ10" s="13"/>
      <c r="BA10" s="14"/>
      <c r="BB10" s="15"/>
      <c r="BC10" s="13"/>
      <c r="BD10" s="13"/>
      <c r="BE10" s="13"/>
      <c r="BF10" s="13"/>
      <c r="BG10" s="13"/>
      <c r="BH10" s="14"/>
      <c r="BI10" s="15"/>
      <c r="BJ10" s="13"/>
      <c r="BK10" s="13"/>
      <c r="BL10" s="13"/>
      <c r="BM10" s="13"/>
      <c r="BN10" s="13"/>
      <c r="BO10" s="14"/>
      <c r="BP10" s="15"/>
      <c r="BQ10" s="13"/>
      <c r="BR10" s="13"/>
      <c r="BS10" s="13"/>
      <c r="BT10" s="13"/>
      <c r="BU10" s="13"/>
      <c r="BV10" s="14"/>
      <c r="BW10" s="15"/>
      <c r="BX10" s="13"/>
      <c r="BY10" s="13"/>
      <c r="BZ10" s="13"/>
      <c r="CA10" s="13"/>
      <c r="CB10" s="13"/>
      <c r="CC10" s="14"/>
      <c r="CD10" s="15"/>
      <c r="CE10" s="13"/>
      <c r="CF10" s="13"/>
      <c r="CG10" s="13"/>
      <c r="CH10" s="13"/>
      <c r="CI10" s="13"/>
      <c r="CJ10" s="14"/>
      <c r="CK10" s="15"/>
      <c r="CL10" s="13"/>
      <c r="CM10" s="13"/>
      <c r="CN10" s="13"/>
      <c r="CO10" s="13"/>
      <c r="CP10" s="13"/>
      <c r="CQ10" s="14"/>
      <c r="CR10" s="15"/>
      <c r="CS10" s="13"/>
      <c r="CT10" s="13"/>
      <c r="CU10" s="13"/>
      <c r="CV10" s="13"/>
      <c r="CW10" s="13"/>
      <c r="CX10" s="14"/>
      <c r="CY10" s="13"/>
      <c r="CZ10" s="13"/>
      <c r="DA10" s="14"/>
      <c r="DB10" s="15"/>
      <c r="DC10" s="13"/>
      <c r="DD10" s="13"/>
      <c r="DE10" s="13"/>
      <c r="DF10" s="13"/>
      <c r="DG10" s="13"/>
      <c r="DH10" s="14"/>
      <c r="DI10" s="15"/>
      <c r="DJ10" s="13"/>
      <c r="DK10" s="13"/>
      <c r="DL10" s="15"/>
      <c r="DM10" s="13"/>
      <c r="DN10" s="13"/>
      <c r="DO10" s="13"/>
      <c r="DP10" s="13"/>
      <c r="DQ10" s="13"/>
      <c r="DR10" s="34"/>
      <c r="DS10" s="35"/>
      <c r="DT10" s="23"/>
      <c r="DU10" s="23"/>
      <c r="DV10" s="23"/>
      <c r="DW10" s="23"/>
      <c r="DX10" s="23"/>
      <c r="DY10" s="34"/>
      <c r="DZ10" s="35"/>
      <c r="EA10" s="23"/>
      <c r="EB10" s="23"/>
      <c r="EC10" s="23"/>
      <c r="ED10" s="23"/>
      <c r="EE10" s="23"/>
      <c r="EF10" s="34"/>
      <c r="EG10" s="35"/>
      <c r="EH10" s="23"/>
      <c r="EI10" s="23"/>
      <c r="EJ10" s="23"/>
      <c r="EK10" s="23"/>
      <c r="EL10" s="23"/>
      <c r="EM10" s="34"/>
      <c r="EN10" s="35"/>
      <c r="EO10" s="23"/>
      <c r="EP10" s="23"/>
      <c r="EQ10" s="23"/>
      <c r="ER10" s="23"/>
      <c r="ES10" s="23"/>
      <c r="ET10" s="23"/>
      <c r="EU10" s="23"/>
      <c r="EV10" s="14"/>
      <c r="EW10" s="15"/>
      <c r="EX10" s="23"/>
      <c r="EY10" s="23"/>
      <c r="EZ10" s="23"/>
      <c r="FA10" s="23"/>
      <c r="FB10" s="23"/>
      <c r="FC10" s="24"/>
      <c r="FD10" s="22"/>
      <c r="FE10" s="23"/>
      <c r="FF10" s="23"/>
      <c r="FG10" s="23"/>
      <c r="FH10" s="23"/>
      <c r="FI10" s="23"/>
      <c r="FJ10" s="24"/>
      <c r="FK10" s="22"/>
      <c r="FL10" s="23"/>
      <c r="FM10" s="23"/>
      <c r="FN10" s="23"/>
      <c r="FO10" s="23"/>
      <c r="FP10" s="23"/>
      <c r="FQ10" s="24"/>
      <c r="FR10" s="22"/>
      <c r="FS10" s="23"/>
      <c r="FT10" s="23"/>
      <c r="FU10" s="23"/>
      <c r="FV10" s="23"/>
      <c r="FW10" s="23"/>
      <c r="FX10" s="24"/>
      <c r="FY10" s="22"/>
      <c r="FZ10" s="23"/>
      <c r="GA10" s="23"/>
      <c r="GB10" s="23"/>
      <c r="GC10" s="23"/>
      <c r="GD10" s="23"/>
      <c r="GE10" s="24"/>
      <c r="GF10" s="22"/>
      <c r="GG10" s="23"/>
      <c r="GH10" s="23"/>
    </row>
    <row r="11" spans="1:190" ht="16.5" customHeight="1">
      <c r="A11" s="332"/>
      <c r="B11" s="333"/>
      <c r="C11" s="331"/>
      <c r="D11" s="331"/>
      <c r="E11" s="337"/>
      <c r="F11" s="335"/>
      <c r="G11" s="353"/>
      <c r="H11" s="50" t="s">
        <v>61</v>
      </c>
      <c r="I11" s="46">
        <v>40452</v>
      </c>
      <c r="J11" s="47" t="s">
        <v>289</v>
      </c>
      <c r="K11" s="51"/>
      <c r="L11" s="47">
        <v>40421</v>
      </c>
      <c r="M11" s="47">
        <v>40421</v>
      </c>
      <c r="N11" s="46">
        <v>40421</v>
      </c>
      <c r="O11" s="47">
        <v>40421</v>
      </c>
      <c r="P11" s="47"/>
      <c r="Q11" s="351"/>
      <c r="R11" s="351"/>
      <c r="S11" s="376"/>
      <c r="T11" s="378"/>
      <c r="U11" s="13"/>
      <c r="V11" s="13"/>
      <c r="W11" s="13"/>
      <c r="X11" s="13"/>
      <c r="Y11" s="14"/>
      <c r="Z11" s="15"/>
      <c r="AA11" s="13"/>
      <c r="AB11" s="13"/>
      <c r="AC11" s="13"/>
      <c r="AD11" s="13"/>
      <c r="AE11" s="13"/>
      <c r="AF11" s="14"/>
      <c r="AG11" s="15"/>
      <c r="AH11" s="13"/>
      <c r="AI11" s="13"/>
      <c r="AJ11" s="13"/>
      <c r="AK11" s="13"/>
      <c r="AL11" s="13"/>
      <c r="AM11" s="14"/>
      <c r="AN11" s="15"/>
      <c r="AO11" s="13"/>
      <c r="AP11" s="15"/>
      <c r="AQ11" s="13"/>
      <c r="AR11" s="13"/>
      <c r="AS11" s="13"/>
      <c r="AT11" s="14"/>
      <c r="AU11" s="15"/>
      <c r="AV11" s="13"/>
      <c r="AW11" s="13"/>
      <c r="AX11" s="13"/>
      <c r="AY11" s="13"/>
      <c r="AZ11" s="13"/>
      <c r="BA11" s="14"/>
      <c r="BB11" s="15"/>
      <c r="BC11" s="13"/>
      <c r="BD11" s="13"/>
      <c r="BE11" s="13"/>
      <c r="BF11" s="13"/>
      <c r="BG11" s="13"/>
      <c r="BH11" s="14"/>
      <c r="BI11" s="15"/>
      <c r="BJ11" s="13"/>
      <c r="BK11" s="13"/>
      <c r="BL11" s="13"/>
      <c r="BM11" s="13"/>
      <c r="BN11" s="13"/>
      <c r="BO11" s="14"/>
      <c r="BP11" s="15"/>
      <c r="BQ11" s="13"/>
      <c r="BR11" s="13"/>
      <c r="BS11" s="13"/>
      <c r="BT11" s="13"/>
      <c r="BU11" s="13"/>
      <c r="BV11" s="14"/>
      <c r="BW11" s="15"/>
      <c r="BX11" s="13"/>
      <c r="BY11" s="13"/>
      <c r="BZ11" s="13"/>
      <c r="CA11" s="13"/>
      <c r="CB11" s="13"/>
      <c r="CC11" s="14"/>
      <c r="CD11" s="15"/>
      <c r="CE11" s="13"/>
      <c r="CF11" s="13"/>
      <c r="CG11" s="13"/>
      <c r="CH11" s="13"/>
      <c r="CI11" s="13"/>
      <c r="CJ11" s="14"/>
      <c r="CK11" s="15"/>
      <c r="CL11" s="13"/>
      <c r="CM11" s="13"/>
      <c r="CN11" s="13"/>
      <c r="CO11" s="13"/>
      <c r="CP11" s="13"/>
      <c r="CQ11" s="14"/>
      <c r="CR11" s="15"/>
      <c r="CS11" s="13"/>
      <c r="CT11" s="13"/>
      <c r="CU11" s="13"/>
      <c r="CV11" s="13"/>
      <c r="CW11" s="13"/>
      <c r="CX11" s="14"/>
      <c r="CY11" s="13"/>
      <c r="CZ11" s="13"/>
      <c r="DA11" s="14"/>
      <c r="DB11" s="15"/>
      <c r="DC11" s="13"/>
      <c r="DD11" s="13"/>
      <c r="DE11" s="13"/>
      <c r="DF11" s="13"/>
      <c r="DG11" s="13"/>
      <c r="DH11" s="14"/>
      <c r="DI11" s="15"/>
      <c r="DJ11" s="13"/>
      <c r="DK11" s="13"/>
      <c r="DL11" s="15"/>
      <c r="DM11" s="13"/>
      <c r="DN11" s="13"/>
      <c r="DO11" s="13"/>
      <c r="DP11" s="13"/>
      <c r="DQ11" s="13"/>
      <c r="DR11" s="34"/>
      <c r="DS11" s="35"/>
      <c r="DT11" s="23"/>
      <c r="DU11" s="23"/>
      <c r="DV11" s="23"/>
      <c r="DW11" s="23"/>
      <c r="DX11" s="23"/>
      <c r="DY11" s="34"/>
      <c r="DZ11" s="35"/>
      <c r="EA11" s="23"/>
      <c r="EB11" s="23"/>
      <c r="EC11" s="23"/>
      <c r="ED11" s="23"/>
      <c r="EE11" s="23"/>
      <c r="EF11" s="34"/>
      <c r="EG11" s="35"/>
      <c r="EH11" s="23"/>
      <c r="EI11" s="23"/>
      <c r="EJ11" s="23"/>
      <c r="EK11" s="23"/>
      <c r="EL11" s="23"/>
      <c r="EM11" s="34"/>
      <c r="EN11" s="35"/>
      <c r="EO11" s="23"/>
      <c r="EP11" s="23"/>
      <c r="EQ11" s="23"/>
      <c r="ER11" s="23"/>
      <c r="ES11" s="23"/>
      <c r="ET11" s="23"/>
      <c r="EU11" s="23"/>
      <c r="EV11" s="14"/>
      <c r="EW11" s="15"/>
      <c r="EX11" s="23"/>
      <c r="EY11" s="23"/>
      <c r="EZ11" s="23"/>
      <c r="FA11" s="23"/>
      <c r="FB11" s="23"/>
      <c r="FC11" s="24"/>
      <c r="FD11" s="22"/>
      <c r="FE11" s="23"/>
      <c r="FF11" s="23"/>
      <c r="FG11" s="23"/>
      <c r="FH11" s="23"/>
      <c r="FI11" s="23"/>
      <c r="FJ11" s="24"/>
      <c r="FK11" s="22"/>
      <c r="FL11" s="23"/>
      <c r="FM11" s="23"/>
      <c r="FN11" s="23"/>
      <c r="FO11" s="23"/>
      <c r="FP11" s="23"/>
      <c r="FQ11" s="24"/>
      <c r="FR11" s="22"/>
      <c r="FS11" s="23"/>
      <c r="FT11" s="23"/>
      <c r="FU11" s="23"/>
      <c r="FV11" s="23"/>
      <c r="FW11" s="23"/>
      <c r="FX11" s="24"/>
      <c r="FY11" s="22"/>
      <c r="FZ11" s="23"/>
      <c r="GA11" s="23"/>
      <c r="GB11" s="23"/>
      <c r="GC11" s="23"/>
      <c r="GD11" s="23"/>
      <c r="GE11" s="24"/>
      <c r="GF11" s="22"/>
      <c r="GG11" s="23"/>
      <c r="GH11" s="23"/>
    </row>
    <row r="12" spans="1:190" ht="20.25" customHeight="1">
      <c r="A12" s="332" t="s">
        <v>266</v>
      </c>
      <c r="B12" s="101" t="s">
        <v>25</v>
      </c>
      <c r="C12" s="101" t="s">
        <v>46</v>
      </c>
      <c r="D12" s="101" t="s">
        <v>70</v>
      </c>
      <c r="E12" s="336" t="s">
        <v>33</v>
      </c>
      <c r="F12" s="334">
        <v>61</v>
      </c>
      <c r="G12" s="352" t="s">
        <v>52</v>
      </c>
      <c r="H12" s="70" t="s">
        <v>17</v>
      </c>
      <c r="I12" s="46">
        <v>40459</v>
      </c>
      <c r="J12" s="47">
        <v>40429</v>
      </c>
      <c r="K12" s="51"/>
      <c r="L12" s="49" t="s">
        <v>3</v>
      </c>
      <c r="M12" s="49" t="s">
        <v>3</v>
      </c>
      <c r="N12" s="49" t="s">
        <v>3</v>
      </c>
      <c r="O12" s="49" t="s">
        <v>3</v>
      </c>
      <c r="P12" s="49" t="s">
        <v>8</v>
      </c>
      <c r="Q12" s="46">
        <v>40427</v>
      </c>
      <c r="R12" s="46">
        <v>40429</v>
      </c>
      <c r="S12" s="105">
        <v>40427</v>
      </c>
      <c r="T12" s="109">
        <v>40429</v>
      </c>
    </row>
    <row r="13" spans="1:190" ht="20.25" customHeight="1">
      <c r="A13" s="332"/>
      <c r="B13" s="101" t="s">
        <v>25</v>
      </c>
      <c r="C13" s="101" t="str">
        <f>C12</f>
        <v>1755</v>
      </c>
      <c r="D13" s="101" t="s">
        <v>71</v>
      </c>
      <c r="E13" s="337"/>
      <c r="F13" s="335"/>
      <c r="G13" s="353"/>
      <c r="H13" s="50" t="s">
        <v>63</v>
      </c>
      <c r="I13" s="46">
        <v>40452</v>
      </c>
      <c r="J13" s="47" t="s">
        <v>51</v>
      </c>
      <c r="K13" s="51"/>
      <c r="L13" s="47">
        <v>40420</v>
      </c>
      <c r="M13" s="47">
        <v>40421</v>
      </c>
      <c r="N13" s="46">
        <v>40416</v>
      </c>
      <c r="O13" s="47">
        <v>40416</v>
      </c>
      <c r="P13" s="47"/>
      <c r="Q13" s="46">
        <v>40427</v>
      </c>
      <c r="R13" s="46">
        <v>40429</v>
      </c>
      <c r="S13" s="105">
        <v>40427</v>
      </c>
      <c r="T13" s="109">
        <v>40429</v>
      </c>
    </row>
    <row r="14" spans="1:190" ht="20.25" customHeight="1">
      <c r="A14" s="332" t="s">
        <v>267</v>
      </c>
      <c r="B14" s="101" t="s">
        <v>119</v>
      </c>
      <c r="C14" s="101" t="s">
        <v>133</v>
      </c>
      <c r="D14" s="101" t="s">
        <v>134</v>
      </c>
      <c r="E14" s="336" t="s">
        <v>33</v>
      </c>
      <c r="F14" s="334">
        <v>66</v>
      </c>
      <c r="G14" s="352" t="s">
        <v>52</v>
      </c>
      <c r="H14" s="70" t="s">
        <v>17</v>
      </c>
      <c r="I14" s="46">
        <v>40459</v>
      </c>
      <c r="J14" s="47">
        <v>40429</v>
      </c>
      <c r="K14" s="51"/>
      <c r="L14" s="49" t="s">
        <v>3</v>
      </c>
      <c r="M14" s="49" t="s">
        <v>3</v>
      </c>
      <c r="N14" s="49" t="s">
        <v>3</v>
      </c>
      <c r="O14" s="49" t="s">
        <v>3</v>
      </c>
      <c r="P14" s="49" t="s">
        <v>8</v>
      </c>
      <c r="Q14" s="46">
        <v>40427</v>
      </c>
      <c r="R14" s="46">
        <v>40429</v>
      </c>
      <c r="S14" s="105">
        <v>40427</v>
      </c>
      <c r="T14" s="109">
        <v>40430</v>
      </c>
    </row>
    <row r="15" spans="1:190" ht="20.25" customHeight="1">
      <c r="A15" s="332"/>
      <c r="B15" s="101" t="s">
        <v>119</v>
      </c>
      <c r="C15" s="101" t="s">
        <v>133</v>
      </c>
      <c r="D15" s="101" t="s">
        <v>135</v>
      </c>
      <c r="E15" s="337"/>
      <c r="F15" s="335"/>
      <c r="G15" s="353"/>
      <c r="H15" s="50" t="s">
        <v>136</v>
      </c>
      <c r="I15" s="46">
        <v>40457</v>
      </c>
      <c r="J15" s="47" t="s">
        <v>51</v>
      </c>
      <c r="K15" s="51"/>
      <c r="L15" s="47">
        <v>40420</v>
      </c>
      <c r="M15" s="47">
        <v>40421</v>
      </c>
      <c r="N15" s="46">
        <v>40416</v>
      </c>
      <c r="O15" s="47">
        <v>40416</v>
      </c>
      <c r="P15" s="47"/>
      <c r="Q15" s="46">
        <v>40427</v>
      </c>
      <c r="R15" s="46">
        <v>40430</v>
      </c>
      <c r="S15" s="105">
        <v>40427</v>
      </c>
      <c r="T15" s="109">
        <v>40430</v>
      </c>
    </row>
    <row r="16" spans="1:190" ht="20.25" customHeight="1">
      <c r="A16" s="332" t="s">
        <v>261</v>
      </c>
      <c r="B16" s="101" t="s">
        <v>39</v>
      </c>
      <c r="C16" s="101" t="s">
        <v>40</v>
      </c>
      <c r="D16" s="101" t="s">
        <v>69</v>
      </c>
      <c r="E16" s="336" t="s">
        <v>33</v>
      </c>
      <c r="F16" s="334">
        <v>269.8</v>
      </c>
      <c r="G16" s="373" t="s">
        <v>35</v>
      </c>
      <c r="H16" s="70" t="s">
        <v>17</v>
      </c>
      <c r="I16" s="46">
        <v>40496</v>
      </c>
      <c r="J16" s="47">
        <v>40418</v>
      </c>
      <c r="K16" s="51"/>
      <c r="L16" s="49" t="s">
        <v>3</v>
      </c>
      <c r="M16" s="49" t="s">
        <v>3</v>
      </c>
      <c r="N16" s="49" t="s">
        <v>3</v>
      </c>
      <c r="O16" s="49" t="s">
        <v>8</v>
      </c>
      <c r="P16" s="49" t="s">
        <v>3</v>
      </c>
      <c r="Q16" s="46">
        <v>40423</v>
      </c>
      <c r="R16" s="46">
        <v>40426</v>
      </c>
      <c r="S16" s="105">
        <v>40422</v>
      </c>
      <c r="T16" s="109">
        <v>40434</v>
      </c>
    </row>
    <row r="17" spans="1:190" ht="20.25" customHeight="1">
      <c r="A17" s="332"/>
      <c r="B17" s="101" t="s">
        <v>39</v>
      </c>
      <c r="C17" s="101" t="str">
        <f>C16</f>
        <v>4023</v>
      </c>
      <c r="D17" s="101" t="s">
        <v>68</v>
      </c>
      <c r="E17" s="337"/>
      <c r="F17" s="335"/>
      <c r="G17" s="374"/>
      <c r="H17" s="50" t="s">
        <v>53</v>
      </c>
      <c r="I17" s="46">
        <v>40444</v>
      </c>
      <c r="J17" s="47" t="s">
        <v>41</v>
      </c>
      <c r="K17" s="51"/>
      <c r="L17" s="47">
        <v>40427</v>
      </c>
      <c r="M17" s="47">
        <v>40420</v>
      </c>
      <c r="N17" s="47">
        <v>40418</v>
      </c>
      <c r="O17" s="47"/>
      <c r="P17" s="47">
        <v>40429</v>
      </c>
      <c r="Q17" s="46">
        <v>40423</v>
      </c>
      <c r="R17" s="46">
        <v>40426</v>
      </c>
      <c r="S17" s="105">
        <v>40422</v>
      </c>
      <c r="T17" s="109">
        <v>40434</v>
      </c>
    </row>
    <row r="18" spans="1:190" ht="18" customHeight="1">
      <c r="A18" s="332" t="s">
        <v>262</v>
      </c>
      <c r="B18" s="333" t="s">
        <v>39</v>
      </c>
      <c r="C18" s="330" t="s">
        <v>47</v>
      </c>
      <c r="D18" s="330" t="s">
        <v>44</v>
      </c>
      <c r="E18" s="336" t="s">
        <v>33</v>
      </c>
      <c r="F18" s="334">
        <v>50.5</v>
      </c>
      <c r="G18" s="352" t="s">
        <v>184</v>
      </c>
      <c r="H18" s="70" t="s">
        <v>17</v>
      </c>
      <c r="I18" s="46">
        <v>40496</v>
      </c>
      <c r="J18" s="47">
        <v>40428</v>
      </c>
      <c r="K18" s="69"/>
      <c r="L18" s="49" t="s">
        <v>3</v>
      </c>
      <c r="M18" s="49" t="s">
        <v>3</v>
      </c>
      <c r="N18" s="49" t="s">
        <v>3</v>
      </c>
      <c r="O18" s="49" t="s">
        <v>8</v>
      </c>
      <c r="P18" s="49" t="s">
        <v>8</v>
      </c>
      <c r="Q18" s="350">
        <v>40432</v>
      </c>
      <c r="R18" s="350">
        <v>40434</v>
      </c>
      <c r="S18" s="375">
        <v>40427</v>
      </c>
      <c r="T18" s="377">
        <v>40434</v>
      </c>
      <c r="U18" s="5"/>
      <c r="V18" s="5"/>
      <c r="W18" s="5"/>
      <c r="X18" s="5"/>
      <c r="Y18" s="6"/>
      <c r="Z18" s="7"/>
      <c r="AA18" s="5"/>
      <c r="AB18" s="5"/>
      <c r="AC18" s="5"/>
      <c r="AD18" s="5"/>
      <c r="AE18" s="5"/>
      <c r="AF18" s="6"/>
      <c r="AG18" s="7"/>
      <c r="AH18" s="5"/>
      <c r="AI18" s="5"/>
      <c r="AJ18" s="5"/>
      <c r="AK18" s="5"/>
      <c r="AL18" s="5"/>
      <c r="AM18" s="6"/>
      <c r="AN18" s="7"/>
      <c r="AO18" s="5"/>
      <c r="AP18" s="7"/>
      <c r="AQ18" s="5"/>
      <c r="AR18" s="5"/>
      <c r="AS18" s="5"/>
      <c r="AT18" s="6"/>
      <c r="AU18" s="7"/>
      <c r="AV18" s="5"/>
      <c r="AW18" s="5"/>
      <c r="AX18" s="5"/>
      <c r="AY18" s="5"/>
      <c r="AZ18" s="5"/>
      <c r="BA18" s="6"/>
      <c r="BB18" s="7"/>
      <c r="BC18" s="5"/>
      <c r="BD18" s="5"/>
      <c r="BE18" s="5"/>
      <c r="BF18" s="5"/>
      <c r="BG18" s="5"/>
      <c r="BH18" s="6"/>
      <c r="BI18" s="7"/>
      <c r="BJ18" s="5"/>
      <c r="BK18" s="5"/>
      <c r="BL18" s="5"/>
      <c r="BM18" s="5"/>
      <c r="BN18" s="5"/>
      <c r="BO18" s="6"/>
      <c r="BP18" s="7"/>
      <c r="BQ18" s="5"/>
      <c r="BR18" s="5"/>
      <c r="BS18" s="5"/>
      <c r="BT18" s="5"/>
      <c r="BU18" s="5"/>
      <c r="BV18" s="6"/>
      <c r="BW18" s="7"/>
      <c r="BX18" s="5"/>
      <c r="BY18" s="5"/>
      <c r="BZ18" s="5"/>
      <c r="CA18" s="5"/>
      <c r="CB18" s="5"/>
      <c r="CC18" s="6"/>
      <c r="CD18" s="7"/>
      <c r="CE18" s="5"/>
      <c r="CF18" s="5"/>
      <c r="CG18" s="5"/>
      <c r="CH18" s="5"/>
      <c r="CI18" s="5"/>
      <c r="CJ18" s="6"/>
      <c r="CK18" s="7"/>
      <c r="CL18" s="5"/>
      <c r="CM18" s="5"/>
      <c r="CN18" s="5"/>
      <c r="CO18" s="5"/>
      <c r="CP18" s="5"/>
      <c r="CQ18" s="6"/>
      <c r="CR18" s="7"/>
      <c r="CS18" s="5"/>
      <c r="CT18" s="5"/>
      <c r="CU18" s="5"/>
      <c r="CV18" s="5"/>
      <c r="CW18" s="13"/>
      <c r="CX18" s="14"/>
      <c r="CY18" s="13"/>
      <c r="CZ18" s="13"/>
      <c r="DA18" s="14"/>
      <c r="DB18" s="15"/>
      <c r="DC18" s="13"/>
      <c r="DD18" s="13"/>
      <c r="DE18" s="13"/>
      <c r="DF18" s="13"/>
      <c r="DG18" s="13"/>
      <c r="DH18" s="14"/>
      <c r="DI18" s="15"/>
      <c r="DJ18" s="13"/>
      <c r="DK18" s="13"/>
      <c r="DL18" s="15"/>
      <c r="DM18" s="13"/>
      <c r="DN18" s="13"/>
      <c r="DO18" s="13"/>
      <c r="DP18" s="13"/>
      <c r="DQ18" s="13"/>
      <c r="DR18" s="34"/>
      <c r="DS18" s="35"/>
      <c r="DT18" s="23"/>
      <c r="DU18" s="23"/>
      <c r="DV18" s="23"/>
      <c r="DW18" s="23"/>
      <c r="DX18" s="23"/>
      <c r="DY18" s="34"/>
      <c r="DZ18" s="35"/>
      <c r="EA18" s="23"/>
      <c r="EB18" s="23"/>
      <c r="EC18" s="23"/>
      <c r="ED18" s="23"/>
      <c r="EE18" s="23"/>
      <c r="EF18" s="34"/>
      <c r="EG18" s="35"/>
      <c r="EH18" s="23"/>
      <c r="EI18" s="23"/>
      <c r="EJ18" s="23"/>
      <c r="EK18" s="23"/>
      <c r="EL18" s="23"/>
      <c r="EM18" s="34"/>
      <c r="EN18" s="35"/>
      <c r="EO18" s="23"/>
      <c r="EP18" s="23"/>
      <c r="EQ18" s="23"/>
      <c r="ER18" s="23"/>
      <c r="ES18" s="23"/>
      <c r="ET18" s="23"/>
      <c r="EU18" s="23"/>
      <c r="EV18" s="14"/>
      <c r="EW18" s="15"/>
      <c r="EX18" s="23"/>
      <c r="EY18" s="23"/>
      <c r="EZ18" s="23"/>
      <c r="FA18" s="23"/>
      <c r="FB18" s="23"/>
      <c r="FC18" s="24"/>
      <c r="FD18" s="22"/>
      <c r="FE18" s="23"/>
      <c r="FF18" s="23"/>
      <c r="FG18" s="23"/>
      <c r="FH18" s="23"/>
      <c r="FI18" s="23"/>
      <c r="FJ18" s="24"/>
      <c r="FK18" s="22"/>
      <c r="FL18" s="23"/>
      <c r="FM18" s="23"/>
      <c r="FN18" s="23"/>
      <c r="FO18" s="23"/>
      <c r="FP18" s="23"/>
      <c r="FQ18" s="24"/>
      <c r="FR18" s="22"/>
      <c r="FS18" s="23"/>
      <c r="FT18" s="23"/>
      <c r="FU18" s="23"/>
      <c r="FV18" s="23"/>
      <c r="FW18" s="23"/>
      <c r="FX18" s="24"/>
      <c r="FY18" s="22"/>
      <c r="FZ18" s="23"/>
      <c r="GA18" s="23"/>
      <c r="GB18" s="23"/>
      <c r="GC18" s="23"/>
      <c r="GD18" s="23"/>
      <c r="GE18" s="24"/>
      <c r="GF18" s="22"/>
      <c r="GG18" s="23"/>
      <c r="GH18" s="23"/>
    </row>
    <row r="19" spans="1:190" ht="15" customHeight="1">
      <c r="A19" s="332"/>
      <c r="B19" s="333"/>
      <c r="C19" s="331"/>
      <c r="D19" s="331"/>
      <c r="E19" s="337"/>
      <c r="F19" s="335"/>
      <c r="G19" s="353"/>
      <c r="H19" s="50" t="s">
        <v>62</v>
      </c>
      <c r="I19" s="46">
        <v>40452</v>
      </c>
      <c r="J19" s="47" t="s">
        <v>38</v>
      </c>
      <c r="K19" s="69"/>
      <c r="L19" s="47">
        <v>40430</v>
      </c>
      <c r="M19" s="47">
        <v>40420</v>
      </c>
      <c r="N19" s="47">
        <v>40417</v>
      </c>
      <c r="O19" s="47"/>
      <c r="P19" s="47"/>
      <c r="Q19" s="351"/>
      <c r="R19" s="351"/>
      <c r="S19" s="376"/>
      <c r="T19" s="378"/>
      <c r="U19" s="5"/>
      <c r="V19" s="5"/>
      <c r="W19" s="5"/>
      <c r="X19" s="5"/>
      <c r="Y19" s="6"/>
      <c r="Z19" s="7"/>
      <c r="AA19" s="5"/>
      <c r="AB19" s="5"/>
      <c r="AC19" s="5"/>
      <c r="AD19" s="5"/>
      <c r="AE19" s="5"/>
      <c r="AF19" s="6"/>
      <c r="AG19" s="7"/>
      <c r="AH19" s="5"/>
      <c r="AI19" s="5"/>
      <c r="AJ19" s="5"/>
      <c r="AK19" s="5"/>
      <c r="AL19" s="5"/>
      <c r="AM19" s="6"/>
      <c r="AN19" s="7"/>
      <c r="AO19" s="5"/>
      <c r="AP19" s="7"/>
      <c r="AQ19" s="5"/>
      <c r="AR19" s="5"/>
      <c r="AS19" s="5"/>
      <c r="AT19" s="6"/>
      <c r="AU19" s="7"/>
      <c r="AV19" s="5"/>
      <c r="AW19" s="5"/>
      <c r="AX19" s="5"/>
      <c r="AY19" s="5"/>
      <c r="AZ19" s="5"/>
      <c r="BA19" s="6"/>
      <c r="BB19" s="7"/>
      <c r="BC19" s="5"/>
      <c r="BD19" s="5"/>
      <c r="BE19" s="5"/>
      <c r="BF19" s="5"/>
      <c r="BG19" s="5"/>
      <c r="BH19" s="6"/>
      <c r="BI19" s="7"/>
      <c r="BJ19" s="5"/>
      <c r="BK19" s="5"/>
      <c r="BL19" s="5"/>
      <c r="BM19" s="5"/>
      <c r="BN19" s="5"/>
      <c r="BO19" s="6"/>
      <c r="BP19" s="7"/>
      <c r="BQ19" s="5"/>
      <c r="BR19" s="5"/>
      <c r="BS19" s="5"/>
      <c r="BT19" s="5"/>
      <c r="BU19" s="5"/>
      <c r="BV19" s="6"/>
      <c r="BW19" s="7"/>
      <c r="BX19" s="5"/>
      <c r="BY19" s="5"/>
      <c r="BZ19" s="5"/>
      <c r="CA19" s="5"/>
      <c r="CB19" s="5"/>
      <c r="CC19" s="6"/>
      <c r="CD19" s="7"/>
      <c r="CE19" s="5"/>
      <c r="CF19" s="5"/>
      <c r="CG19" s="5"/>
      <c r="CH19" s="5"/>
      <c r="CI19" s="5"/>
      <c r="CJ19" s="6"/>
      <c r="CK19" s="7"/>
      <c r="CL19" s="5"/>
      <c r="CM19" s="5"/>
      <c r="CN19" s="5"/>
      <c r="CO19" s="5"/>
      <c r="CP19" s="5"/>
      <c r="CQ19" s="6"/>
      <c r="CR19" s="7"/>
      <c r="CS19" s="5"/>
      <c r="CT19" s="5"/>
      <c r="CU19" s="5"/>
      <c r="CV19" s="5"/>
      <c r="CW19" s="13"/>
      <c r="CX19" s="14"/>
      <c r="CY19" s="13"/>
      <c r="CZ19" s="13"/>
      <c r="DA19" s="14"/>
      <c r="DB19" s="15"/>
      <c r="DC19" s="13"/>
      <c r="DD19" s="13"/>
      <c r="DE19" s="13"/>
      <c r="DF19" s="13"/>
      <c r="DG19" s="13"/>
      <c r="DH19" s="14"/>
      <c r="DI19" s="15"/>
      <c r="DJ19" s="13"/>
      <c r="DK19" s="13"/>
      <c r="DL19" s="15"/>
      <c r="DM19" s="13"/>
      <c r="DN19" s="13"/>
      <c r="DO19" s="13"/>
      <c r="DP19" s="13"/>
      <c r="DQ19" s="13"/>
      <c r="DR19" s="34"/>
      <c r="DS19" s="35"/>
      <c r="DT19" s="23"/>
      <c r="DU19" s="23"/>
      <c r="DV19" s="23"/>
      <c r="DW19" s="23"/>
      <c r="DX19" s="23"/>
      <c r="DY19" s="34"/>
      <c r="DZ19" s="35"/>
      <c r="EA19" s="23"/>
      <c r="EB19" s="23"/>
      <c r="EC19" s="23"/>
      <c r="ED19" s="23"/>
      <c r="EE19" s="23"/>
      <c r="EF19" s="34"/>
      <c r="EG19" s="35"/>
      <c r="EH19" s="23"/>
      <c r="EI19" s="23"/>
      <c r="EJ19" s="23"/>
      <c r="EK19" s="23"/>
      <c r="EL19" s="23"/>
      <c r="EM19" s="34"/>
      <c r="EN19" s="35"/>
      <c r="EO19" s="23"/>
      <c r="EP19" s="23"/>
      <c r="EQ19" s="23"/>
      <c r="ER19" s="23"/>
      <c r="ES19" s="23"/>
      <c r="ET19" s="23"/>
      <c r="EU19" s="23"/>
      <c r="EV19" s="14"/>
      <c r="EW19" s="15"/>
      <c r="EX19" s="23"/>
      <c r="EY19" s="23"/>
      <c r="EZ19" s="23"/>
      <c r="FA19" s="23"/>
      <c r="FB19" s="23"/>
      <c r="FC19" s="24"/>
      <c r="FD19" s="22"/>
      <c r="FE19" s="23"/>
      <c r="FF19" s="23"/>
      <c r="FG19" s="23"/>
      <c r="FH19" s="23"/>
      <c r="FI19" s="23"/>
      <c r="FJ19" s="24"/>
      <c r="FK19" s="22"/>
      <c r="FL19" s="23"/>
      <c r="FM19" s="23"/>
      <c r="FN19" s="23"/>
      <c r="FO19" s="23"/>
      <c r="FP19" s="23"/>
      <c r="FQ19" s="24"/>
      <c r="FR19" s="22"/>
      <c r="FS19" s="23"/>
      <c r="FT19" s="23"/>
      <c r="FU19" s="23"/>
      <c r="FV19" s="23"/>
      <c r="FW19" s="23"/>
      <c r="FX19" s="24"/>
      <c r="FY19" s="22"/>
      <c r="FZ19" s="23"/>
      <c r="GA19" s="23"/>
      <c r="GB19" s="23"/>
      <c r="GC19" s="23"/>
      <c r="GD19" s="23"/>
      <c r="GE19" s="24"/>
      <c r="GF19" s="22"/>
      <c r="GG19" s="23"/>
      <c r="GH19" s="23"/>
    </row>
    <row r="20" spans="1:190" ht="16.5" customHeight="1">
      <c r="A20" s="332" t="s">
        <v>263</v>
      </c>
      <c r="B20" s="333" t="s">
        <v>39</v>
      </c>
      <c r="C20" s="330" t="s">
        <v>47</v>
      </c>
      <c r="D20" s="330" t="s">
        <v>54</v>
      </c>
      <c r="E20" s="336" t="s">
        <v>33</v>
      </c>
      <c r="F20" s="334">
        <v>53.1</v>
      </c>
      <c r="G20" s="352" t="s">
        <v>26</v>
      </c>
      <c r="H20" s="70" t="s">
        <v>17</v>
      </c>
      <c r="I20" s="46">
        <v>40496</v>
      </c>
      <c r="J20" s="47">
        <v>40428</v>
      </c>
      <c r="K20" s="51"/>
      <c r="L20" s="49" t="s">
        <v>3</v>
      </c>
      <c r="M20" s="49" t="s">
        <v>3</v>
      </c>
      <c r="N20" s="49" t="s">
        <v>3</v>
      </c>
      <c r="O20" s="49" t="s">
        <v>8</v>
      </c>
      <c r="P20" s="49" t="s">
        <v>8</v>
      </c>
      <c r="Q20" s="350">
        <v>40433</v>
      </c>
      <c r="R20" s="350">
        <v>40435</v>
      </c>
      <c r="S20" s="375">
        <v>40427</v>
      </c>
      <c r="T20" s="377">
        <v>40434</v>
      </c>
    </row>
    <row r="21" spans="1:190" ht="17.25" customHeight="1">
      <c r="A21" s="332"/>
      <c r="B21" s="333"/>
      <c r="C21" s="331"/>
      <c r="D21" s="331"/>
      <c r="E21" s="337"/>
      <c r="F21" s="335"/>
      <c r="G21" s="353"/>
      <c r="H21" s="50" t="s">
        <v>63</v>
      </c>
      <c r="I21" s="46">
        <v>40455</v>
      </c>
      <c r="J21" s="47" t="s">
        <v>38</v>
      </c>
      <c r="K21" s="51"/>
      <c r="L21" s="47">
        <v>40430</v>
      </c>
      <c r="M21" s="47">
        <v>40421</v>
      </c>
      <c r="N21" s="47">
        <v>40417</v>
      </c>
      <c r="O21" s="47"/>
      <c r="P21" s="47"/>
      <c r="Q21" s="351"/>
      <c r="R21" s="351"/>
      <c r="S21" s="376"/>
      <c r="T21" s="378"/>
    </row>
    <row r="22" spans="1:190" ht="20.25" customHeight="1">
      <c r="A22" s="357">
        <v>8</v>
      </c>
      <c r="B22" s="101" t="s">
        <v>87</v>
      </c>
      <c r="C22" s="101" t="s">
        <v>57</v>
      </c>
      <c r="D22" s="101" t="s">
        <v>72</v>
      </c>
      <c r="E22" s="336" t="s">
        <v>33</v>
      </c>
      <c r="F22" s="334">
        <v>375</v>
      </c>
      <c r="G22" s="352" t="s">
        <v>26</v>
      </c>
      <c r="H22" s="70" t="s">
        <v>17</v>
      </c>
      <c r="I22" s="46">
        <v>40518</v>
      </c>
      <c r="J22" s="47">
        <v>40432</v>
      </c>
      <c r="K22" s="51"/>
      <c r="L22" s="49" t="s">
        <v>3</v>
      </c>
      <c r="M22" s="49" t="s">
        <v>3</v>
      </c>
      <c r="N22" s="49" t="s">
        <v>3</v>
      </c>
      <c r="O22" s="49" t="s">
        <v>8</v>
      </c>
      <c r="P22" s="49" t="s">
        <v>3</v>
      </c>
      <c r="Q22" s="46">
        <v>40428</v>
      </c>
      <c r="R22" s="46">
        <v>40431</v>
      </c>
      <c r="S22" s="105">
        <v>40429</v>
      </c>
      <c r="T22" s="109">
        <v>40435</v>
      </c>
      <c r="U22" s="13"/>
      <c r="V22" s="13"/>
      <c r="W22" s="13"/>
      <c r="X22" s="13"/>
      <c r="Y22" s="14"/>
      <c r="Z22" s="15"/>
      <c r="AA22" s="13"/>
      <c r="AB22" s="13"/>
      <c r="AC22" s="13"/>
      <c r="AD22" s="13"/>
      <c r="AE22" s="13"/>
      <c r="AF22" s="14"/>
      <c r="AG22" s="15"/>
      <c r="AH22" s="13"/>
      <c r="AI22" s="13"/>
      <c r="AJ22" s="13"/>
      <c r="AK22" s="13"/>
      <c r="AL22" s="13"/>
      <c r="AM22" s="14"/>
      <c r="AN22" s="15"/>
      <c r="AO22" s="13"/>
      <c r="AP22" s="15"/>
      <c r="AQ22" s="13"/>
      <c r="AR22" s="13"/>
      <c r="AS22" s="13"/>
      <c r="AT22" s="14"/>
      <c r="AU22" s="15"/>
      <c r="AV22" s="13"/>
      <c r="AW22" s="13"/>
      <c r="AX22" s="13"/>
      <c r="AY22" s="13"/>
      <c r="AZ22" s="13"/>
      <c r="BA22" s="14"/>
      <c r="BB22" s="15"/>
      <c r="BC22" s="13"/>
      <c r="BD22" s="13"/>
      <c r="BE22" s="13"/>
      <c r="BF22" s="13"/>
      <c r="BG22" s="13"/>
      <c r="BH22" s="14"/>
      <c r="BI22" s="15"/>
      <c r="BJ22" s="13"/>
      <c r="BK22" s="13"/>
      <c r="BL22" s="13"/>
      <c r="BM22" s="13"/>
      <c r="BN22" s="13"/>
      <c r="BO22" s="14"/>
      <c r="BP22" s="15"/>
      <c r="BQ22" s="13"/>
      <c r="BR22" s="13"/>
      <c r="BS22" s="13"/>
      <c r="BT22" s="13"/>
      <c r="BU22" s="13"/>
      <c r="BV22" s="14"/>
      <c r="BW22" s="15"/>
      <c r="BX22" s="13"/>
      <c r="BY22" s="13"/>
      <c r="BZ22" s="13"/>
      <c r="CA22" s="13"/>
      <c r="CB22" s="13"/>
      <c r="CC22" s="14"/>
      <c r="CD22" s="15"/>
      <c r="CE22" s="13"/>
      <c r="CF22" s="13"/>
      <c r="CG22" s="13"/>
      <c r="CH22" s="13"/>
      <c r="CI22" s="13"/>
      <c r="CJ22" s="14"/>
      <c r="CK22" s="15"/>
      <c r="CL22" s="13"/>
      <c r="CM22" s="13"/>
      <c r="CN22" s="13"/>
      <c r="CO22" s="13"/>
      <c r="CP22" s="13"/>
      <c r="CQ22" s="14"/>
      <c r="CR22" s="15"/>
      <c r="CS22" s="13"/>
      <c r="CT22" s="13"/>
      <c r="CU22" s="13"/>
      <c r="CV22" s="13"/>
      <c r="CW22" s="13"/>
      <c r="CX22" s="14"/>
      <c r="CY22" s="13"/>
      <c r="CZ22" s="13"/>
      <c r="DA22" s="14"/>
      <c r="DB22" s="15"/>
      <c r="DC22" s="13"/>
      <c r="DD22" s="13"/>
      <c r="DE22" s="13"/>
      <c r="DF22" s="13"/>
      <c r="DG22" s="13"/>
      <c r="DH22" s="14"/>
      <c r="DI22" s="15"/>
      <c r="DJ22" s="13"/>
      <c r="DK22" s="13"/>
      <c r="DL22" s="15"/>
      <c r="DM22" s="13"/>
      <c r="DN22" s="13"/>
      <c r="DO22" s="13"/>
      <c r="DP22" s="13"/>
      <c r="DQ22" s="13"/>
      <c r="DR22" s="34"/>
      <c r="DS22" s="35"/>
      <c r="DT22" s="23"/>
      <c r="DU22" s="23"/>
      <c r="DV22" s="23"/>
      <c r="DW22" s="23"/>
      <c r="DX22" s="23"/>
      <c r="DY22" s="34"/>
      <c r="DZ22" s="35"/>
      <c r="EA22" s="23"/>
      <c r="EB22" s="23"/>
      <c r="EC22" s="23"/>
      <c r="ED22" s="23"/>
      <c r="EE22" s="23"/>
      <c r="EF22" s="34"/>
      <c r="EG22" s="35"/>
      <c r="EH22" s="23"/>
      <c r="EI22" s="23"/>
      <c r="EJ22" s="23"/>
      <c r="EK22" s="23"/>
      <c r="EL22" s="23"/>
      <c r="EM22" s="34"/>
      <c r="EN22" s="35"/>
      <c r="EO22" s="23"/>
      <c r="EP22" s="23"/>
      <c r="EQ22" s="23"/>
      <c r="ER22" s="23"/>
      <c r="ES22" s="23"/>
      <c r="ET22" s="23"/>
      <c r="EU22" s="23"/>
      <c r="EV22" s="14"/>
      <c r="EW22" s="15"/>
      <c r="EX22" s="23"/>
      <c r="EY22" s="23"/>
      <c r="EZ22" s="23"/>
      <c r="FA22" s="23"/>
      <c r="FB22" s="23"/>
      <c r="FC22" s="24"/>
      <c r="FD22" s="22"/>
      <c r="FE22" s="23"/>
      <c r="FF22" s="23"/>
      <c r="FG22" s="23"/>
      <c r="FH22" s="23"/>
      <c r="FI22" s="23"/>
      <c r="FJ22" s="24"/>
      <c r="FK22" s="22"/>
      <c r="FL22" s="23"/>
      <c r="FM22" s="23"/>
      <c r="FN22" s="23"/>
      <c r="FO22" s="23"/>
      <c r="FP22" s="23"/>
      <c r="FQ22" s="24"/>
      <c r="FR22" s="22"/>
      <c r="FS22" s="23"/>
      <c r="FT22" s="23"/>
      <c r="FU22" s="23"/>
      <c r="FV22" s="23"/>
      <c r="FW22" s="23"/>
      <c r="FX22" s="24"/>
      <c r="FY22" s="22"/>
      <c r="FZ22" s="23"/>
      <c r="GA22" s="23"/>
      <c r="GB22" s="23"/>
      <c r="GC22" s="23"/>
      <c r="GD22" s="23"/>
      <c r="GE22" s="24"/>
      <c r="GF22" s="22"/>
      <c r="GG22" s="23"/>
      <c r="GH22" s="23"/>
    </row>
    <row r="23" spans="1:190" ht="20.25" customHeight="1">
      <c r="A23" s="357"/>
      <c r="B23" s="101" t="s">
        <v>87</v>
      </c>
      <c r="C23" s="101" t="str">
        <f>C22</f>
        <v>1118</v>
      </c>
      <c r="D23" s="101" t="s">
        <v>73</v>
      </c>
      <c r="E23" s="337"/>
      <c r="F23" s="335"/>
      <c r="G23" s="353"/>
      <c r="H23" s="50" t="s">
        <v>158</v>
      </c>
      <c r="I23" s="46">
        <v>40469</v>
      </c>
      <c r="J23" s="47" t="s">
        <v>55</v>
      </c>
      <c r="K23" s="51"/>
      <c r="L23" s="47">
        <v>40430</v>
      </c>
      <c r="M23" s="47">
        <v>40427</v>
      </c>
      <c r="N23" s="47">
        <v>40429</v>
      </c>
      <c r="O23" s="47"/>
      <c r="P23" s="47">
        <v>40430</v>
      </c>
      <c r="Q23" s="46">
        <v>40429</v>
      </c>
      <c r="R23" s="46">
        <v>40432</v>
      </c>
      <c r="S23" s="105">
        <v>40429</v>
      </c>
      <c r="T23" s="109">
        <v>40435</v>
      </c>
      <c r="U23" s="13"/>
      <c r="V23" s="13"/>
      <c r="W23" s="13"/>
      <c r="X23" s="13"/>
      <c r="Y23" s="14"/>
      <c r="Z23" s="15"/>
      <c r="AA23" s="13"/>
      <c r="AB23" s="13"/>
      <c r="AC23" s="13"/>
      <c r="AD23" s="13"/>
      <c r="AE23" s="13"/>
      <c r="AF23" s="14"/>
      <c r="AG23" s="15"/>
      <c r="AH23" s="13"/>
      <c r="AI23" s="13"/>
      <c r="AJ23" s="13"/>
      <c r="AK23" s="13"/>
      <c r="AL23" s="13"/>
      <c r="AM23" s="14"/>
      <c r="AN23" s="15"/>
      <c r="AO23" s="13"/>
      <c r="AP23" s="15"/>
      <c r="AQ23" s="13"/>
      <c r="AR23" s="13"/>
      <c r="AS23" s="13"/>
      <c r="AT23" s="14"/>
      <c r="AU23" s="15"/>
      <c r="AV23" s="13"/>
      <c r="AW23" s="13"/>
      <c r="AX23" s="13"/>
      <c r="AY23" s="13"/>
      <c r="AZ23" s="13"/>
      <c r="BA23" s="14"/>
      <c r="BB23" s="15"/>
      <c r="BC23" s="13"/>
      <c r="BD23" s="13"/>
      <c r="BE23" s="13"/>
      <c r="BF23" s="13"/>
      <c r="BG23" s="13"/>
      <c r="BH23" s="14"/>
      <c r="BI23" s="15"/>
      <c r="BJ23" s="13"/>
      <c r="BK23" s="13"/>
      <c r="BL23" s="13"/>
      <c r="BM23" s="13"/>
      <c r="BN23" s="13"/>
      <c r="BO23" s="14"/>
      <c r="BP23" s="15"/>
      <c r="BQ23" s="13"/>
      <c r="BR23" s="13"/>
      <c r="BS23" s="13"/>
      <c r="BT23" s="13"/>
      <c r="BU23" s="13"/>
      <c r="BV23" s="14"/>
      <c r="BW23" s="15"/>
      <c r="BX23" s="13"/>
      <c r="BY23" s="13"/>
      <c r="BZ23" s="13"/>
      <c r="CA23" s="13"/>
      <c r="CB23" s="13"/>
      <c r="CC23" s="14"/>
      <c r="CD23" s="15"/>
      <c r="CE23" s="13"/>
      <c r="CF23" s="13"/>
      <c r="CG23" s="13"/>
      <c r="CH23" s="13"/>
      <c r="CI23" s="13"/>
      <c r="CJ23" s="14"/>
      <c r="CK23" s="15"/>
      <c r="CL23" s="13"/>
      <c r="CM23" s="13"/>
      <c r="CN23" s="13"/>
      <c r="CO23" s="13"/>
      <c r="CP23" s="13"/>
      <c r="CQ23" s="14"/>
      <c r="CR23" s="15"/>
      <c r="CS23" s="13"/>
      <c r="CT23" s="13"/>
      <c r="CU23" s="13"/>
      <c r="CV23" s="13"/>
      <c r="CW23" s="13"/>
      <c r="CX23" s="14"/>
      <c r="CY23" s="13"/>
      <c r="CZ23" s="13"/>
      <c r="DA23" s="14"/>
      <c r="DB23" s="15"/>
      <c r="DC23" s="13"/>
      <c r="DD23" s="13"/>
      <c r="DE23" s="13"/>
      <c r="DF23" s="13"/>
      <c r="DG23" s="13"/>
      <c r="DH23" s="14"/>
      <c r="DI23" s="15"/>
      <c r="DJ23" s="13"/>
      <c r="DK23" s="13"/>
      <c r="DL23" s="15"/>
      <c r="DM23" s="13"/>
      <c r="DN23" s="13"/>
      <c r="DO23" s="13"/>
      <c r="DP23" s="13"/>
      <c r="DQ23" s="13"/>
      <c r="DR23" s="34"/>
      <c r="DS23" s="35"/>
      <c r="DT23" s="23"/>
      <c r="DU23" s="23"/>
      <c r="DV23" s="23"/>
      <c r="DW23" s="23"/>
      <c r="DX23" s="23"/>
      <c r="DY23" s="34"/>
      <c r="DZ23" s="35"/>
      <c r="EA23" s="23"/>
      <c r="EB23" s="23"/>
      <c r="EC23" s="23"/>
      <c r="ED23" s="23"/>
      <c r="EE23" s="23"/>
      <c r="EF23" s="34"/>
      <c r="EG23" s="35"/>
      <c r="EH23" s="23"/>
      <c r="EI23" s="23"/>
      <c r="EJ23" s="23"/>
      <c r="EK23" s="23"/>
      <c r="EL23" s="23"/>
      <c r="EM23" s="34"/>
      <c r="EN23" s="35"/>
      <c r="EO23" s="23"/>
      <c r="EP23" s="23"/>
      <c r="EQ23" s="23"/>
      <c r="ER23" s="23"/>
      <c r="ES23" s="23"/>
      <c r="ET23" s="23"/>
      <c r="EU23" s="23"/>
      <c r="EV23" s="14"/>
      <c r="EW23" s="15"/>
      <c r="EX23" s="23"/>
      <c r="EY23" s="23"/>
      <c r="EZ23" s="23"/>
      <c r="FA23" s="23"/>
      <c r="FB23" s="23"/>
      <c r="FC23" s="24"/>
      <c r="FD23" s="22"/>
      <c r="FE23" s="23"/>
      <c r="FF23" s="23"/>
      <c r="FG23" s="23"/>
      <c r="FH23" s="23"/>
      <c r="FI23" s="23"/>
      <c r="FJ23" s="24"/>
      <c r="FK23" s="22"/>
      <c r="FL23" s="23"/>
      <c r="FM23" s="23"/>
      <c r="FN23" s="23"/>
      <c r="FO23" s="23"/>
      <c r="FP23" s="23"/>
      <c r="FQ23" s="24"/>
      <c r="FR23" s="22"/>
      <c r="FS23" s="23"/>
      <c r="FT23" s="23"/>
      <c r="FU23" s="23"/>
      <c r="FV23" s="23"/>
      <c r="FW23" s="23"/>
      <c r="FX23" s="24"/>
      <c r="FY23" s="22"/>
      <c r="FZ23" s="23"/>
      <c r="GA23" s="23"/>
      <c r="GB23" s="23"/>
      <c r="GC23" s="23"/>
      <c r="GD23" s="23"/>
      <c r="GE23" s="24"/>
      <c r="GF23" s="22"/>
      <c r="GG23" s="23"/>
      <c r="GH23" s="23"/>
    </row>
    <row r="24" spans="1:190" ht="20.25" customHeight="1">
      <c r="A24" s="357">
        <v>9</v>
      </c>
      <c r="B24" s="101" t="s">
        <v>119</v>
      </c>
      <c r="C24" s="101" t="s">
        <v>133</v>
      </c>
      <c r="D24" s="101" t="s">
        <v>141</v>
      </c>
      <c r="E24" s="336" t="s">
        <v>33</v>
      </c>
      <c r="F24" s="334">
        <v>56</v>
      </c>
      <c r="G24" s="352" t="s">
        <v>122</v>
      </c>
      <c r="H24" s="70" t="s">
        <v>17</v>
      </c>
      <c r="I24" s="46">
        <v>40462</v>
      </c>
      <c r="J24" s="47">
        <v>40432</v>
      </c>
      <c r="K24" s="69"/>
      <c r="L24" s="49" t="s">
        <v>3</v>
      </c>
      <c r="M24" s="49" t="s">
        <v>3</v>
      </c>
      <c r="N24" s="49" t="s">
        <v>3</v>
      </c>
      <c r="O24" s="49" t="s">
        <v>8</v>
      </c>
      <c r="P24" s="49" t="s">
        <v>3</v>
      </c>
      <c r="Q24" s="46">
        <v>40430</v>
      </c>
      <c r="R24" s="46">
        <v>40431</v>
      </c>
      <c r="S24" s="105">
        <v>40431</v>
      </c>
      <c r="T24" s="106">
        <v>40435</v>
      </c>
      <c r="U24" s="5"/>
      <c r="V24" s="5"/>
      <c r="W24" s="5"/>
      <c r="X24" s="5"/>
      <c r="Y24" s="6"/>
      <c r="Z24" s="7"/>
      <c r="AA24" s="5"/>
      <c r="AB24" s="5"/>
      <c r="AC24" s="5"/>
      <c r="AD24" s="5"/>
      <c r="AE24" s="5"/>
      <c r="AF24" s="6"/>
      <c r="AG24" s="7"/>
      <c r="AH24" s="5"/>
      <c r="AI24" s="5"/>
      <c r="AJ24" s="5"/>
      <c r="AK24" s="5"/>
      <c r="AL24" s="5"/>
      <c r="AM24" s="6"/>
      <c r="AN24" s="7"/>
      <c r="AO24" s="5"/>
      <c r="AP24" s="7"/>
      <c r="AQ24" s="5"/>
      <c r="AR24" s="5"/>
      <c r="AS24" s="5"/>
      <c r="AT24" s="6"/>
      <c r="AU24" s="7"/>
      <c r="AV24" s="5"/>
      <c r="AW24" s="5"/>
      <c r="AX24" s="5"/>
      <c r="AY24" s="5"/>
      <c r="AZ24" s="5"/>
      <c r="BA24" s="6"/>
      <c r="BB24" s="7"/>
      <c r="BC24" s="5"/>
      <c r="BD24" s="5"/>
      <c r="BE24" s="5"/>
      <c r="BF24" s="5"/>
      <c r="BG24" s="5"/>
      <c r="BH24" s="6"/>
      <c r="BI24" s="7"/>
      <c r="BJ24" s="5"/>
      <c r="BK24" s="5"/>
      <c r="BL24" s="5"/>
      <c r="BM24" s="5"/>
      <c r="BN24" s="5"/>
      <c r="BO24" s="6"/>
      <c r="BP24" s="7"/>
      <c r="BQ24" s="5"/>
      <c r="BR24" s="5"/>
      <c r="BS24" s="5"/>
      <c r="BT24" s="5"/>
      <c r="BU24" s="5"/>
      <c r="BV24" s="6"/>
      <c r="BW24" s="7"/>
      <c r="BX24" s="5"/>
      <c r="BY24" s="5"/>
      <c r="BZ24" s="5"/>
      <c r="CA24" s="5"/>
      <c r="CB24" s="5"/>
      <c r="CC24" s="6"/>
      <c r="CD24" s="7"/>
      <c r="CE24" s="5"/>
      <c r="CF24" s="5"/>
      <c r="CG24" s="5"/>
      <c r="CH24" s="5"/>
      <c r="CI24" s="5"/>
      <c r="CJ24" s="6"/>
      <c r="CK24" s="7"/>
      <c r="CL24" s="5"/>
      <c r="CM24" s="5"/>
      <c r="CN24" s="5"/>
      <c r="CO24" s="5"/>
      <c r="CP24" s="5"/>
      <c r="CQ24" s="6"/>
      <c r="CR24" s="7"/>
      <c r="CS24" s="5"/>
      <c r="CT24" s="5"/>
      <c r="CU24" s="5"/>
      <c r="CV24" s="5"/>
      <c r="CW24" s="13"/>
      <c r="CX24" s="14"/>
      <c r="CY24" s="13"/>
      <c r="CZ24" s="13"/>
      <c r="DA24" s="14"/>
      <c r="DB24" s="15"/>
      <c r="DC24" s="13"/>
      <c r="DD24" s="13"/>
      <c r="DE24" s="13"/>
      <c r="DF24" s="13"/>
      <c r="DG24" s="13"/>
      <c r="DH24" s="14"/>
      <c r="DI24" s="15"/>
      <c r="DJ24" s="13"/>
      <c r="DK24" s="13"/>
      <c r="DL24" s="15"/>
      <c r="DM24" s="13"/>
      <c r="DN24" s="13"/>
      <c r="DO24" s="13"/>
      <c r="DP24" s="13"/>
      <c r="DQ24" s="13"/>
      <c r="DR24" s="34"/>
      <c r="DS24" s="35"/>
      <c r="DT24" s="23"/>
      <c r="DU24" s="23"/>
      <c r="DV24" s="23"/>
      <c r="DW24" s="23"/>
      <c r="DX24" s="23"/>
      <c r="DY24" s="34"/>
      <c r="DZ24" s="35"/>
      <c r="EA24" s="23"/>
      <c r="EB24" s="23"/>
      <c r="EC24" s="23"/>
      <c r="ED24" s="23"/>
      <c r="EE24" s="23"/>
      <c r="EF24" s="34"/>
      <c r="EG24" s="35"/>
      <c r="EH24" s="23"/>
      <c r="EI24" s="23"/>
      <c r="EJ24" s="23"/>
      <c r="EK24" s="23"/>
      <c r="EL24" s="23"/>
      <c r="EM24" s="34"/>
      <c r="EN24" s="35"/>
      <c r="EO24" s="23"/>
      <c r="EP24" s="23"/>
      <c r="EQ24" s="23"/>
      <c r="ER24" s="23"/>
      <c r="ES24" s="23"/>
      <c r="ET24" s="23"/>
      <c r="EU24" s="23"/>
      <c r="EV24" s="14"/>
      <c r="EW24" s="15"/>
      <c r="EX24" s="23"/>
      <c r="EY24" s="23"/>
      <c r="EZ24" s="23"/>
      <c r="FA24" s="23"/>
      <c r="FB24" s="23"/>
      <c r="FC24" s="24"/>
      <c r="FD24" s="22"/>
      <c r="FE24" s="23"/>
      <c r="FF24" s="23"/>
      <c r="FG24" s="23"/>
      <c r="FH24" s="23"/>
      <c r="FI24" s="23"/>
      <c r="FJ24" s="24"/>
      <c r="FK24" s="22"/>
      <c r="FL24" s="23"/>
      <c r="FM24" s="23"/>
      <c r="FN24" s="23"/>
      <c r="FO24" s="23"/>
      <c r="FP24" s="23"/>
      <c r="FQ24" s="24"/>
      <c r="FR24" s="22"/>
      <c r="FS24" s="23"/>
      <c r="FT24" s="23"/>
      <c r="FU24" s="23"/>
      <c r="FV24" s="23"/>
      <c r="FW24" s="23"/>
      <c r="FX24" s="24"/>
      <c r="FY24" s="22"/>
      <c r="FZ24" s="23"/>
      <c r="GA24" s="23"/>
      <c r="GB24" s="23"/>
      <c r="GC24" s="23"/>
      <c r="GD24" s="23"/>
      <c r="GE24" s="24"/>
      <c r="GF24" s="22"/>
      <c r="GG24" s="23"/>
      <c r="GH24" s="23"/>
    </row>
    <row r="25" spans="1:190" ht="20.25" customHeight="1">
      <c r="A25" s="357"/>
      <c r="B25" s="101" t="s">
        <v>119</v>
      </c>
      <c r="C25" s="101" t="s">
        <v>133</v>
      </c>
      <c r="D25" s="101" t="s">
        <v>142</v>
      </c>
      <c r="E25" s="337"/>
      <c r="F25" s="335"/>
      <c r="G25" s="353"/>
      <c r="H25" s="50" t="s">
        <v>159</v>
      </c>
      <c r="I25" s="46">
        <v>40458</v>
      </c>
      <c r="J25" s="47" t="s">
        <v>51</v>
      </c>
      <c r="K25" s="69"/>
      <c r="L25" s="47">
        <v>40428</v>
      </c>
      <c r="M25" s="47">
        <v>40429</v>
      </c>
      <c r="N25" s="47">
        <v>40430</v>
      </c>
      <c r="O25" s="47"/>
      <c r="P25" s="47">
        <v>40430</v>
      </c>
      <c r="Q25" s="46">
        <v>40430</v>
      </c>
      <c r="R25" s="46">
        <v>40432</v>
      </c>
      <c r="S25" s="105">
        <v>40431</v>
      </c>
      <c r="T25" s="106">
        <v>40435</v>
      </c>
      <c r="U25" s="5"/>
      <c r="V25" s="5"/>
      <c r="W25" s="5"/>
      <c r="X25" s="5"/>
      <c r="Y25" s="6"/>
      <c r="Z25" s="7"/>
      <c r="AA25" s="5"/>
      <c r="AB25" s="5"/>
      <c r="AC25" s="5"/>
      <c r="AD25" s="5"/>
      <c r="AE25" s="5"/>
      <c r="AF25" s="6"/>
      <c r="AG25" s="7"/>
      <c r="AH25" s="5"/>
      <c r="AI25" s="5"/>
      <c r="AJ25" s="5"/>
      <c r="AK25" s="5"/>
      <c r="AL25" s="5"/>
      <c r="AM25" s="6"/>
      <c r="AN25" s="7"/>
      <c r="AO25" s="5"/>
      <c r="AP25" s="7"/>
      <c r="AQ25" s="5"/>
      <c r="AR25" s="5"/>
      <c r="AS25" s="5"/>
      <c r="AT25" s="6"/>
      <c r="AU25" s="7"/>
      <c r="AV25" s="5"/>
      <c r="AW25" s="5"/>
      <c r="AX25" s="5"/>
      <c r="AY25" s="5"/>
      <c r="AZ25" s="5"/>
      <c r="BA25" s="6"/>
      <c r="BB25" s="7"/>
      <c r="BC25" s="5"/>
      <c r="BD25" s="5"/>
      <c r="BE25" s="5"/>
      <c r="BF25" s="5"/>
      <c r="BG25" s="5"/>
      <c r="BH25" s="6"/>
      <c r="BI25" s="7"/>
      <c r="BJ25" s="5"/>
      <c r="BK25" s="5"/>
      <c r="BL25" s="5"/>
      <c r="BM25" s="5"/>
      <c r="BN25" s="5"/>
      <c r="BO25" s="6"/>
      <c r="BP25" s="7"/>
      <c r="BQ25" s="5"/>
      <c r="BR25" s="5"/>
      <c r="BS25" s="5"/>
      <c r="BT25" s="5"/>
      <c r="BU25" s="5"/>
      <c r="BV25" s="6"/>
      <c r="BW25" s="7"/>
      <c r="BX25" s="5"/>
      <c r="BY25" s="5"/>
      <c r="BZ25" s="5"/>
      <c r="CA25" s="5"/>
      <c r="CB25" s="5"/>
      <c r="CC25" s="6"/>
      <c r="CD25" s="7"/>
      <c r="CE25" s="5"/>
      <c r="CF25" s="5"/>
      <c r="CG25" s="5"/>
      <c r="CH25" s="5"/>
      <c r="CI25" s="5"/>
      <c r="CJ25" s="6"/>
      <c r="CK25" s="7"/>
      <c r="CL25" s="5"/>
      <c r="CM25" s="5"/>
      <c r="CN25" s="5"/>
      <c r="CO25" s="5"/>
      <c r="CP25" s="5"/>
      <c r="CQ25" s="6"/>
      <c r="CR25" s="7"/>
      <c r="CS25" s="5"/>
      <c r="CT25" s="5"/>
      <c r="CU25" s="5"/>
      <c r="CV25" s="5"/>
      <c r="CW25" s="13"/>
      <c r="CX25" s="14"/>
      <c r="CY25" s="13"/>
      <c r="CZ25" s="13"/>
      <c r="DA25" s="14"/>
      <c r="DB25" s="15"/>
      <c r="DC25" s="13"/>
      <c r="DD25" s="13"/>
      <c r="DE25" s="13"/>
      <c r="DF25" s="13"/>
      <c r="DG25" s="13"/>
      <c r="DH25" s="14"/>
      <c r="DI25" s="15"/>
      <c r="DJ25" s="13"/>
      <c r="DK25" s="13"/>
      <c r="DL25" s="15"/>
      <c r="DM25" s="13"/>
      <c r="DN25" s="13"/>
      <c r="DO25" s="13"/>
      <c r="DP25" s="13"/>
      <c r="DQ25" s="13"/>
      <c r="DR25" s="34"/>
      <c r="DS25" s="35"/>
      <c r="DT25" s="23"/>
      <c r="DU25" s="23"/>
      <c r="DV25" s="23"/>
      <c r="DW25" s="23"/>
      <c r="DX25" s="23"/>
      <c r="DY25" s="34"/>
      <c r="DZ25" s="35"/>
      <c r="EA25" s="23"/>
      <c r="EB25" s="23"/>
      <c r="EC25" s="23"/>
      <c r="ED25" s="23"/>
      <c r="EE25" s="23"/>
      <c r="EF25" s="34"/>
      <c r="EG25" s="35"/>
      <c r="EH25" s="23"/>
      <c r="EI25" s="23"/>
      <c r="EJ25" s="23"/>
      <c r="EK25" s="23"/>
      <c r="EL25" s="23"/>
      <c r="EM25" s="34"/>
      <c r="EN25" s="35"/>
      <c r="EO25" s="23"/>
      <c r="EP25" s="23"/>
      <c r="EQ25" s="23"/>
      <c r="ER25" s="23"/>
      <c r="ES25" s="23"/>
      <c r="ET25" s="23"/>
      <c r="EU25" s="23"/>
      <c r="EV25" s="14"/>
      <c r="EW25" s="15"/>
      <c r="EX25" s="23"/>
      <c r="EY25" s="23"/>
      <c r="EZ25" s="23"/>
      <c r="FA25" s="23"/>
      <c r="FB25" s="23"/>
      <c r="FC25" s="24"/>
      <c r="FD25" s="22"/>
      <c r="FE25" s="23"/>
      <c r="FF25" s="23"/>
      <c r="FG25" s="23"/>
      <c r="FH25" s="23"/>
      <c r="FI25" s="23"/>
      <c r="FJ25" s="24"/>
      <c r="FK25" s="22"/>
      <c r="FL25" s="23"/>
      <c r="FM25" s="23"/>
      <c r="FN25" s="23"/>
      <c r="FO25" s="23"/>
      <c r="FP25" s="23"/>
      <c r="FQ25" s="24"/>
      <c r="FR25" s="22"/>
      <c r="FS25" s="23"/>
      <c r="FT25" s="23"/>
      <c r="FU25" s="23"/>
      <c r="FV25" s="23"/>
      <c r="FW25" s="23"/>
      <c r="FX25" s="24"/>
      <c r="FY25" s="22"/>
      <c r="FZ25" s="23"/>
      <c r="GA25" s="23"/>
      <c r="GB25" s="23"/>
      <c r="GC25" s="23"/>
      <c r="GD25" s="23"/>
      <c r="GE25" s="24"/>
      <c r="GF25" s="22"/>
      <c r="GG25" s="23"/>
      <c r="GH25" s="23"/>
    </row>
    <row r="26" spans="1:190" s="9" customFormat="1" ht="20.25" customHeight="1">
      <c r="A26" s="332" t="s">
        <v>277</v>
      </c>
      <c r="B26" s="101" t="s">
        <v>119</v>
      </c>
      <c r="C26" s="101" t="s">
        <v>111</v>
      </c>
      <c r="D26" s="101" t="s">
        <v>143</v>
      </c>
      <c r="E26" s="336" t="s">
        <v>33</v>
      </c>
      <c r="F26" s="334">
        <v>74</v>
      </c>
      <c r="G26" s="402" t="s">
        <v>122</v>
      </c>
      <c r="H26" s="70" t="s">
        <v>17</v>
      </c>
      <c r="I26" s="46">
        <v>40464</v>
      </c>
      <c r="J26" s="47">
        <v>40438</v>
      </c>
      <c r="K26" s="51"/>
      <c r="L26" s="49" t="s">
        <v>3</v>
      </c>
      <c r="M26" s="49" t="s">
        <v>3</v>
      </c>
      <c r="N26" s="49" t="s">
        <v>3</v>
      </c>
      <c r="O26" s="49" t="s">
        <v>3</v>
      </c>
      <c r="P26" s="49" t="s">
        <v>3</v>
      </c>
      <c r="Q26" s="46">
        <v>40431</v>
      </c>
      <c r="R26" s="46">
        <v>40433</v>
      </c>
      <c r="S26" s="105">
        <v>40430</v>
      </c>
      <c r="T26" s="106">
        <v>40434</v>
      </c>
    </row>
    <row r="27" spans="1:190" s="9" customFormat="1" ht="20.25" customHeight="1">
      <c r="A27" s="332"/>
      <c r="B27" s="101" t="s">
        <v>119</v>
      </c>
      <c r="C27" s="101" t="s">
        <v>111</v>
      </c>
      <c r="D27" s="101" t="s">
        <v>144</v>
      </c>
      <c r="E27" s="337"/>
      <c r="F27" s="335"/>
      <c r="G27" s="403"/>
      <c r="H27" s="50" t="s">
        <v>170</v>
      </c>
      <c r="I27" s="46">
        <v>40462</v>
      </c>
      <c r="J27" s="47" t="s">
        <v>51</v>
      </c>
      <c r="K27" s="51"/>
      <c r="L27" s="47">
        <v>40430</v>
      </c>
      <c r="M27" s="47">
        <v>40430</v>
      </c>
      <c r="N27" s="47">
        <v>40432</v>
      </c>
      <c r="O27" s="47"/>
      <c r="P27" s="47">
        <v>40431</v>
      </c>
      <c r="Q27" s="46">
        <v>40431</v>
      </c>
      <c r="R27" s="46">
        <v>40433</v>
      </c>
      <c r="S27" s="105">
        <v>40430</v>
      </c>
      <c r="T27" s="106">
        <v>40434</v>
      </c>
    </row>
    <row r="28" spans="1:190" ht="18" customHeight="1">
      <c r="A28" s="332" t="s">
        <v>268</v>
      </c>
      <c r="B28" s="330" t="s">
        <v>91</v>
      </c>
      <c r="C28" s="330" t="s">
        <v>92</v>
      </c>
      <c r="D28" s="330" t="s">
        <v>93</v>
      </c>
      <c r="E28" s="336" t="s">
        <v>33</v>
      </c>
      <c r="F28" s="334">
        <v>65</v>
      </c>
      <c r="G28" s="352" t="s">
        <v>83</v>
      </c>
      <c r="H28" s="70" t="s">
        <v>17</v>
      </c>
      <c r="I28" s="46">
        <v>40499</v>
      </c>
      <c r="J28" s="47">
        <v>40439</v>
      </c>
      <c r="K28" s="51"/>
      <c r="L28" s="49" t="s">
        <v>3</v>
      </c>
      <c r="M28" s="49" t="s">
        <v>3</v>
      </c>
      <c r="N28" s="49" t="s">
        <v>3</v>
      </c>
      <c r="O28" s="49" t="s">
        <v>8</v>
      </c>
      <c r="P28" s="49" t="s">
        <v>8</v>
      </c>
      <c r="Q28" s="350">
        <v>40436</v>
      </c>
      <c r="R28" s="350">
        <v>40438</v>
      </c>
      <c r="S28" s="375">
        <v>40432</v>
      </c>
      <c r="T28" s="377">
        <v>40437</v>
      </c>
    </row>
    <row r="29" spans="1:190" ht="18" customHeight="1">
      <c r="A29" s="332"/>
      <c r="B29" s="331"/>
      <c r="C29" s="331"/>
      <c r="D29" s="331"/>
      <c r="E29" s="337"/>
      <c r="F29" s="335"/>
      <c r="G29" s="353"/>
      <c r="H29" s="50" t="s">
        <v>181</v>
      </c>
      <c r="I29" s="46">
        <v>40471</v>
      </c>
      <c r="J29" s="47" t="s">
        <v>38</v>
      </c>
      <c r="K29" s="51"/>
      <c r="L29" s="47">
        <v>40432</v>
      </c>
      <c r="M29" s="47">
        <v>40431</v>
      </c>
      <c r="N29" s="47">
        <v>40431</v>
      </c>
      <c r="O29" s="47"/>
      <c r="P29" s="47"/>
      <c r="Q29" s="351"/>
      <c r="R29" s="351"/>
      <c r="S29" s="376"/>
      <c r="T29" s="378"/>
    </row>
    <row r="30" spans="1:190" ht="20.25" customHeight="1">
      <c r="A30" s="405">
        <v>12</v>
      </c>
      <c r="B30" s="101" t="s">
        <v>25</v>
      </c>
      <c r="C30" s="101" t="s">
        <v>185</v>
      </c>
      <c r="D30" s="101" t="s">
        <v>186</v>
      </c>
      <c r="E30" s="336" t="s">
        <v>33</v>
      </c>
      <c r="F30" s="334">
        <v>36</v>
      </c>
      <c r="G30" s="352" t="s">
        <v>187</v>
      </c>
      <c r="H30" s="70" t="s">
        <v>17</v>
      </c>
      <c r="I30" s="46">
        <v>40462</v>
      </c>
      <c r="J30" s="47">
        <v>40436</v>
      </c>
      <c r="K30" s="51"/>
      <c r="L30" s="49" t="s">
        <v>3</v>
      </c>
      <c r="M30" s="49" t="s">
        <v>3</v>
      </c>
      <c r="N30" s="49" t="s">
        <v>3</v>
      </c>
      <c r="O30" s="49" t="s">
        <v>8</v>
      </c>
      <c r="P30" s="49" t="s">
        <v>8</v>
      </c>
      <c r="Q30" s="46">
        <v>40435</v>
      </c>
      <c r="R30" s="46">
        <v>40437</v>
      </c>
      <c r="S30" s="105">
        <v>40435</v>
      </c>
      <c r="T30" s="106">
        <v>40438</v>
      </c>
    </row>
    <row r="31" spans="1:190" ht="20.25" customHeight="1">
      <c r="A31" s="406"/>
      <c r="B31" s="101" t="s">
        <v>25</v>
      </c>
      <c r="C31" s="101" t="s">
        <v>185</v>
      </c>
      <c r="D31" s="101" t="s">
        <v>186</v>
      </c>
      <c r="E31" s="337"/>
      <c r="F31" s="335"/>
      <c r="G31" s="353"/>
      <c r="H31" s="50" t="s">
        <v>181</v>
      </c>
      <c r="I31" s="46">
        <v>40451</v>
      </c>
      <c r="J31" s="47" t="s">
        <v>51</v>
      </c>
      <c r="K31" s="51"/>
      <c r="L31" s="47">
        <v>40430</v>
      </c>
      <c r="M31" s="47">
        <v>40431</v>
      </c>
      <c r="N31" s="46">
        <v>40431</v>
      </c>
      <c r="O31" s="47"/>
      <c r="P31" s="47"/>
      <c r="Q31" s="46">
        <v>40435</v>
      </c>
      <c r="R31" s="46">
        <v>40438</v>
      </c>
      <c r="S31" s="105">
        <v>40435</v>
      </c>
      <c r="T31" s="106">
        <v>40438</v>
      </c>
    </row>
    <row r="32" spans="1:190" ht="20.25" customHeight="1">
      <c r="A32" s="332" t="s">
        <v>278</v>
      </c>
      <c r="B32" s="101" t="s">
        <v>87</v>
      </c>
      <c r="C32" s="101" t="s">
        <v>65</v>
      </c>
      <c r="D32" s="101" t="s">
        <v>84</v>
      </c>
      <c r="E32" s="336" t="s">
        <v>74</v>
      </c>
      <c r="F32" s="334">
        <v>457</v>
      </c>
      <c r="G32" s="352" t="s">
        <v>26</v>
      </c>
      <c r="H32" s="371" t="s">
        <v>231</v>
      </c>
      <c r="I32" s="46">
        <v>40512</v>
      </c>
      <c r="J32" s="47">
        <v>40436</v>
      </c>
      <c r="K32" s="69"/>
      <c r="L32" s="49" t="s">
        <v>3</v>
      </c>
      <c r="M32" s="49" t="s">
        <v>3</v>
      </c>
      <c r="N32" s="49" t="s">
        <v>3</v>
      </c>
      <c r="O32" s="49" t="s">
        <v>8</v>
      </c>
      <c r="P32" s="49" t="s">
        <v>3</v>
      </c>
      <c r="Q32" s="46">
        <v>40435</v>
      </c>
      <c r="R32" s="46">
        <v>40439</v>
      </c>
      <c r="S32" s="105">
        <v>40435</v>
      </c>
      <c r="T32" s="106">
        <v>40438</v>
      </c>
      <c r="U32" s="13"/>
      <c r="V32" s="13"/>
      <c r="W32" s="13"/>
      <c r="X32" s="13"/>
      <c r="Y32" s="14"/>
      <c r="Z32" s="15"/>
      <c r="AA32" s="13"/>
      <c r="AB32" s="13"/>
      <c r="AC32" s="13"/>
      <c r="AD32" s="13"/>
      <c r="AE32" s="13"/>
      <c r="AF32" s="14"/>
      <c r="AG32" s="15"/>
      <c r="AH32" s="13"/>
      <c r="AI32" s="13"/>
      <c r="AJ32" s="13"/>
      <c r="AK32" s="13"/>
      <c r="AL32" s="13"/>
      <c r="AM32" s="14"/>
      <c r="AN32" s="15"/>
      <c r="AO32" s="13"/>
      <c r="AP32" s="15"/>
      <c r="AQ32" s="13"/>
      <c r="AR32" s="13"/>
      <c r="AS32" s="13"/>
      <c r="AT32" s="14"/>
      <c r="AU32" s="15"/>
      <c r="AV32" s="13"/>
      <c r="AW32" s="13"/>
      <c r="AX32" s="13"/>
      <c r="AY32" s="13"/>
      <c r="AZ32" s="13"/>
      <c r="BA32" s="14"/>
      <c r="BB32" s="15"/>
      <c r="BC32" s="13"/>
      <c r="BD32" s="13"/>
      <c r="BE32" s="13"/>
      <c r="BF32" s="13"/>
      <c r="BG32" s="13"/>
      <c r="BH32" s="14"/>
      <c r="BI32" s="15"/>
      <c r="BJ32" s="13"/>
      <c r="BK32" s="13"/>
      <c r="BL32" s="13"/>
      <c r="BM32" s="13"/>
      <c r="BN32" s="13"/>
      <c r="BO32" s="14"/>
      <c r="BP32" s="15"/>
      <c r="BQ32" s="13"/>
      <c r="BR32" s="13"/>
      <c r="BS32" s="13"/>
      <c r="BT32" s="13"/>
      <c r="BU32" s="13"/>
      <c r="BV32" s="14"/>
      <c r="BW32" s="15"/>
      <c r="BX32" s="13"/>
      <c r="BY32" s="13"/>
      <c r="BZ32" s="13"/>
      <c r="CA32" s="13"/>
      <c r="CB32" s="13"/>
      <c r="CC32" s="14"/>
      <c r="CD32" s="15"/>
      <c r="CE32" s="13"/>
      <c r="CF32" s="13"/>
      <c r="CG32" s="13"/>
      <c r="CH32" s="13"/>
      <c r="CI32" s="13"/>
      <c r="CJ32" s="14"/>
      <c r="CK32" s="15"/>
      <c r="CL32" s="13"/>
      <c r="CM32" s="13"/>
      <c r="CN32" s="13"/>
      <c r="CO32" s="13"/>
      <c r="CP32" s="13"/>
      <c r="CQ32" s="14"/>
      <c r="CR32" s="15"/>
      <c r="CS32" s="13"/>
      <c r="CT32" s="13"/>
      <c r="CU32" s="13"/>
      <c r="CV32" s="13"/>
      <c r="CW32" s="13"/>
      <c r="CX32" s="14"/>
      <c r="CY32" s="13"/>
      <c r="CZ32" s="13"/>
      <c r="DA32" s="14"/>
      <c r="DB32" s="15"/>
      <c r="DC32" s="13"/>
      <c r="DD32" s="13"/>
      <c r="DE32" s="13"/>
      <c r="DF32" s="13"/>
      <c r="DG32" s="13"/>
      <c r="DH32" s="14"/>
      <c r="DI32" s="15"/>
      <c r="DJ32" s="13"/>
      <c r="DK32" s="13"/>
      <c r="DL32" s="15"/>
      <c r="DM32" s="13"/>
      <c r="DN32" s="13"/>
      <c r="DO32" s="13"/>
      <c r="DP32" s="13"/>
      <c r="DQ32" s="13"/>
      <c r="DR32" s="14"/>
      <c r="DS32" s="15"/>
      <c r="DT32" s="13"/>
      <c r="DU32" s="13"/>
      <c r="DV32" s="13"/>
      <c r="DW32" s="13"/>
      <c r="DX32" s="13"/>
      <c r="DY32" s="14"/>
      <c r="DZ32" s="15"/>
      <c r="EA32" s="13"/>
      <c r="EB32" s="13"/>
      <c r="EC32" s="25"/>
      <c r="ED32" s="13"/>
      <c r="EE32" s="13"/>
      <c r="EF32" s="14"/>
      <c r="EG32" s="15"/>
      <c r="EH32" s="13"/>
      <c r="EI32" s="13"/>
      <c r="EJ32" s="13"/>
      <c r="EK32" s="13"/>
      <c r="EL32" s="13"/>
      <c r="EM32" s="14"/>
      <c r="EN32" s="15"/>
      <c r="EO32" s="13"/>
      <c r="EP32" s="13"/>
      <c r="EQ32" s="13"/>
      <c r="ER32" s="13"/>
      <c r="ES32" s="13"/>
      <c r="ET32" s="23"/>
      <c r="EU32" s="23"/>
      <c r="EV32" s="14"/>
      <c r="EW32" s="15"/>
      <c r="EX32" s="23"/>
      <c r="EY32" s="23"/>
      <c r="EZ32" s="23"/>
      <c r="FA32" s="23"/>
      <c r="FB32" s="23"/>
      <c r="FC32" s="24"/>
      <c r="FD32" s="22"/>
      <c r="FE32" s="23"/>
      <c r="FF32" s="23"/>
      <c r="FG32" s="23"/>
      <c r="FH32" s="23"/>
      <c r="FI32" s="23"/>
      <c r="FJ32" s="24"/>
      <c r="FK32" s="22"/>
      <c r="FL32" s="23"/>
      <c r="FM32" s="23"/>
      <c r="FN32" s="23"/>
      <c r="FO32" s="23"/>
      <c r="FP32" s="23"/>
      <c r="FQ32" s="24"/>
      <c r="FR32" s="22"/>
      <c r="FS32" s="23"/>
      <c r="FT32" s="23"/>
      <c r="FU32" s="23"/>
      <c r="FV32" s="23"/>
      <c r="FW32" s="23"/>
      <c r="FX32" s="24"/>
      <c r="FY32" s="22"/>
      <c r="FZ32" s="23"/>
      <c r="GA32" s="23"/>
      <c r="GB32" s="23"/>
      <c r="GC32" s="23"/>
      <c r="GD32" s="23"/>
      <c r="GE32" s="24"/>
      <c r="GF32" s="22"/>
      <c r="GG32" s="23"/>
      <c r="GH32" s="23"/>
    </row>
    <row r="33" spans="1:191" ht="20.25" customHeight="1">
      <c r="A33" s="332"/>
      <c r="B33" s="101" t="s">
        <v>87</v>
      </c>
      <c r="C33" s="101" t="str">
        <f>C32</f>
        <v>S1122</v>
      </c>
      <c r="D33" s="101" t="s">
        <v>85</v>
      </c>
      <c r="E33" s="337"/>
      <c r="F33" s="335"/>
      <c r="G33" s="353"/>
      <c r="H33" s="372"/>
      <c r="I33" s="46">
        <v>40470</v>
      </c>
      <c r="J33" s="47" t="s">
        <v>90</v>
      </c>
      <c r="K33" s="69"/>
      <c r="L33" s="47">
        <v>40431</v>
      </c>
      <c r="M33" s="47">
        <v>40432</v>
      </c>
      <c r="N33" s="46">
        <v>40432</v>
      </c>
      <c r="O33" s="47"/>
      <c r="P33" s="46">
        <v>40432</v>
      </c>
      <c r="Q33" s="46">
        <v>40435</v>
      </c>
      <c r="R33" s="46">
        <v>40440</v>
      </c>
      <c r="S33" s="105">
        <v>40435</v>
      </c>
      <c r="T33" s="106">
        <v>40438</v>
      </c>
      <c r="U33" s="13"/>
      <c r="V33" s="13"/>
      <c r="W33" s="13"/>
      <c r="X33" s="13"/>
      <c r="Y33" s="14"/>
      <c r="Z33" s="15"/>
      <c r="AA33" s="13"/>
      <c r="AB33" s="13"/>
      <c r="AC33" s="13"/>
      <c r="AD33" s="13"/>
      <c r="AE33" s="13"/>
      <c r="AF33" s="14"/>
      <c r="AG33" s="15"/>
      <c r="AH33" s="13"/>
      <c r="AI33" s="13"/>
      <c r="AJ33" s="13"/>
      <c r="AK33" s="13"/>
      <c r="AL33" s="13"/>
      <c r="AM33" s="14"/>
      <c r="AN33" s="15"/>
      <c r="AO33" s="13"/>
      <c r="AP33" s="15"/>
      <c r="AQ33" s="13"/>
      <c r="AR33" s="13"/>
      <c r="AS33" s="13"/>
      <c r="AT33" s="14"/>
      <c r="AU33" s="15"/>
      <c r="AV33" s="13"/>
      <c r="AW33" s="13"/>
      <c r="AX33" s="13"/>
      <c r="AY33" s="13"/>
      <c r="AZ33" s="13"/>
      <c r="BA33" s="14"/>
      <c r="BB33" s="15"/>
      <c r="BC33" s="13"/>
      <c r="BD33" s="13"/>
      <c r="BE33" s="13"/>
      <c r="BF33" s="13"/>
      <c r="BG33" s="13"/>
      <c r="BH33" s="14"/>
      <c r="BI33" s="15"/>
      <c r="BJ33" s="13"/>
      <c r="BK33" s="13"/>
      <c r="BL33" s="13"/>
      <c r="BM33" s="13"/>
      <c r="BN33" s="13"/>
      <c r="BO33" s="14"/>
      <c r="BP33" s="15"/>
      <c r="BQ33" s="13"/>
      <c r="BR33" s="13"/>
      <c r="BS33" s="13"/>
      <c r="BT33" s="13"/>
      <c r="BU33" s="13"/>
      <c r="BV33" s="14"/>
      <c r="BW33" s="15"/>
      <c r="BX33" s="13"/>
      <c r="BY33" s="13"/>
      <c r="BZ33" s="13"/>
      <c r="CA33" s="13"/>
      <c r="CB33" s="13"/>
      <c r="CC33" s="14"/>
      <c r="CD33" s="15"/>
      <c r="CE33" s="13"/>
      <c r="CF33" s="13"/>
      <c r="CG33" s="13"/>
      <c r="CH33" s="13"/>
      <c r="CI33" s="13"/>
      <c r="CJ33" s="14"/>
      <c r="CK33" s="15"/>
      <c r="CL33" s="13"/>
      <c r="CM33" s="13"/>
      <c r="CN33" s="13"/>
      <c r="CO33" s="13"/>
      <c r="CP33" s="13"/>
      <c r="CQ33" s="14"/>
      <c r="CR33" s="15"/>
      <c r="CS33" s="13"/>
      <c r="CT33" s="13"/>
      <c r="CU33" s="13"/>
      <c r="CV33" s="13"/>
      <c r="CW33" s="13"/>
      <c r="CX33" s="14"/>
      <c r="CY33" s="13"/>
      <c r="CZ33" s="13"/>
      <c r="DA33" s="14"/>
      <c r="DB33" s="15"/>
      <c r="DC33" s="13"/>
      <c r="DD33" s="13"/>
      <c r="DE33" s="13"/>
      <c r="DF33" s="13"/>
      <c r="DG33" s="13"/>
      <c r="DH33" s="14"/>
      <c r="DI33" s="15"/>
      <c r="DJ33" s="13"/>
      <c r="DK33" s="13"/>
      <c r="DL33" s="15"/>
      <c r="DM33" s="13"/>
      <c r="DN33" s="13"/>
      <c r="DO33" s="13"/>
      <c r="DP33" s="13"/>
      <c r="DQ33" s="13"/>
      <c r="DR33" s="14"/>
      <c r="DS33" s="15"/>
      <c r="DT33" s="13"/>
      <c r="DU33" s="13"/>
      <c r="DV33" s="13"/>
      <c r="DW33" s="13"/>
      <c r="DX33" s="13"/>
      <c r="DY33" s="14"/>
      <c r="DZ33" s="15"/>
      <c r="EA33" s="13"/>
      <c r="EB33" s="13"/>
      <c r="EC33" s="25"/>
      <c r="ED33" s="13"/>
      <c r="EE33" s="13"/>
      <c r="EF33" s="14"/>
      <c r="EG33" s="15"/>
      <c r="EH33" s="13"/>
      <c r="EI33" s="13"/>
      <c r="EJ33" s="13"/>
      <c r="EK33" s="13"/>
      <c r="EL33" s="13"/>
      <c r="EM33" s="14"/>
      <c r="EN33" s="15"/>
      <c r="EO33" s="13"/>
      <c r="EP33" s="13"/>
      <c r="EQ33" s="13"/>
      <c r="ER33" s="13"/>
      <c r="ES33" s="13"/>
      <c r="ET33" s="23"/>
      <c r="EU33" s="23"/>
      <c r="EV33" s="14"/>
      <c r="EW33" s="15"/>
      <c r="EX33" s="23"/>
      <c r="EY33" s="23"/>
      <c r="EZ33" s="23"/>
      <c r="FA33" s="23"/>
      <c r="FB33" s="23"/>
      <c r="FC33" s="24"/>
      <c r="FD33" s="22"/>
      <c r="FE33" s="23"/>
      <c r="FF33" s="23"/>
      <c r="FG33" s="23"/>
      <c r="FH33" s="23"/>
      <c r="FI33" s="23"/>
      <c r="FJ33" s="24"/>
      <c r="FK33" s="22"/>
      <c r="FL33" s="23"/>
      <c r="FM33" s="23"/>
      <c r="FN33" s="23"/>
      <c r="FO33" s="23"/>
      <c r="FP33" s="23"/>
      <c r="FQ33" s="24"/>
      <c r="FR33" s="22"/>
      <c r="FS33" s="23"/>
      <c r="FT33" s="23"/>
      <c r="FU33" s="23"/>
      <c r="FV33" s="23"/>
      <c r="FW33" s="23"/>
      <c r="FX33" s="24"/>
      <c r="FY33" s="22"/>
      <c r="FZ33" s="23"/>
      <c r="GA33" s="23"/>
      <c r="GB33" s="23"/>
      <c r="GC33" s="23"/>
      <c r="GD33" s="23"/>
      <c r="GE33" s="24"/>
      <c r="GF33" s="22"/>
      <c r="GG33" s="23"/>
      <c r="GH33" s="23"/>
    </row>
    <row r="34" spans="1:191" ht="20.25" customHeight="1">
      <c r="A34" s="332" t="s">
        <v>269</v>
      </c>
      <c r="B34" s="101" t="s">
        <v>119</v>
      </c>
      <c r="C34" s="101" t="s">
        <v>173</v>
      </c>
      <c r="D34" s="101" t="s">
        <v>137</v>
      </c>
      <c r="E34" s="336" t="s">
        <v>33</v>
      </c>
      <c r="F34" s="334">
        <v>106</v>
      </c>
      <c r="G34" s="352" t="s">
        <v>52</v>
      </c>
      <c r="H34" s="70" t="s">
        <v>17</v>
      </c>
      <c r="I34" s="46">
        <v>40462</v>
      </c>
      <c r="J34" s="47">
        <v>40434</v>
      </c>
      <c r="K34" s="51"/>
      <c r="L34" s="49" t="s">
        <v>3</v>
      </c>
      <c r="M34" s="49" t="s">
        <v>3</v>
      </c>
      <c r="N34" s="49" t="s">
        <v>3</v>
      </c>
      <c r="O34" s="49" t="s">
        <v>8</v>
      </c>
      <c r="P34" s="49" t="s">
        <v>8</v>
      </c>
      <c r="Q34" s="46">
        <v>40436</v>
      </c>
      <c r="R34" s="46">
        <v>40439</v>
      </c>
      <c r="S34" s="105">
        <v>40436</v>
      </c>
      <c r="T34" s="109">
        <v>40439</v>
      </c>
    </row>
    <row r="35" spans="1:191" ht="20.25" customHeight="1">
      <c r="A35" s="332"/>
      <c r="B35" s="101" t="s">
        <v>119</v>
      </c>
      <c r="C35" s="101" t="s">
        <v>173</v>
      </c>
      <c r="D35" s="101" t="s">
        <v>138</v>
      </c>
      <c r="E35" s="337"/>
      <c r="F35" s="335"/>
      <c r="G35" s="353"/>
      <c r="H35" s="50" t="s">
        <v>152</v>
      </c>
      <c r="I35" s="46">
        <v>40459</v>
      </c>
      <c r="J35" s="47" t="s">
        <v>51</v>
      </c>
      <c r="K35" s="51"/>
      <c r="L35" s="47">
        <v>40429</v>
      </c>
      <c r="M35" s="47">
        <v>40434</v>
      </c>
      <c r="N35" s="46">
        <v>40434</v>
      </c>
      <c r="O35" s="47"/>
      <c r="P35" s="47"/>
      <c r="Q35" s="46">
        <v>40436</v>
      </c>
      <c r="R35" s="46">
        <v>40440</v>
      </c>
      <c r="S35" s="105">
        <v>40436</v>
      </c>
      <c r="T35" s="109">
        <v>40439</v>
      </c>
    </row>
    <row r="36" spans="1:191" ht="18.75" customHeight="1">
      <c r="A36" s="332" t="s">
        <v>270</v>
      </c>
      <c r="B36" s="333" t="s">
        <v>25</v>
      </c>
      <c r="C36" s="330" t="s">
        <v>92</v>
      </c>
      <c r="D36" s="330" t="s">
        <v>94</v>
      </c>
      <c r="E36" s="336" t="s">
        <v>33</v>
      </c>
      <c r="F36" s="334">
        <v>70</v>
      </c>
      <c r="G36" s="352" t="s">
        <v>83</v>
      </c>
      <c r="H36" s="70" t="s">
        <v>17</v>
      </c>
      <c r="I36" s="46">
        <v>40507</v>
      </c>
      <c r="J36" s="47">
        <v>40437</v>
      </c>
      <c r="K36" s="51"/>
      <c r="L36" s="49" t="s">
        <v>3</v>
      </c>
      <c r="M36" s="49" t="s">
        <v>3</v>
      </c>
      <c r="N36" s="49" t="s">
        <v>3</v>
      </c>
      <c r="O36" s="49" t="s">
        <v>3</v>
      </c>
      <c r="P36" s="49" t="s">
        <v>8</v>
      </c>
      <c r="Q36" s="350">
        <v>40436</v>
      </c>
      <c r="R36" s="350">
        <v>40439</v>
      </c>
      <c r="S36" s="375">
        <v>40436</v>
      </c>
      <c r="T36" s="377">
        <v>40440</v>
      </c>
      <c r="U36" s="13"/>
      <c r="V36" s="13"/>
      <c r="W36" s="13"/>
      <c r="X36" s="13"/>
      <c r="Y36" s="14"/>
      <c r="Z36" s="15"/>
      <c r="AA36" s="13"/>
      <c r="AB36" s="13"/>
      <c r="AC36" s="13"/>
      <c r="AD36" s="13"/>
      <c r="AE36" s="13"/>
      <c r="AF36" s="14"/>
      <c r="AG36" s="15"/>
      <c r="AH36" s="13"/>
      <c r="AI36" s="13"/>
      <c r="AJ36" s="13"/>
      <c r="AK36" s="13"/>
      <c r="AL36" s="13"/>
      <c r="AM36" s="14"/>
      <c r="AN36" s="15"/>
      <c r="AO36" s="13"/>
      <c r="AP36" s="15"/>
      <c r="AQ36" s="13"/>
      <c r="AR36" s="13"/>
      <c r="AS36" s="13"/>
      <c r="AT36" s="14"/>
      <c r="AU36" s="15"/>
      <c r="AV36" s="13"/>
      <c r="AW36" s="13"/>
      <c r="AX36" s="13"/>
      <c r="AY36" s="13"/>
      <c r="AZ36" s="13"/>
      <c r="BA36" s="14"/>
      <c r="BB36" s="15"/>
      <c r="BC36" s="13"/>
      <c r="BD36" s="13"/>
      <c r="BE36" s="13"/>
      <c r="BF36" s="13"/>
      <c r="BG36" s="13"/>
      <c r="BH36" s="14"/>
      <c r="BI36" s="15"/>
      <c r="BJ36" s="13"/>
      <c r="BK36" s="13"/>
      <c r="BL36" s="13"/>
      <c r="BM36" s="13"/>
      <c r="BN36" s="13"/>
      <c r="BO36" s="14"/>
      <c r="BP36" s="15"/>
      <c r="BQ36" s="13"/>
      <c r="BR36" s="13"/>
      <c r="BS36" s="13"/>
      <c r="BT36" s="13"/>
      <c r="BU36" s="13"/>
      <c r="BV36" s="14"/>
      <c r="BW36" s="15"/>
      <c r="BX36" s="13"/>
      <c r="BY36" s="13"/>
      <c r="BZ36" s="13"/>
      <c r="CA36" s="13"/>
      <c r="CB36" s="13"/>
      <c r="CC36" s="14"/>
      <c r="CD36" s="15"/>
      <c r="CE36" s="13"/>
      <c r="CF36" s="13"/>
      <c r="CG36" s="13"/>
      <c r="CH36" s="13"/>
      <c r="CI36" s="13"/>
      <c r="CJ36" s="14"/>
      <c r="CK36" s="15"/>
      <c r="CL36" s="13"/>
      <c r="CM36" s="13"/>
      <c r="CN36" s="13"/>
      <c r="CO36" s="13"/>
      <c r="CP36" s="13"/>
      <c r="CQ36" s="14"/>
      <c r="CR36" s="15"/>
      <c r="CS36" s="13"/>
      <c r="CT36" s="13"/>
      <c r="CU36" s="13"/>
      <c r="CV36" s="13"/>
      <c r="CW36" s="13"/>
      <c r="CX36" s="14"/>
      <c r="CY36" s="13"/>
      <c r="CZ36" s="13"/>
      <c r="DA36" s="14"/>
      <c r="DB36" s="15"/>
      <c r="DC36" s="13"/>
      <c r="DD36" s="13"/>
      <c r="DE36" s="13"/>
      <c r="DF36" s="13"/>
      <c r="DG36" s="13"/>
      <c r="DH36" s="14"/>
      <c r="DI36" s="15"/>
      <c r="DJ36" s="13"/>
      <c r="DK36" s="13"/>
      <c r="DL36" s="15"/>
      <c r="DM36" s="13"/>
      <c r="DN36" s="13"/>
      <c r="DO36" s="13"/>
      <c r="DP36" s="13"/>
      <c r="DQ36" s="13"/>
      <c r="DR36" s="34"/>
      <c r="DS36" s="35"/>
      <c r="DT36" s="23"/>
      <c r="DU36" s="23"/>
      <c r="DV36" s="23"/>
      <c r="DW36" s="23"/>
      <c r="DX36" s="23"/>
      <c r="DY36" s="34"/>
      <c r="DZ36" s="35"/>
      <c r="EA36" s="23"/>
      <c r="EB36" s="23"/>
      <c r="EC36" s="23"/>
      <c r="ED36" s="23"/>
      <c r="EE36" s="23"/>
      <c r="EF36" s="34"/>
      <c r="EG36" s="35"/>
      <c r="EH36" s="23"/>
      <c r="EI36" s="23"/>
      <c r="EJ36" s="23"/>
      <c r="EK36" s="23"/>
      <c r="EL36" s="23"/>
      <c r="EM36" s="34"/>
      <c r="EN36" s="35"/>
      <c r="EO36" s="23"/>
      <c r="EP36" s="23"/>
      <c r="EQ36" s="23"/>
      <c r="ER36" s="23"/>
      <c r="ES36" s="23"/>
      <c r="ET36" s="23"/>
      <c r="EU36" s="23"/>
      <c r="EV36" s="14"/>
      <c r="EW36" s="15"/>
      <c r="EX36" s="23"/>
      <c r="EY36" s="23"/>
      <c r="EZ36" s="23"/>
      <c r="FA36" s="23"/>
      <c r="FB36" s="23"/>
      <c r="FC36" s="24"/>
      <c r="FD36" s="22"/>
      <c r="FE36" s="23"/>
      <c r="FF36" s="23"/>
      <c r="FG36" s="23"/>
      <c r="FH36" s="23"/>
      <c r="FI36" s="23"/>
      <c r="FJ36" s="24"/>
      <c r="FK36" s="22"/>
      <c r="FL36" s="23"/>
      <c r="FM36" s="23"/>
      <c r="FN36" s="23"/>
      <c r="FO36" s="23"/>
      <c r="FP36" s="23"/>
      <c r="FQ36" s="24"/>
      <c r="FR36" s="22"/>
      <c r="FS36" s="23"/>
      <c r="FT36" s="23"/>
      <c r="FU36" s="23"/>
      <c r="FV36" s="23"/>
      <c r="FW36" s="23"/>
      <c r="FX36" s="24"/>
      <c r="FY36" s="22"/>
      <c r="FZ36" s="23"/>
      <c r="GA36" s="23"/>
      <c r="GB36" s="23"/>
      <c r="GC36" s="23"/>
      <c r="GD36" s="23"/>
      <c r="GE36" s="24"/>
      <c r="GF36" s="22"/>
      <c r="GG36" s="23"/>
      <c r="GH36" s="23"/>
    </row>
    <row r="37" spans="1:191" ht="18.75" customHeight="1">
      <c r="A37" s="332"/>
      <c r="B37" s="333"/>
      <c r="C37" s="331"/>
      <c r="D37" s="331"/>
      <c r="E37" s="337"/>
      <c r="F37" s="335"/>
      <c r="G37" s="353"/>
      <c r="H37" s="50" t="s">
        <v>182</v>
      </c>
      <c r="I37" s="46">
        <v>40480</v>
      </c>
      <c r="J37" s="47" t="s">
        <v>38</v>
      </c>
      <c r="K37" s="51"/>
      <c r="L37" s="47">
        <v>40435</v>
      </c>
      <c r="M37" s="47">
        <v>40434</v>
      </c>
      <c r="N37" s="47">
        <v>40431</v>
      </c>
      <c r="O37" s="47">
        <v>40428</v>
      </c>
      <c r="P37" s="47"/>
      <c r="Q37" s="351"/>
      <c r="R37" s="351"/>
      <c r="S37" s="376"/>
      <c r="T37" s="378"/>
      <c r="U37" s="13"/>
      <c r="V37" s="13"/>
      <c r="W37" s="13"/>
      <c r="X37" s="13"/>
      <c r="Y37" s="14"/>
      <c r="Z37" s="15"/>
      <c r="AA37" s="13"/>
      <c r="AB37" s="13"/>
      <c r="AC37" s="13"/>
      <c r="AD37" s="13"/>
      <c r="AE37" s="13"/>
      <c r="AF37" s="14"/>
      <c r="AG37" s="15"/>
      <c r="AH37" s="13"/>
      <c r="AI37" s="13"/>
      <c r="AJ37" s="13"/>
      <c r="AK37" s="13"/>
      <c r="AL37" s="13"/>
      <c r="AM37" s="14"/>
      <c r="AN37" s="15"/>
      <c r="AO37" s="13"/>
      <c r="AP37" s="15"/>
      <c r="AQ37" s="13"/>
      <c r="AR37" s="13"/>
      <c r="AS37" s="13"/>
      <c r="AT37" s="14"/>
      <c r="AU37" s="15"/>
      <c r="AV37" s="13"/>
      <c r="AW37" s="13"/>
      <c r="AX37" s="13"/>
      <c r="AY37" s="13"/>
      <c r="AZ37" s="13"/>
      <c r="BA37" s="14"/>
      <c r="BB37" s="15"/>
      <c r="BC37" s="13"/>
      <c r="BD37" s="13"/>
      <c r="BE37" s="13"/>
      <c r="BF37" s="13"/>
      <c r="BG37" s="13"/>
      <c r="BH37" s="14"/>
      <c r="BI37" s="15"/>
      <c r="BJ37" s="13"/>
      <c r="BK37" s="13"/>
      <c r="BL37" s="13"/>
      <c r="BM37" s="13"/>
      <c r="BN37" s="13"/>
      <c r="BO37" s="14"/>
      <c r="BP37" s="15"/>
      <c r="BQ37" s="13"/>
      <c r="BR37" s="13"/>
      <c r="BS37" s="13"/>
      <c r="BT37" s="13"/>
      <c r="BU37" s="13"/>
      <c r="BV37" s="14"/>
      <c r="BW37" s="15"/>
      <c r="BX37" s="13"/>
      <c r="BY37" s="13"/>
      <c r="BZ37" s="13"/>
      <c r="CA37" s="13"/>
      <c r="CB37" s="13"/>
      <c r="CC37" s="14"/>
      <c r="CD37" s="15"/>
      <c r="CE37" s="13"/>
      <c r="CF37" s="13"/>
      <c r="CG37" s="13"/>
      <c r="CH37" s="13"/>
      <c r="CI37" s="13"/>
      <c r="CJ37" s="14"/>
      <c r="CK37" s="15"/>
      <c r="CL37" s="13"/>
      <c r="CM37" s="13"/>
      <c r="CN37" s="13"/>
      <c r="CO37" s="13"/>
      <c r="CP37" s="13"/>
      <c r="CQ37" s="14"/>
      <c r="CR37" s="15"/>
      <c r="CS37" s="13"/>
      <c r="CT37" s="13"/>
      <c r="CU37" s="13"/>
      <c r="CV37" s="13"/>
      <c r="CW37" s="13"/>
      <c r="CX37" s="14"/>
      <c r="CY37" s="13"/>
      <c r="CZ37" s="13"/>
      <c r="DA37" s="14"/>
      <c r="DB37" s="15"/>
      <c r="DC37" s="13"/>
      <c r="DD37" s="13"/>
      <c r="DE37" s="13"/>
      <c r="DF37" s="13"/>
      <c r="DG37" s="13"/>
      <c r="DH37" s="14"/>
      <c r="DI37" s="15"/>
      <c r="DJ37" s="13"/>
      <c r="DK37" s="13"/>
      <c r="DL37" s="15"/>
      <c r="DM37" s="13"/>
      <c r="DN37" s="13"/>
      <c r="DO37" s="13"/>
      <c r="DP37" s="13"/>
      <c r="DQ37" s="13"/>
      <c r="DR37" s="34"/>
      <c r="DS37" s="35"/>
      <c r="DT37" s="23"/>
      <c r="DU37" s="23"/>
      <c r="DV37" s="23"/>
      <c r="DW37" s="23"/>
      <c r="DX37" s="23"/>
      <c r="DY37" s="34"/>
      <c r="DZ37" s="35"/>
      <c r="EA37" s="23"/>
      <c r="EB37" s="23"/>
      <c r="EC37" s="23"/>
      <c r="ED37" s="23"/>
      <c r="EE37" s="23"/>
      <c r="EF37" s="34"/>
      <c r="EG37" s="35"/>
      <c r="EH37" s="23"/>
      <c r="EI37" s="23"/>
      <c r="EJ37" s="23"/>
      <c r="EK37" s="23"/>
      <c r="EL37" s="23"/>
      <c r="EM37" s="34"/>
      <c r="EN37" s="35"/>
      <c r="EO37" s="23"/>
      <c r="EP37" s="23"/>
      <c r="EQ37" s="23"/>
      <c r="ER37" s="23"/>
      <c r="ES37" s="23"/>
      <c r="ET37" s="23"/>
      <c r="EU37" s="23"/>
      <c r="EV37" s="14"/>
      <c r="EW37" s="15"/>
      <c r="EX37" s="23"/>
      <c r="EY37" s="23"/>
      <c r="EZ37" s="23"/>
      <c r="FA37" s="23"/>
      <c r="FB37" s="23"/>
      <c r="FC37" s="24"/>
      <c r="FD37" s="22"/>
      <c r="FE37" s="23"/>
      <c r="FF37" s="23"/>
      <c r="FG37" s="23"/>
      <c r="FH37" s="23"/>
      <c r="FI37" s="23"/>
      <c r="FJ37" s="24"/>
      <c r="FK37" s="22"/>
      <c r="FL37" s="23"/>
      <c r="FM37" s="23"/>
      <c r="FN37" s="23"/>
      <c r="FO37" s="23"/>
      <c r="FP37" s="23"/>
      <c r="FQ37" s="24"/>
      <c r="FR37" s="22"/>
      <c r="FS37" s="23"/>
      <c r="FT37" s="23"/>
      <c r="FU37" s="23"/>
      <c r="FV37" s="23"/>
      <c r="FW37" s="23"/>
      <c r="FX37" s="24"/>
      <c r="FY37" s="22"/>
      <c r="FZ37" s="23"/>
      <c r="GA37" s="23"/>
      <c r="GB37" s="23"/>
      <c r="GC37" s="23"/>
      <c r="GD37" s="23"/>
      <c r="GE37" s="24"/>
      <c r="GF37" s="22"/>
      <c r="GG37" s="23"/>
      <c r="GH37" s="23"/>
    </row>
    <row r="38" spans="1:191" ht="20.25" customHeight="1">
      <c r="A38" s="404">
        <v>16</v>
      </c>
      <c r="B38" s="101" t="s">
        <v>25</v>
      </c>
      <c r="C38" s="101" t="s">
        <v>191</v>
      </c>
      <c r="D38" s="101" t="s">
        <v>193</v>
      </c>
      <c r="E38" s="336" t="s">
        <v>33</v>
      </c>
      <c r="F38" s="334">
        <v>33</v>
      </c>
      <c r="G38" s="352" t="s">
        <v>52</v>
      </c>
      <c r="H38" s="70" t="s">
        <v>17</v>
      </c>
      <c r="I38" s="46">
        <v>40471</v>
      </c>
      <c r="J38" s="47">
        <v>40448</v>
      </c>
      <c r="K38" s="69"/>
      <c r="L38" s="49" t="s">
        <v>3</v>
      </c>
      <c r="M38" s="49" t="s">
        <v>3</v>
      </c>
      <c r="N38" s="49" t="s">
        <v>3</v>
      </c>
      <c r="O38" s="49" t="s">
        <v>8</v>
      </c>
      <c r="P38" s="49" t="s">
        <v>8</v>
      </c>
      <c r="Q38" s="110">
        <v>40437</v>
      </c>
      <c r="R38" s="110">
        <v>40439</v>
      </c>
      <c r="S38" s="111">
        <v>40438</v>
      </c>
      <c r="T38" s="116">
        <v>40440</v>
      </c>
      <c r="U38" s="92"/>
      <c r="V38" s="13"/>
      <c r="W38" s="13"/>
      <c r="X38" s="13"/>
      <c r="Y38" s="13"/>
      <c r="Z38" s="14"/>
      <c r="AA38" s="15"/>
      <c r="AB38" s="13"/>
      <c r="AC38" s="13"/>
      <c r="AD38" s="13"/>
      <c r="AE38" s="13"/>
      <c r="AF38" s="13"/>
      <c r="AG38" s="14"/>
      <c r="AH38" s="15"/>
      <c r="AI38" s="13"/>
      <c r="AJ38" s="13"/>
      <c r="AK38" s="13"/>
      <c r="AL38" s="13"/>
      <c r="AM38" s="13"/>
      <c r="AN38" s="14"/>
      <c r="AO38" s="15"/>
      <c r="AP38" s="13"/>
      <c r="AQ38" s="15"/>
      <c r="AR38" s="13"/>
      <c r="AS38" s="13"/>
      <c r="AT38" s="13"/>
      <c r="AU38" s="14"/>
      <c r="AV38" s="15"/>
      <c r="AW38" s="13"/>
      <c r="AX38" s="13"/>
      <c r="AY38" s="13"/>
      <c r="AZ38" s="13"/>
      <c r="BA38" s="13"/>
      <c r="BB38" s="14"/>
      <c r="BC38" s="15"/>
      <c r="BD38" s="13"/>
      <c r="BE38" s="13"/>
      <c r="BF38" s="13"/>
      <c r="BG38" s="13"/>
      <c r="BH38" s="13"/>
      <c r="BI38" s="14"/>
      <c r="BJ38" s="15"/>
      <c r="BK38" s="13"/>
      <c r="BL38" s="13"/>
      <c r="BM38" s="13"/>
      <c r="BN38" s="13"/>
      <c r="BO38" s="13"/>
      <c r="BP38" s="14"/>
      <c r="BQ38" s="15"/>
      <c r="BR38" s="13"/>
      <c r="BS38" s="13"/>
      <c r="BT38" s="13"/>
      <c r="BU38" s="13"/>
      <c r="BV38" s="13"/>
      <c r="BW38" s="14"/>
      <c r="BX38" s="15"/>
      <c r="BY38" s="13"/>
      <c r="BZ38" s="13"/>
      <c r="CA38" s="13"/>
      <c r="CB38" s="13"/>
      <c r="CC38" s="13"/>
      <c r="CD38" s="14"/>
      <c r="CE38" s="15"/>
      <c r="CF38" s="13"/>
      <c r="CG38" s="13"/>
      <c r="CH38" s="13"/>
      <c r="CI38" s="13"/>
      <c r="CJ38" s="13"/>
      <c r="CK38" s="14"/>
      <c r="CL38" s="15"/>
      <c r="CM38" s="13"/>
      <c r="CN38" s="13"/>
      <c r="CO38" s="13"/>
      <c r="CP38" s="13"/>
      <c r="CQ38" s="13"/>
      <c r="CR38" s="14"/>
      <c r="CS38" s="15"/>
      <c r="CT38" s="13"/>
      <c r="CU38" s="13"/>
      <c r="CV38" s="13"/>
      <c r="CW38" s="13"/>
      <c r="CX38" s="13"/>
      <c r="CY38" s="14"/>
      <c r="CZ38" s="13"/>
      <c r="DA38" s="13"/>
      <c r="DB38" s="14"/>
      <c r="DC38" s="15"/>
      <c r="DD38" s="13"/>
      <c r="DE38" s="13"/>
      <c r="DF38" s="13"/>
      <c r="DG38" s="13"/>
      <c r="DH38" s="13"/>
      <c r="DI38" s="14"/>
      <c r="DJ38" s="15"/>
      <c r="DK38" s="13"/>
      <c r="DL38" s="13"/>
      <c r="DM38" s="15"/>
      <c r="DN38" s="13"/>
      <c r="DO38" s="13"/>
      <c r="DP38" s="13"/>
      <c r="DQ38" s="13"/>
      <c r="DR38" s="13"/>
      <c r="DS38" s="14"/>
      <c r="DT38" s="15"/>
      <c r="DU38" s="13"/>
      <c r="DV38" s="13"/>
      <c r="DW38" s="13"/>
      <c r="DX38" s="13"/>
      <c r="DY38" s="13"/>
      <c r="DZ38" s="14"/>
      <c r="EA38" s="15"/>
      <c r="EB38" s="13"/>
      <c r="EC38" s="13"/>
      <c r="ED38" s="25"/>
      <c r="EE38" s="13"/>
      <c r="EF38" s="13"/>
      <c r="EG38" s="14"/>
      <c r="EH38" s="15"/>
      <c r="EI38" s="13"/>
      <c r="EJ38" s="13"/>
      <c r="EK38" s="13"/>
      <c r="EL38" s="13"/>
      <c r="EM38" s="13"/>
      <c r="EN38" s="14"/>
      <c r="EO38" s="15"/>
      <c r="EP38" s="13"/>
      <c r="EQ38" s="13"/>
      <c r="ER38" s="13"/>
      <c r="ES38" s="13"/>
      <c r="ET38" s="13"/>
      <c r="EU38" s="23"/>
      <c r="EV38" s="23"/>
      <c r="EW38" s="14"/>
      <c r="EX38" s="15"/>
      <c r="EY38" s="23"/>
      <c r="EZ38" s="23"/>
      <c r="FA38" s="23"/>
      <c r="FB38" s="23"/>
      <c r="FC38" s="23"/>
      <c r="FD38" s="24"/>
      <c r="FE38" s="22"/>
      <c r="FF38" s="23"/>
      <c r="FG38" s="23"/>
      <c r="FH38" s="23"/>
      <c r="FI38" s="23"/>
      <c r="FJ38" s="23"/>
      <c r="FK38" s="24"/>
      <c r="FL38" s="22"/>
      <c r="FM38" s="23"/>
      <c r="FN38" s="23"/>
      <c r="FO38" s="23"/>
      <c r="FP38" s="23"/>
      <c r="FQ38" s="23"/>
      <c r="FR38" s="24"/>
      <c r="FS38" s="22"/>
      <c r="FT38" s="23"/>
      <c r="FU38" s="23"/>
      <c r="FV38" s="23"/>
      <c r="FW38" s="23"/>
      <c r="FX38" s="23"/>
      <c r="FY38" s="24"/>
      <c r="FZ38" s="22"/>
      <c r="GA38" s="23"/>
      <c r="GB38" s="23"/>
      <c r="GC38" s="23"/>
      <c r="GD38" s="23"/>
      <c r="GE38" s="23"/>
      <c r="GF38" s="24"/>
      <c r="GG38" s="22"/>
      <c r="GH38" s="23"/>
      <c r="GI38" s="23"/>
    </row>
    <row r="39" spans="1:191" ht="20.25" customHeight="1">
      <c r="A39" s="404"/>
      <c r="B39" s="101" t="s">
        <v>25</v>
      </c>
      <c r="C39" s="101" t="s">
        <v>191</v>
      </c>
      <c r="D39" s="101" t="s">
        <v>192</v>
      </c>
      <c r="E39" s="337"/>
      <c r="F39" s="335"/>
      <c r="G39" s="353"/>
      <c r="H39" s="50" t="s">
        <v>234</v>
      </c>
      <c r="I39" s="46">
        <v>40469</v>
      </c>
      <c r="J39" s="47" t="s">
        <v>51</v>
      </c>
      <c r="K39" s="69"/>
      <c r="L39" s="47">
        <v>40435</v>
      </c>
      <c r="M39" s="47">
        <v>40437</v>
      </c>
      <c r="N39" s="46">
        <v>40437</v>
      </c>
      <c r="O39" s="47"/>
      <c r="P39" s="46"/>
      <c r="Q39" s="110">
        <v>40437</v>
      </c>
      <c r="R39" s="110">
        <v>40439</v>
      </c>
      <c r="S39" s="111">
        <v>40438</v>
      </c>
      <c r="T39" s="116">
        <v>40440</v>
      </c>
      <c r="U39" s="92"/>
      <c r="V39" s="13"/>
      <c r="W39" s="13"/>
      <c r="X39" s="13"/>
      <c r="Y39" s="13"/>
      <c r="Z39" s="14"/>
      <c r="AA39" s="15"/>
      <c r="AB39" s="13"/>
      <c r="AC39" s="13"/>
      <c r="AD39" s="13"/>
      <c r="AE39" s="13"/>
      <c r="AF39" s="13"/>
      <c r="AG39" s="14"/>
      <c r="AH39" s="15"/>
      <c r="AI39" s="13"/>
      <c r="AJ39" s="13"/>
      <c r="AK39" s="13"/>
      <c r="AL39" s="13"/>
      <c r="AM39" s="13"/>
      <c r="AN39" s="14"/>
      <c r="AO39" s="15"/>
      <c r="AP39" s="13"/>
      <c r="AQ39" s="15"/>
      <c r="AR39" s="13"/>
      <c r="AS39" s="13"/>
      <c r="AT39" s="13"/>
      <c r="AU39" s="14"/>
      <c r="AV39" s="15"/>
      <c r="AW39" s="13"/>
      <c r="AX39" s="13"/>
      <c r="AY39" s="13"/>
      <c r="AZ39" s="13"/>
      <c r="BA39" s="13"/>
      <c r="BB39" s="14"/>
      <c r="BC39" s="15"/>
      <c r="BD39" s="13"/>
      <c r="BE39" s="13"/>
      <c r="BF39" s="13"/>
      <c r="BG39" s="13"/>
      <c r="BH39" s="13"/>
      <c r="BI39" s="14"/>
      <c r="BJ39" s="15"/>
      <c r="BK39" s="13"/>
      <c r="BL39" s="13"/>
      <c r="BM39" s="13"/>
      <c r="BN39" s="13"/>
      <c r="BO39" s="13"/>
      <c r="BP39" s="14"/>
      <c r="BQ39" s="15"/>
      <c r="BR39" s="13"/>
      <c r="BS39" s="13"/>
      <c r="BT39" s="13"/>
      <c r="BU39" s="13"/>
      <c r="BV39" s="13"/>
      <c r="BW39" s="14"/>
      <c r="BX39" s="15"/>
      <c r="BY39" s="13"/>
      <c r="BZ39" s="13"/>
      <c r="CA39" s="13"/>
      <c r="CB39" s="13"/>
      <c r="CC39" s="13"/>
      <c r="CD39" s="14"/>
      <c r="CE39" s="15"/>
      <c r="CF39" s="13"/>
      <c r="CG39" s="13"/>
      <c r="CH39" s="13"/>
      <c r="CI39" s="13"/>
      <c r="CJ39" s="13"/>
      <c r="CK39" s="14"/>
      <c r="CL39" s="15"/>
      <c r="CM39" s="13"/>
      <c r="CN39" s="13"/>
      <c r="CO39" s="13"/>
      <c r="CP39" s="13"/>
      <c r="CQ39" s="13"/>
      <c r="CR39" s="14"/>
      <c r="CS39" s="15"/>
      <c r="CT39" s="13"/>
      <c r="CU39" s="13"/>
      <c r="CV39" s="13"/>
      <c r="CW39" s="13"/>
      <c r="CX39" s="13"/>
      <c r="CY39" s="14"/>
      <c r="CZ39" s="13"/>
      <c r="DA39" s="13"/>
      <c r="DB39" s="14"/>
      <c r="DC39" s="15"/>
      <c r="DD39" s="13"/>
      <c r="DE39" s="13"/>
      <c r="DF39" s="13"/>
      <c r="DG39" s="13"/>
      <c r="DH39" s="13"/>
      <c r="DI39" s="14"/>
      <c r="DJ39" s="15"/>
      <c r="DK39" s="13"/>
      <c r="DL39" s="13"/>
      <c r="DM39" s="15"/>
      <c r="DN39" s="13"/>
      <c r="DO39" s="13"/>
      <c r="DP39" s="13"/>
      <c r="DQ39" s="13"/>
      <c r="DR39" s="13"/>
      <c r="DS39" s="14"/>
      <c r="DT39" s="15"/>
      <c r="DU39" s="13"/>
      <c r="DV39" s="13"/>
      <c r="DW39" s="13"/>
      <c r="DX39" s="13"/>
      <c r="DY39" s="13"/>
      <c r="DZ39" s="14"/>
      <c r="EA39" s="15"/>
      <c r="EB39" s="13"/>
      <c r="EC39" s="13"/>
      <c r="ED39" s="25"/>
      <c r="EE39" s="13"/>
      <c r="EF39" s="13"/>
      <c r="EG39" s="14"/>
      <c r="EH39" s="15"/>
      <c r="EI39" s="13"/>
      <c r="EJ39" s="13"/>
      <c r="EK39" s="13"/>
      <c r="EL39" s="13"/>
      <c r="EM39" s="13"/>
      <c r="EN39" s="14"/>
      <c r="EO39" s="15"/>
      <c r="EP39" s="13"/>
      <c r="EQ39" s="13"/>
      <c r="ER39" s="13"/>
      <c r="ES39" s="13"/>
      <c r="ET39" s="13"/>
      <c r="EU39" s="23"/>
      <c r="EV39" s="23"/>
      <c r="EW39" s="14"/>
      <c r="EX39" s="15"/>
      <c r="EY39" s="23"/>
      <c r="EZ39" s="23"/>
      <c r="FA39" s="23"/>
      <c r="FB39" s="23"/>
      <c r="FC39" s="23"/>
      <c r="FD39" s="24"/>
      <c r="FE39" s="22"/>
      <c r="FF39" s="23"/>
      <c r="FG39" s="23"/>
      <c r="FH39" s="23"/>
      <c r="FI39" s="23"/>
      <c r="FJ39" s="23"/>
      <c r="FK39" s="24"/>
      <c r="FL39" s="22"/>
      <c r="FM39" s="23"/>
      <c r="FN39" s="23"/>
      <c r="FO39" s="23"/>
      <c r="FP39" s="23"/>
      <c r="FQ39" s="23"/>
      <c r="FR39" s="24"/>
      <c r="FS39" s="22"/>
      <c r="FT39" s="23"/>
      <c r="FU39" s="23"/>
      <c r="FV39" s="23"/>
      <c r="FW39" s="23"/>
      <c r="FX39" s="23"/>
      <c r="FY39" s="24"/>
      <c r="FZ39" s="22"/>
      <c r="GA39" s="23"/>
      <c r="GB39" s="23"/>
      <c r="GC39" s="23"/>
      <c r="GD39" s="23"/>
      <c r="GE39" s="23"/>
      <c r="GF39" s="24"/>
      <c r="GG39" s="22"/>
      <c r="GH39" s="23"/>
      <c r="GI39" s="23"/>
    </row>
    <row r="40" spans="1:191" ht="20.25" customHeight="1">
      <c r="A40" s="332" t="s">
        <v>279</v>
      </c>
      <c r="B40" s="101" t="s">
        <v>25</v>
      </c>
      <c r="C40" s="101" t="s">
        <v>228</v>
      </c>
      <c r="D40" s="101" t="s">
        <v>229</v>
      </c>
      <c r="E40" s="336" t="s">
        <v>33</v>
      </c>
      <c r="F40" s="334">
        <v>75</v>
      </c>
      <c r="G40" s="352" t="s">
        <v>52</v>
      </c>
      <c r="H40" s="70" t="s">
        <v>17</v>
      </c>
      <c r="I40" s="46">
        <v>40469</v>
      </c>
      <c r="J40" s="47">
        <v>40441</v>
      </c>
      <c r="K40" s="51"/>
      <c r="L40" s="49" t="s">
        <v>3</v>
      </c>
      <c r="M40" s="49" t="s">
        <v>3</v>
      </c>
      <c r="N40" s="49" t="s">
        <v>3</v>
      </c>
      <c r="O40" s="49" t="s">
        <v>8</v>
      </c>
      <c r="P40" s="49" t="s">
        <v>8</v>
      </c>
      <c r="Q40" s="46">
        <v>40437</v>
      </c>
      <c r="R40" s="46">
        <v>40439</v>
      </c>
      <c r="S40" s="105">
        <v>40438</v>
      </c>
      <c r="T40" s="109">
        <v>40441</v>
      </c>
    </row>
    <row r="41" spans="1:191" ht="20.25" customHeight="1">
      <c r="A41" s="332"/>
      <c r="B41" s="101" t="s">
        <v>25</v>
      </c>
      <c r="C41" s="101" t="s">
        <v>228</v>
      </c>
      <c r="D41" s="101" t="s">
        <v>230</v>
      </c>
      <c r="E41" s="337"/>
      <c r="F41" s="335"/>
      <c r="G41" s="353"/>
      <c r="H41" s="50" t="s">
        <v>234</v>
      </c>
      <c r="I41" s="46">
        <v>40469</v>
      </c>
      <c r="J41" s="47" t="s">
        <v>51</v>
      </c>
      <c r="K41" s="51"/>
      <c r="L41" s="47">
        <v>40434</v>
      </c>
      <c r="M41" s="47">
        <v>40437</v>
      </c>
      <c r="N41" s="46">
        <v>40437</v>
      </c>
      <c r="O41" s="47"/>
      <c r="P41" s="47"/>
      <c r="Q41" s="46">
        <v>40437</v>
      </c>
      <c r="R41" s="46">
        <v>40440</v>
      </c>
      <c r="S41" s="105">
        <v>40438</v>
      </c>
      <c r="T41" s="109">
        <v>40441</v>
      </c>
    </row>
    <row r="42" spans="1:191" ht="20.25" customHeight="1">
      <c r="A42" s="332" t="s">
        <v>264</v>
      </c>
      <c r="B42" s="101" t="s">
        <v>161</v>
      </c>
      <c r="C42" s="101" t="s">
        <v>168</v>
      </c>
      <c r="D42" s="101" t="s">
        <v>162</v>
      </c>
      <c r="E42" s="336" t="s">
        <v>33</v>
      </c>
      <c r="F42" s="334">
        <v>36</v>
      </c>
      <c r="G42" s="352" t="s">
        <v>52</v>
      </c>
      <c r="H42" s="70" t="s">
        <v>17</v>
      </c>
      <c r="I42" s="46">
        <v>40473</v>
      </c>
      <c r="J42" s="47">
        <v>40435</v>
      </c>
      <c r="K42" s="51"/>
      <c r="L42" s="49" t="s">
        <v>3</v>
      </c>
      <c r="M42" s="49" t="s">
        <v>3</v>
      </c>
      <c r="N42" s="49" t="s">
        <v>3</v>
      </c>
      <c r="O42" s="49" t="s">
        <v>8</v>
      </c>
      <c r="P42" s="49" t="s">
        <v>8</v>
      </c>
      <c r="Q42" s="46">
        <v>40439</v>
      </c>
      <c r="R42" s="46">
        <v>40441</v>
      </c>
      <c r="S42" s="105">
        <v>40439</v>
      </c>
      <c r="T42" s="109">
        <v>40441</v>
      </c>
    </row>
    <row r="43" spans="1:191" ht="20.25" customHeight="1">
      <c r="A43" s="332"/>
      <c r="B43" s="101" t="s">
        <v>161</v>
      </c>
      <c r="C43" s="101" t="s">
        <v>168</v>
      </c>
      <c r="D43" s="101" t="s">
        <v>163</v>
      </c>
      <c r="E43" s="337"/>
      <c r="F43" s="335"/>
      <c r="G43" s="353"/>
      <c r="H43" s="50" t="s">
        <v>236</v>
      </c>
      <c r="I43" s="46">
        <v>40469</v>
      </c>
      <c r="J43" s="47" t="s">
        <v>51</v>
      </c>
      <c r="K43" s="51"/>
      <c r="L43" s="47">
        <v>40438</v>
      </c>
      <c r="M43" s="47">
        <v>40438</v>
      </c>
      <c r="N43" s="46">
        <v>40437</v>
      </c>
      <c r="O43" s="47"/>
      <c r="P43" s="47"/>
      <c r="Q43" s="46">
        <v>40439</v>
      </c>
      <c r="R43" s="46">
        <v>40441</v>
      </c>
      <c r="S43" s="105">
        <v>40439</v>
      </c>
      <c r="T43" s="109">
        <v>40441</v>
      </c>
    </row>
    <row r="44" spans="1:191" ht="20.25" customHeight="1">
      <c r="A44" s="332" t="s">
        <v>271</v>
      </c>
      <c r="B44" s="113" t="s">
        <v>164</v>
      </c>
      <c r="C44" s="113" t="s">
        <v>165</v>
      </c>
      <c r="D44" s="113" t="s">
        <v>166</v>
      </c>
      <c r="E44" s="336" t="s">
        <v>37</v>
      </c>
      <c r="F44" s="334">
        <v>43.03</v>
      </c>
      <c r="G44" s="352" t="s">
        <v>227</v>
      </c>
      <c r="H44" s="70" t="s">
        <v>17</v>
      </c>
      <c r="I44" s="46">
        <v>40512</v>
      </c>
      <c r="J44" s="47">
        <v>40441</v>
      </c>
      <c r="K44" s="51"/>
      <c r="L44" s="49" t="s">
        <v>3</v>
      </c>
      <c r="M44" s="49" t="s">
        <v>3</v>
      </c>
      <c r="N44" s="49" t="s">
        <v>8</v>
      </c>
      <c r="O44" s="49" t="s">
        <v>8</v>
      </c>
      <c r="P44" s="49" t="s">
        <v>8</v>
      </c>
      <c r="Q44" s="110">
        <v>40439</v>
      </c>
      <c r="R44" s="110">
        <v>40441</v>
      </c>
      <c r="S44" s="111">
        <v>40439</v>
      </c>
      <c r="T44" s="112">
        <v>40448</v>
      </c>
    </row>
    <row r="45" spans="1:191" ht="20.25" customHeight="1">
      <c r="A45" s="332"/>
      <c r="B45" s="113" t="s">
        <v>164</v>
      </c>
      <c r="C45" s="113" t="s">
        <v>165</v>
      </c>
      <c r="D45" s="113" t="s">
        <v>167</v>
      </c>
      <c r="E45" s="337"/>
      <c r="F45" s="335"/>
      <c r="G45" s="353"/>
      <c r="H45" s="50" t="s">
        <v>182</v>
      </c>
      <c r="I45" s="46">
        <v>40469</v>
      </c>
      <c r="J45" s="47" t="s">
        <v>51</v>
      </c>
      <c r="K45" s="51"/>
      <c r="L45" s="47">
        <v>40436</v>
      </c>
      <c r="M45" s="47">
        <v>40437</v>
      </c>
      <c r="N45" s="47"/>
      <c r="O45" s="47"/>
      <c r="P45" s="47"/>
      <c r="Q45" s="110">
        <v>40439</v>
      </c>
      <c r="R45" s="110">
        <v>40446</v>
      </c>
      <c r="S45" s="111">
        <v>40439</v>
      </c>
      <c r="T45" s="112">
        <v>40448</v>
      </c>
    </row>
    <row r="46" spans="1:191" ht="20.25" customHeight="1">
      <c r="A46" s="357">
        <v>20</v>
      </c>
      <c r="B46" s="101" t="s">
        <v>79</v>
      </c>
      <c r="C46" s="101" t="s">
        <v>80</v>
      </c>
      <c r="D46" s="101" t="s">
        <v>81</v>
      </c>
      <c r="E46" s="336" t="s">
        <v>37</v>
      </c>
      <c r="F46" s="334">
        <v>100</v>
      </c>
      <c r="G46" s="352" t="s">
        <v>83</v>
      </c>
      <c r="H46" s="70" t="s">
        <v>17</v>
      </c>
      <c r="I46" s="46">
        <v>40493</v>
      </c>
      <c r="J46" s="47">
        <v>40447</v>
      </c>
      <c r="K46" s="51"/>
      <c r="L46" s="49" t="s">
        <v>3</v>
      </c>
      <c r="M46" s="49" t="s">
        <v>3</v>
      </c>
      <c r="N46" s="49" t="s">
        <v>8</v>
      </c>
      <c r="O46" s="49" t="s">
        <v>8</v>
      </c>
      <c r="P46" s="49" t="s">
        <v>8</v>
      </c>
      <c r="Q46" s="46">
        <v>40440</v>
      </c>
      <c r="R46" s="46">
        <v>40447</v>
      </c>
      <c r="S46" s="105">
        <v>40440</v>
      </c>
      <c r="T46" s="109">
        <v>40449</v>
      </c>
      <c r="U46" s="379" t="s">
        <v>273</v>
      </c>
      <c r="V46" s="380"/>
      <c r="W46" s="13"/>
      <c r="X46" s="13"/>
      <c r="Y46" s="14"/>
      <c r="Z46" s="15"/>
      <c r="AA46" s="13"/>
      <c r="AB46" s="13"/>
      <c r="AC46" s="13"/>
      <c r="AD46" s="13"/>
      <c r="AE46" s="13"/>
      <c r="AF46" s="14"/>
      <c r="AG46" s="15"/>
      <c r="AH46" s="13"/>
      <c r="AI46" s="13"/>
      <c r="AJ46" s="13"/>
      <c r="AK46" s="13"/>
      <c r="AL46" s="13"/>
      <c r="AM46" s="14"/>
      <c r="AN46" s="15"/>
      <c r="AO46" s="13"/>
      <c r="AP46" s="15"/>
      <c r="AQ46" s="13"/>
      <c r="AR46" s="13"/>
      <c r="AS46" s="13"/>
      <c r="AT46" s="14"/>
      <c r="AU46" s="15"/>
      <c r="AV46" s="13"/>
      <c r="AW46" s="13"/>
      <c r="AX46" s="13"/>
      <c r="AY46" s="13"/>
      <c r="AZ46" s="13"/>
      <c r="BA46" s="14"/>
      <c r="BB46" s="15"/>
      <c r="BC46" s="13"/>
      <c r="BD46" s="13"/>
      <c r="BE46" s="13"/>
      <c r="BF46" s="13"/>
      <c r="BG46" s="13"/>
      <c r="BH46" s="14"/>
      <c r="BI46" s="15"/>
      <c r="BJ46" s="13"/>
      <c r="BK46" s="13"/>
      <c r="BL46" s="13"/>
      <c r="BM46" s="13"/>
      <c r="BN46" s="13"/>
      <c r="BO46" s="14"/>
      <c r="BP46" s="15"/>
      <c r="BQ46" s="13"/>
      <c r="BR46" s="13"/>
      <c r="BS46" s="13"/>
      <c r="BT46" s="13"/>
      <c r="BU46" s="13"/>
      <c r="BV46" s="14"/>
      <c r="BW46" s="15"/>
      <c r="BX46" s="13"/>
      <c r="BY46" s="13"/>
      <c r="BZ46" s="13"/>
      <c r="CA46" s="13"/>
      <c r="CB46" s="13"/>
      <c r="CC46" s="14"/>
      <c r="CD46" s="15"/>
      <c r="CE46" s="13"/>
      <c r="CF46" s="13"/>
      <c r="CG46" s="13"/>
      <c r="CH46" s="13"/>
      <c r="CI46" s="13"/>
      <c r="CJ46" s="14"/>
      <c r="CK46" s="15"/>
      <c r="CL46" s="13"/>
      <c r="CM46" s="13"/>
      <c r="CN46" s="13"/>
      <c r="CO46" s="13"/>
      <c r="CP46" s="13"/>
      <c r="CQ46" s="14"/>
      <c r="CR46" s="15"/>
      <c r="CS46" s="13"/>
      <c r="CT46" s="13"/>
      <c r="CU46" s="13"/>
      <c r="CV46" s="13"/>
      <c r="CW46" s="13"/>
      <c r="CX46" s="14"/>
      <c r="CY46" s="13"/>
      <c r="CZ46" s="13"/>
      <c r="DA46" s="14"/>
      <c r="DB46" s="15"/>
      <c r="DC46" s="13"/>
      <c r="DD46" s="13"/>
      <c r="DE46" s="13"/>
      <c r="DF46" s="13"/>
      <c r="DG46" s="13"/>
      <c r="DH46" s="14"/>
      <c r="DI46" s="15"/>
      <c r="DJ46" s="13"/>
      <c r="DK46" s="13"/>
      <c r="DL46" s="15"/>
      <c r="DM46" s="13"/>
      <c r="DN46" s="13"/>
      <c r="DO46" s="13"/>
      <c r="DP46" s="13"/>
      <c r="DQ46" s="13"/>
      <c r="DR46" s="34"/>
      <c r="DS46" s="35"/>
      <c r="DT46" s="23"/>
      <c r="DU46" s="23"/>
      <c r="DV46" s="23"/>
      <c r="DW46" s="23"/>
      <c r="DX46" s="23"/>
      <c r="DY46" s="34"/>
      <c r="DZ46" s="35"/>
      <c r="EA46" s="23"/>
      <c r="EB46" s="23"/>
      <c r="EC46" s="23"/>
      <c r="ED46" s="23"/>
      <c r="EE46" s="23"/>
      <c r="EF46" s="34"/>
      <c r="EG46" s="35"/>
      <c r="EH46" s="23"/>
      <c r="EI46" s="23"/>
      <c r="EJ46" s="23"/>
      <c r="EK46" s="23"/>
      <c r="EL46" s="23"/>
      <c r="EM46" s="34"/>
      <c r="EN46" s="35"/>
      <c r="EO46" s="23"/>
      <c r="EP46" s="23"/>
      <c r="EQ46" s="23"/>
      <c r="ER46" s="23"/>
      <c r="ES46" s="23"/>
      <c r="ET46" s="23"/>
      <c r="EU46" s="23"/>
      <c r="EV46" s="14"/>
      <c r="EW46" s="15"/>
      <c r="EX46" s="23"/>
      <c r="EY46" s="23"/>
      <c r="EZ46" s="23"/>
      <c r="FA46" s="23"/>
      <c r="FB46" s="23"/>
      <c r="FC46" s="24"/>
      <c r="FD46" s="22"/>
      <c r="FE46" s="23"/>
      <c r="FF46" s="23"/>
      <c r="FG46" s="23"/>
      <c r="FH46" s="23"/>
      <c r="FI46" s="23"/>
      <c r="FJ46" s="24"/>
      <c r="FK46" s="22"/>
      <c r="FL46" s="23"/>
      <c r="FM46" s="23"/>
      <c r="FN46" s="23"/>
      <c r="FO46" s="23"/>
      <c r="FP46" s="23"/>
      <c r="FQ46" s="24"/>
      <c r="FR46" s="22"/>
      <c r="FS46" s="23"/>
      <c r="FT46" s="23"/>
      <c r="FU46" s="23"/>
      <c r="FV46" s="23"/>
      <c r="FW46" s="23"/>
      <c r="FX46" s="24"/>
      <c r="FY46" s="22"/>
      <c r="FZ46" s="23"/>
      <c r="GA46" s="23"/>
      <c r="GB46" s="23"/>
      <c r="GC46" s="23"/>
      <c r="GD46" s="23"/>
      <c r="GE46" s="24"/>
      <c r="GF46" s="22"/>
      <c r="GG46" s="23"/>
      <c r="GH46" s="23"/>
    </row>
    <row r="47" spans="1:191" ht="20.25" customHeight="1">
      <c r="A47" s="357"/>
      <c r="B47" s="101" t="s">
        <v>79</v>
      </c>
      <c r="C47" s="101" t="s">
        <v>80</v>
      </c>
      <c r="D47" s="101" t="s">
        <v>82</v>
      </c>
      <c r="E47" s="337"/>
      <c r="F47" s="335"/>
      <c r="G47" s="353"/>
      <c r="H47" s="50" t="s">
        <v>235</v>
      </c>
      <c r="I47" s="46">
        <v>40469</v>
      </c>
      <c r="J47" s="47" t="s">
        <v>251</v>
      </c>
      <c r="K47" s="51"/>
      <c r="L47" s="47">
        <v>40439</v>
      </c>
      <c r="M47" s="47">
        <v>40441</v>
      </c>
      <c r="N47" s="47"/>
      <c r="O47" s="47"/>
      <c r="P47" s="47"/>
      <c r="Q47" s="46">
        <v>40440</v>
      </c>
      <c r="R47" s="46">
        <v>40448</v>
      </c>
      <c r="S47" s="105">
        <v>40440</v>
      </c>
      <c r="T47" s="109">
        <v>40449</v>
      </c>
      <c r="U47" s="13"/>
      <c r="V47" s="13"/>
      <c r="W47" s="13"/>
      <c r="X47" s="13"/>
      <c r="Y47" s="14"/>
      <c r="Z47" s="15"/>
      <c r="AA47" s="13"/>
      <c r="AB47" s="13"/>
      <c r="AC47" s="13"/>
      <c r="AD47" s="13"/>
      <c r="AE47" s="13"/>
      <c r="AF47" s="14"/>
      <c r="AG47" s="15"/>
      <c r="AH47" s="13"/>
      <c r="AI47" s="13"/>
      <c r="AJ47" s="13"/>
      <c r="AK47" s="13"/>
      <c r="AL47" s="13"/>
      <c r="AM47" s="14"/>
      <c r="AN47" s="15"/>
      <c r="AO47" s="13"/>
      <c r="AP47" s="15"/>
      <c r="AQ47" s="13"/>
      <c r="AR47" s="13"/>
      <c r="AS47" s="13"/>
      <c r="AT47" s="14"/>
      <c r="AU47" s="15"/>
      <c r="AV47" s="13"/>
      <c r="AW47" s="13"/>
      <c r="AX47" s="13"/>
      <c r="AY47" s="13"/>
      <c r="AZ47" s="13"/>
      <c r="BA47" s="14"/>
      <c r="BB47" s="15"/>
      <c r="BC47" s="13"/>
      <c r="BD47" s="13"/>
      <c r="BE47" s="13"/>
      <c r="BF47" s="13"/>
      <c r="BG47" s="13"/>
      <c r="BH47" s="14"/>
      <c r="BI47" s="15"/>
      <c r="BJ47" s="13"/>
      <c r="BK47" s="13"/>
      <c r="BL47" s="13"/>
      <c r="BM47" s="13"/>
      <c r="BN47" s="13"/>
      <c r="BO47" s="14"/>
      <c r="BP47" s="15"/>
      <c r="BQ47" s="13"/>
      <c r="BR47" s="13"/>
      <c r="BS47" s="13"/>
      <c r="BT47" s="13"/>
      <c r="BU47" s="13"/>
      <c r="BV47" s="14"/>
      <c r="BW47" s="15"/>
      <c r="BX47" s="13"/>
      <c r="BY47" s="13"/>
      <c r="BZ47" s="13"/>
      <c r="CA47" s="13"/>
      <c r="CB47" s="13"/>
      <c r="CC47" s="14"/>
      <c r="CD47" s="15"/>
      <c r="CE47" s="13"/>
      <c r="CF47" s="13"/>
      <c r="CG47" s="13"/>
      <c r="CH47" s="13"/>
      <c r="CI47" s="13"/>
      <c r="CJ47" s="14"/>
      <c r="CK47" s="15"/>
      <c r="CL47" s="13"/>
      <c r="CM47" s="13"/>
      <c r="CN47" s="13"/>
      <c r="CO47" s="13"/>
      <c r="CP47" s="13"/>
      <c r="CQ47" s="14"/>
      <c r="CR47" s="15"/>
      <c r="CS47" s="13"/>
      <c r="CT47" s="13"/>
      <c r="CU47" s="13"/>
      <c r="CV47" s="13"/>
      <c r="CW47" s="13"/>
      <c r="CX47" s="14"/>
      <c r="CY47" s="13"/>
      <c r="CZ47" s="13"/>
      <c r="DA47" s="14"/>
      <c r="DB47" s="15"/>
      <c r="DC47" s="13"/>
      <c r="DD47" s="13"/>
      <c r="DE47" s="13"/>
      <c r="DF47" s="13"/>
      <c r="DG47" s="13"/>
      <c r="DH47" s="14"/>
      <c r="DI47" s="15"/>
      <c r="DJ47" s="13"/>
      <c r="DK47" s="13"/>
      <c r="DL47" s="15"/>
      <c r="DM47" s="13"/>
      <c r="DN47" s="13"/>
      <c r="DO47" s="13"/>
      <c r="DP47" s="13"/>
      <c r="DQ47" s="13"/>
      <c r="DR47" s="34"/>
      <c r="DS47" s="35"/>
      <c r="DT47" s="23"/>
      <c r="DU47" s="23"/>
      <c r="DV47" s="23"/>
      <c r="DW47" s="23"/>
      <c r="DX47" s="23"/>
      <c r="DY47" s="34"/>
      <c r="DZ47" s="35"/>
      <c r="EA47" s="23"/>
      <c r="EB47" s="23"/>
      <c r="EC47" s="23"/>
      <c r="ED47" s="23"/>
      <c r="EE47" s="23"/>
      <c r="EF47" s="34"/>
      <c r="EG47" s="35"/>
      <c r="EH47" s="23"/>
      <c r="EI47" s="23"/>
      <c r="EJ47" s="23"/>
      <c r="EK47" s="23"/>
      <c r="EL47" s="23"/>
      <c r="EM47" s="34"/>
      <c r="EN47" s="35"/>
      <c r="EO47" s="23"/>
      <c r="EP47" s="23"/>
      <c r="EQ47" s="23"/>
      <c r="ER47" s="23"/>
      <c r="ES47" s="23"/>
      <c r="ET47" s="23"/>
      <c r="EU47" s="23"/>
      <c r="EV47" s="14"/>
      <c r="EW47" s="15"/>
      <c r="EX47" s="23"/>
      <c r="EY47" s="23"/>
      <c r="EZ47" s="23"/>
      <c r="FA47" s="23"/>
      <c r="FB47" s="23"/>
      <c r="FC47" s="24"/>
      <c r="FD47" s="22"/>
      <c r="FE47" s="23"/>
      <c r="FF47" s="23"/>
      <c r="FG47" s="23"/>
      <c r="FH47" s="23"/>
      <c r="FI47" s="23"/>
      <c r="FJ47" s="24"/>
      <c r="FK47" s="22"/>
      <c r="FL47" s="23"/>
      <c r="FM47" s="23"/>
      <c r="FN47" s="23"/>
      <c r="FO47" s="23"/>
      <c r="FP47" s="23"/>
      <c r="FQ47" s="24"/>
      <c r="FR47" s="22"/>
      <c r="FS47" s="23"/>
      <c r="FT47" s="23"/>
      <c r="FU47" s="23"/>
      <c r="FV47" s="23"/>
      <c r="FW47" s="23"/>
      <c r="FX47" s="24"/>
      <c r="FY47" s="22"/>
      <c r="FZ47" s="23"/>
      <c r="GA47" s="23"/>
      <c r="GB47" s="23"/>
      <c r="GC47" s="23"/>
      <c r="GD47" s="23"/>
      <c r="GE47" s="24"/>
      <c r="GF47" s="22"/>
      <c r="GG47" s="23"/>
      <c r="GH47" s="23"/>
    </row>
    <row r="48" spans="1:191" ht="18.75" customHeight="1">
      <c r="A48" s="357">
        <v>21</v>
      </c>
      <c r="B48" s="330" t="s">
        <v>25</v>
      </c>
      <c r="C48" s="330" t="s">
        <v>194</v>
      </c>
      <c r="D48" s="330" t="s">
        <v>195</v>
      </c>
      <c r="E48" s="336" t="s">
        <v>33</v>
      </c>
      <c r="F48" s="334">
        <v>80</v>
      </c>
      <c r="G48" s="352" t="s">
        <v>22</v>
      </c>
      <c r="H48" s="70" t="s">
        <v>17</v>
      </c>
      <c r="I48" s="46">
        <v>40511</v>
      </c>
      <c r="J48" s="47">
        <v>40448</v>
      </c>
      <c r="K48" s="51"/>
      <c r="L48" s="49" t="s">
        <v>3</v>
      </c>
      <c r="M48" s="49" t="s">
        <v>3</v>
      </c>
      <c r="N48" s="49" t="s">
        <v>3</v>
      </c>
      <c r="O48" s="49" t="s">
        <v>3</v>
      </c>
      <c r="P48" s="49" t="s">
        <v>8</v>
      </c>
      <c r="Q48" s="350">
        <v>40441</v>
      </c>
      <c r="R48" s="350">
        <v>40447</v>
      </c>
      <c r="S48" s="375">
        <v>40441</v>
      </c>
      <c r="T48" s="381">
        <v>40450</v>
      </c>
      <c r="U48" s="13"/>
      <c r="V48" s="13"/>
      <c r="W48" s="13"/>
      <c r="X48" s="13"/>
      <c r="Y48" s="14"/>
      <c r="Z48" s="15"/>
      <c r="AA48" s="13"/>
      <c r="AB48" s="13"/>
      <c r="AC48" s="13"/>
      <c r="AD48" s="13"/>
      <c r="AE48" s="13"/>
      <c r="AF48" s="14"/>
      <c r="AG48" s="15"/>
      <c r="AH48" s="13"/>
      <c r="AI48" s="13"/>
      <c r="AJ48" s="13"/>
      <c r="AK48" s="13"/>
      <c r="AL48" s="13"/>
      <c r="AM48" s="14"/>
      <c r="AN48" s="15"/>
      <c r="AO48" s="13"/>
      <c r="AP48" s="15"/>
      <c r="AQ48" s="13"/>
      <c r="AR48" s="13"/>
      <c r="AS48" s="13"/>
      <c r="AT48" s="14"/>
      <c r="AU48" s="15"/>
      <c r="AV48" s="13"/>
      <c r="AW48" s="13"/>
      <c r="AX48" s="13"/>
      <c r="AY48" s="13"/>
      <c r="AZ48" s="13"/>
      <c r="BA48" s="14"/>
      <c r="BB48" s="15"/>
      <c r="BC48" s="13"/>
      <c r="BD48" s="13"/>
      <c r="BE48" s="13"/>
      <c r="BF48" s="13"/>
      <c r="BG48" s="13"/>
      <c r="BH48" s="14"/>
      <c r="BI48" s="15"/>
      <c r="BJ48" s="13"/>
      <c r="BK48" s="13"/>
      <c r="BL48" s="13"/>
      <c r="BM48" s="13"/>
      <c r="BN48" s="13"/>
      <c r="BO48" s="14"/>
      <c r="BP48" s="15"/>
      <c r="BQ48" s="13"/>
      <c r="BR48" s="13"/>
      <c r="BS48" s="13"/>
      <c r="BT48" s="13"/>
      <c r="BU48" s="13"/>
      <c r="BV48" s="14"/>
      <c r="BW48" s="15"/>
      <c r="BX48" s="13"/>
      <c r="BY48" s="13"/>
      <c r="BZ48" s="13"/>
      <c r="CA48" s="13"/>
      <c r="CB48" s="13"/>
      <c r="CC48" s="14"/>
      <c r="CD48" s="15"/>
      <c r="CE48" s="13"/>
      <c r="CF48" s="13"/>
      <c r="CG48" s="13"/>
      <c r="CH48" s="13"/>
      <c r="CI48" s="13"/>
      <c r="CJ48" s="14"/>
      <c r="CK48" s="15"/>
      <c r="CL48" s="13"/>
      <c r="CM48" s="13"/>
      <c r="CN48" s="13"/>
      <c r="CO48" s="13"/>
      <c r="CP48" s="13"/>
      <c r="CQ48" s="14"/>
      <c r="CR48" s="15"/>
      <c r="CS48" s="13"/>
      <c r="CT48" s="13"/>
      <c r="CU48" s="13"/>
      <c r="CV48" s="13"/>
      <c r="CW48" s="13"/>
      <c r="CX48" s="14"/>
      <c r="CY48" s="13"/>
      <c r="CZ48" s="13"/>
      <c r="DA48" s="14"/>
      <c r="DB48" s="15"/>
      <c r="DC48" s="13"/>
      <c r="DD48" s="13"/>
      <c r="DE48" s="13"/>
      <c r="DF48" s="13"/>
      <c r="DG48" s="13"/>
      <c r="DH48" s="14"/>
      <c r="DI48" s="15"/>
      <c r="DJ48" s="13"/>
      <c r="DK48" s="13"/>
      <c r="DL48" s="15"/>
      <c r="DM48" s="13"/>
      <c r="DN48" s="13"/>
      <c r="DO48" s="13"/>
      <c r="DP48" s="13"/>
      <c r="DQ48" s="13"/>
      <c r="DR48" s="34"/>
      <c r="DS48" s="35"/>
      <c r="DT48" s="23"/>
      <c r="DU48" s="23"/>
      <c r="DV48" s="23"/>
      <c r="DW48" s="23"/>
      <c r="DX48" s="23"/>
      <c r="DY48" s="34"/>
      <c r="DZ48" s="35"/>
      <c r="EA48" s="23"/>
      <c r="EB48" s="23"/>
      <c r="EC48" s="23"/>
      <c r="ED48" s="23"/>
      <c r="EE48" s="23"/>
      <c r="EF48" s="34"/>
      <c r="EG48" s="35"/>
      <c r="EH48" s="23"/>
      <c r="EI48" s="23"/>
      <c r="EJ48" s="23"/>
      <c r="EK48" s="23"/>
      <c r="EL48" s="23"/>
      <c r="EM48" s="34"/>
      <c r="EN48" s="35"/>
      <c r="EO48" s="23"/>
      <c r="EP48" s="23"/>
      <c r="EQ48" s="23"/>
      <c r="ER48" s="23"/>
      <c r="ES48" s="23"/>
      <c r="ET48" s="23"/>
      <c r="EU48" s="23"/>
      <c r="EV48" s="14"/>
      <c r="EW48" s="15"/>
      <c r="EX48" s="23"/>
      <c r="EY48" s="23"/>
      <c r="EZ48" s="23"/>
      <c r="FA48" s="23"/>
      <c r="FB48" s="23"/>
      <c r="FC48" s="24"/>
      <c r="FD48" s="22"/>
      <c r="FE48" s="23"/>
      <c r="FF48" s="23"/>
      <c r="FG48" s="23"/>
      <c r="FH48" s="23"/>
      <c r="FI48" s="23"/>
      <c r="FJ48" s="24"/>
      <c r="FK48" s="22"/>
      <c r="FL48" s="23"/>
      <c r="FM48" s="23"/>
      <c r="FN48" s="23"/>
      <c r="FO48" s="23"/>
      <c r="FP48" s="23"/>
      <c r="FQ48" s="24"/>
      <c r="FR48" s="22"/>
      <c r="FS48" s="23"/>
      <c r="FT48" s="23"/>
      <c r="FU48" s="23"/>
      <c r="FV48" s="23"/>
      <c r="FW48" s="23"/>
      <c r="FX48" s="24"/>
      <c r="FY48" s="22"/>
      <c r="FZ48" s="23"/>
      <c r="GA48" s="23"/>
      <c r="GB48" s="23"/>
      <c r="GC48" s="23"/>
      <c r="GD48" s="23"/>
      <c r="GE48" s="24"/>
      <c r="GF48" s="22"/>
      <c r="GG48" s="23"/>
      <c r="GH48" s="23"/>
    </row>
    <row r="49" spans="1:190" ht="18.75" customHeight="1">
      <c r="A49" s="357"/>
      <c r="B49" s="331"/>
      <c r="C49" s="331"/>
      <c r="D49" s="331"/>
      <c r="E49" s="337"/>
      <c r="F49" s="335"/>
      <c r="G49" s="353"/>
      <c r="H49" s="50" t="s">
        <v>247</v>
      </c>
      <c r="I49" s="46">
        <v>40480</v>
      </c>
      <c r="J49" s="47" t="s">
        <v>196</v>
      </c>
      <c r="K49" s="51"/>
      <c r="L49" s="47">
        <v>40438</v>
      </c>
      <c r="M49" s="47">
        <v>40441</v>
      </c>
      <c r="N49" s="47">
        <v>40436</v>
      </c>
      <c r="O49" s="47">
        <v>40434</v>
      </c>
      <c r="P49" s="47"/>
      <c r="Q49" s="351"/>
      <c r="R49" s="351"/>
      <c r="S49" s="376"/>
      <c r="T49" s="382"/>
      <c r="U49" s="13"/>
      <c r="V49" s="13"/>
      <c r="W49" s="13"/>
      <c r="X49" s="13"/>
      <c r="Y49" s="14"/>
      <c r="Z49" s="15"/>
      <c r="AA49" s="13"/>
      <c r="AB49" s="13"/>
      <c r="AC49" s="13"/>
      <c r="AD49" s="13"/>
      <c r="AE49" s="13"/>
      <c r="AF49" s="14"/>
      <c r="AG49" s="15"/>
      <c r="AH49" s="13"/>
      <c r="AI49" s="13"/>
      <c r="AJ49" s="13"/>
      <c r="AK49" s="13"/>
      <c r="AL49" s="13"/>
      <c r="AM49" s="14"/>
      <c r="AN49" s="15"/>
      <c r="AO49" s="13"/>
      <c r="AP49" s="15"/>
      <c r="AQ49" s="13"/>
      <c r="AR49" s="13"/>
      <c r="AS49" s="13"/>
      <c r="AT49" s="14"/>
      <c r="AU49" s="15"/>
      <c r="AV49" s="13"/>
      <c r="AW49" s="13"/>
      <c r="AX49" s="13"/>
      <c r="AY49" s="13"/>
      <c r="AZ49" s="13"/>
      <c r="BA49" s="14"/>
      <c r="BB49" s="15"/>
      <c r="BC49" s="13"/>
      <c r="BD49" s="13"/>
      <c r="BE49" s="13"/>
      <c r="BF49" s="13"/>
      <c r="BG49" s="13"/>
      <c r="BH49" s="14"/>
      <c r="BI49" s="15"/>
      <c r="BJ49" s="13"/>
      <c r="BK49" s="13"/>
      <c r="BL49" s="13"/>
      <c r="BM49" s="13"/>
      <c r="BN49" s="13"/>
      <c r="BO49" s="14"/>
      <c r="BP49" s="15"/>
      <c r="BQ49" s="13"/>
      <c r="BR49" s="13"/>
      <c r="BS49" s="13"/>
      <c r="BT49" s="13"/>
      <c r="BU49" s="13"/>
      <c r="BV49" s="14"/>
      <c r="BW49" s="15"/>
      <c r="BX49" s="13"/>
      <c r="BY49" s="13"/>
      <c r="BZ49" s="13"/>
      <c r="CA49" s="13"/>
      <c r="CB49" s="13"/>
      <c r="CC49" s="14"/>
      <c r="CD49" s="15"/>
      <c r="CE49" s="13"/>
      <c r="CF49" s="13"/>
      <c r="CG49" s="13"/>
      <c r="CH49" s="13"/>
      <c r="CI49" s="13"/>
      <c r="CJ49" s="14"/>
      <c r="CK49" s="15"/>
      <c r="CL49" s="13"/>
      <c r="CM49" s="13"/>
      <c r="CN49" s="13"/>
      <c r="CO49" s="13"/>
      <c r="CP49" s="13"/>
      <c r="CQ49" s="14"/>
      <c r="CR49" s="15"/>
      <c r="CS49" s="13"/>
      <c r="CT49" s="13"/>
      <c r="CU49" s="13"/>
      <c r="CV49" s="13"/>
      <c r="CW49" s="13"/>
      <c r="CX49" s="14"/>
      <c r="CY49" s="13"/>
      <c r="CZ49" s="13"/>
      <c r="DA49" s="14"/>
      <c r="DB49" s="15"/>
      <c r="DC49" s="13"/>
      <c r="DD49" s="13"/>
      <c r="DE49" s="13"/>
      <c r="DF49" s="13"/>
      <c r="DG49" s="13"/>
      <c r="DH49" s="14"/>
      <c r="DI49" s="15"/>
      <c r="DJ49" s="13"/>
      <c r="DK49" s="13"/>
      <c r="DL49" s="15"/>
      <c r="DM49" s="13"/>
      <c r="DN49" s="13"/>
      <c r="DO49" s="13"/>
      <c r="DP49" s="13"/>
      <c r="DQ49" s="13"/>
      <c r="DR49" s="34"/>
      <c r="DS49" s="35"/>
      <c r="DT49" s="23"/>
      <c r="DU49" s="23"/>
      <c r="DV49" s="23"/>
      <c r="DW49" s="23"/>
      <c r="DX49" s="23"/>
      <c r="DY49" s="34"/>
      <c r="DZ49" s="35"/>
      <c r="EA49" s="23"/>
      <c r="EB49" s="23"/>
      <c r="EC49" s="23"/>
      <c r="ED49" s="23"/>
      <c r="EE49" s="23"/>
      <c r="EF49" s="34"/>
      <c r="EG49" s="35"/>
      <c r="EH49" s="23"/>
      <c r="EI49" s="23"/>
      <c r="EJ49" s="23"/>
      <c r="EK49" s="23"/>
      <c r="EL49" s="23"/>
      <c r="EM49" s="34"/>
      <c r="EN49" s="35"/>
      <c r="EO49" s="23"/>
      <c r="EP49" s="23"/>
      <c r="EQ49" s="23"/>
      <c r="ER49" s="23"/>
      <c r="ES49" s="23"/>
      <c r="ET49" s="23"/>
      <c r="EU49" s="23"/>
      <c r="EV49" s="14"/>
      <c r="EW49" s="15"/>
      <c r="EX49" s="23"/>
      <c r="EY49" s="23"/>
      <c r="EZ49" s="23"/>
      <c r="FA49" s="23"/>
      <c r="FB49" s="23"/>
      <c r="FC49" s="24"/>
      <c r="FD49" s="22"/>
      <c r="FE49" s="23"/>
      <c r="FF49" s="23"/>
      <c r="FG49" s="23"/>
      <c r="FH49" s="23"/>
      <c r="FI49" s="23"/>
      <c r="FJ49" s="24"/>
      <c r="FK49" s="22"/>
      <c r="FL49" s="23"/>
      <c r="FM49" s="23"/>
      <c r="FN49" s="23"/>
      <c r="FO49" s="23"/>
      <c r="FP49" s="23"/>
      <c r="FQ49" s="24"/>
      <c r="FR49" s="22"/>
      <c r="FS49" s="23"/>
      <c r="FT49" s="23"/>
      <c r="FU49" s="23"/>
      <c r="FV49" s="23"/>
      <c r="FW49" s="23"/>
      <c r="FX49" s="24"/>
      <c r="FY49" s="22"/>
      <c r="FZ49" s="23"/>
      <c r="GA49" s="23"/>
      <c r="GB49" s="23"/>
      <c r="GC49" s="23"/>
      <c r="GD49" s="23"/>
      <c r="GE49" s="24"/>
      <c r="GF49" s="22"/>
      <c r="GG49" s="23"/>
      <c r="GH49" s="23"/>
    </row>
    <row r="50" spans="1:190" ht="20.25" customHeight="1">
      <c r="A50" s="355" t="s">
        <v>284</v>
      </c>
      <c r="B50" s="101" t="s">
        <v>197</v>
      </c>
      <c r="C50" s="101" t="s">
        <v>201</v>
      </c>
      <c r="D50" s="101" t="s">
        <v>202</v>
      </c>
      <c r="E50" s="336" t="s">
        <v>33</v>
      </c>
      <c r="F50" s="358">
        <v>283</v>
      </c>
      <c r="G50" s="352" t="s">
        <v>200</v>
      </c>
      <c r="H50" s="70" t="s">
        <v>17</v>
      </c>
      <c r="I50" s="46">
        <v>40519</v>
      </c>
      <c r="J50" s="47">
        <v>40452</v>
      </c>
      <c r="K50" s="51"/>
      <c r="L50" s="49" t="s">
        <v>3</v>
      </c>
      <c r="M50" s="49" t="s">
        <v>3</v>
      </c>
      <c r="N50" s="49" t="s">
        <v>3</v>
      </c>
      <c r="O50" s="49" t="s">
        <v>3</v>
      </c>
      <c r="P50" s="49" t="s">
        <v>8</v>
      </c>
      <c r="Q50" s="46">
        <v>40447</v>
      </c>
      <c r="R50" s="46">
        <v>40450</v>
      </c>
      <c r="S50" s="105">
        <v>40448</v>
      </c>
      <c r="T50" s="106">
        <v>40451</v>
      </c>
      <c r="U50" s="13"/>
      <c r="V50" s="13"/>
      <c r="W50" s="13"/>
      <c r="X50" s="13"/>
      <c r="Y50" s="14"/>
      <c r="Z50" s="15"/>
      <c r="AA50" s="13"/>
      <c r="AB50" s="13"/>
      <c r="AC50" s="13"/>
      <c r="AD50" s="13"/>
      <c r="AE50" s="13"/>
      <c r="AF50" s="14"/>
      <c r="AG50" s="15"/>
      <c r="AH50" s="13"/>
      <c r="AI50" s="13"/>
      <c r="AJ50" s="13"/>
      <c r="AK50" s="13"/>
      <c r="AL50" s="13"/>
      <c r="AM50" s="14"/>
      <c r="AN50" s="15"/>
      <c r="AO50" s="13"/>
      <c r="AP50" s="15"/>
      <c r="AQ50" s="13"/>
      <c r="AR50" s="13"/>
      <c r="AS50" s="13"/>
      <c r="AT50" s="14"/>
      <c r="AU50" s="15"/>
      <c r="AV50" s="13"/>
      <c r="AW50" s="13"/>
      <c r="AX50" s="13"/>
      <c r="AY50" s="13"/>
      <c r="AZ50" s="13"/>
      <c r="BA50" s="14"/>
      <c r="BB50" s="15"/>
      <c r="BC50" s="13"/>
      <c r="BD50" s="13"/>
      <c r="BE50" s="13"/>
      <c r="BF50" s="13"/>
      <c r="BG50" s="13"/>
      <c r="BH50" s="14"/>
      <c r="BI50" s="15"/>
      <c r="BJ50" s="13"/>
      <c r="BK50" s="13"/>
      <c r="BL50" s="13"/>
      <c r="BM50" s="13"/>
      <c r="BN50" s="13"/>
      <c r="BO50" s="14"/>
      <c r="BP50" s="15"/>
      <c r="BQ50" s="13"/>
      <c r="BR50" s="13"/>
      <c r="BS50" s="13"/>
      <c r="BT50" s="13"/>
      <c r="BU50" s="13"/>
      <c r="BV50" s="14"/>
      <c r="BW50" s="15"/>
      <c r="BX50" s="13"/>
      <c r="BY50" s="13"/>
      <c r="BZ50" s="13"/>
      <c r="CA50" s="13"/>
      <c r="CB50" s="13"/>
      <c r="CC50" s="14"/>
      <c r="CD50" s="15"/>
      <c r="CE50" s="13"/>
      <c r="CF50" s="13"/>
      <c r="CG50" s="13"/>
      <c r="CH50" s="13"/>
      <c r="CI50" s="13"/>
      <c r="CJ50" s="14"/>
      <c r="CK50" s="15"/>
      <c r="CL50" s="13"/>
      <c r="CM50" s="13"/>
      <c r="CN50" s="13"/>
      <c r="CO50" s="13"/>
      <c r="CP50" s="13"/>
      <c r="CQ50" s="14"/>
      <c r="CR50" s="15"/>
      <c r="CS50" s="13"/>
      <c r="CT50" s="13"/>
      <c r="CU50" s="13"/>
      <c r="CV50" s="13"/>
      <c r="CW50" s="13"/>
      <c r="CX50" s="14"/>
      <c r="CY50" s="13"/>
      <c r="CZ50" s="13"/>
      <c r="DA50" s="14"/>
      <c r="DB50" s="15"/>
      <c r="DC50" s="13"/>
      <c r="DD50" s="13"/>
      <c r="DE50" s="13"/>
      <c r="DF50" s="13"/>
      <c r="DG50" s="13"/>
      <c r="DH50" s="14"/>
      <c r="DI50" s="15"/>
      <c r="DJ50" s="13"/>
      <c r="DK50" s="13"/>
      <c r="DL50" s="15"/>
      <c r="DM50" s="13"/>
      <c r="DN50" s="13"/>
      <c r="DO50" s="13"/>
      <c r="DP50" s="13"/>
      <c r="DQ50" s="13"/>
      <c r="DR50" s="34"/>
      <c r="DS50" s="35"/>
      <c r="DT50" s="23"/>
      <c r="DU50" s="23"/>
      <c r="DV50" s="23"/>
      <c r="DW50" s="23"/>
      <c r="DX50" s="23"/>
      <c r="DY50" s="34"/>
      <c r="DZ50" s="35"/>
      <c r="EA50" s="23"/>
      <c r="EB50" s="23"/>
      <c r="EC50" s="23"/>
      <c r="ED50" s="23"/>
      <c r="EE50" s="23"/>
      <c r="EF50" s="34"/>
      <c r="EG50" s="35"/>
      <c r="EH50" s="23"/>
      <c r="EI50" s="23"/>
      <c r="EJ50" s="23"/>
      <c r="EK50" s="23"/>
      <c r="EL50" s="23"/>
      <c r="EM50" s="34"/>
      <c r="EN50" s="35"/>
      <c r="EO50" s="23"/>
      <c r="EP50" s="23"/>
      <c r="EQ50" s="23"/>
      <c r="ER50" s="23"/>
      <c r="ES50" s="23"/>
      <c r="ET50" s="23"/>
      <c r="EU50" s="23"/>
      <c r="EV50" s="14"/>
      <c r="EW50" s="15"/>
      <c r="EX50" s="23"/>
      <c r="EY50" s="23"/>
      <c r="EZ50" s="23"/>
      <c r="FA50" s="23"/>
      <c r="FB50" s="23"/>
      <c r="FC50" s="24"/>
      <c r="FD50" s="22"/>
      <c r="FE50" s="23"/>
      <c r="FF50" s="23"/>
      <c r="FG50" s="23"/>
      <c r="FH50" s="23"/>
      <c r="FI50" s="23"/>
      <c r="FJ50" s="24"/>
      <c r="FK50" s="22"/>
      <c r="FL50" s="23"/>
      <c r="FM50" s="23"/>
      <c r="FN50" s="23"/>
      <c r="FO50" s="23"/>
      <c r="FP50" s="23"/>
      <c r="FQ50" s="24"/>
      <c r="FR50" s="22"/>
      <c r="FS50" s="23"/>
      <c r="FT50" s="23"/>
      <c r="FU50" s="23"/>
      <c r="FV50" s="23"/>
      <c r="FW50" s="23"/>
      <c r="FX50" s="24"/>
      <c r="FY50" s="22"/>
      <c r="FZ50" s="23"/>
      <c r="GA50" s="23"/>
      <c r="GB50" s="23"/>
      <c r="GC50" s="23"/>
      <c r="GD50" s="23"/>
      <c r="GE50" s="24"/>
      <c r="GF50" s="22"/>
      <c r="GG50" s="23"/>
      <c r="GH50" s="23"/>
    </row>
    <row r="51" spans="1:190" ht="20.25" customHeight="1">
      <c r="A51" s="356"/>
      <c r="B51" s="101" t="s">
        <v>197</v>
      </c>
      <c r="C51" s="101" t="s">
        <v>201</v>
      </c>
      <c r="D51" s="101" t="s">
        <v>203</v>
      </c>
      <c r="E51" s="337"/>
      <c r="F51" s="359"/>
      <c r="G51" s="353"/>
      <c r="H51" s="50" t="s">
        <v>253</v>
      </c>
      <c r="I51" s="46">
        <v>40480</v>
      </c>
      <c r="J51" s="47" t="s">
        <v>51</v>
      </c>
      <c r="K51" s="51"/>
      <c r="L51" s="47">
        <v>40446</v>
      </c>
      <c r="M51" s="47">
        <v>40448</v>
      </c>
      <c r="N51" s="47">
        <v>40438</v>
      </c>
      <c r="O51" s="47">
        <v>40436</v>
      </c>
      <c r="P51" s="47"/>
      <c r="Q51" s="46">
        <v>40447</v>
      </c>
      <c r="R51" s="46">
        <v>40450</v>
      </c>
      <c r="S51" s="105">
        <v>40448</v>
      </c>
      <c r="T51" s="106">
        <v>40451</v>
      </c>
      <c r="U51" s="13"/>
      <c r="V51" s="13"/>
      <c r="W51" s="13"/>
      <c r="X51" s="13"/>
      <c r="Y51" s="14"/>
      <c r="Z51" s="15"/>
      <c r="AA51" s="13"/>
      <c r="AB51" s="13"/>
      <c r="AC51" s="13"/>
      <c r="AD51" s="13"/>
      <c r="AE51" s="13"/>
      <c r="AF51" s="14"/>
      <c r="AG51" s="15"/>
      <c r="AH51" s="13"/>
      <c r="AI51" s="13"/>
      <c r="AJ51" s="13"/>
      <c r="AK51" s="13"/>
      <c r="AL51" s="13"/>
      <c r="AM51" s="14"/>
      <c r="AN51" s="15"/>
      <c r="AO51" s="13"/>
      <c r="AP51" s="15"/>
      <c r="AQ51" s="13"/>
      <c r="AR51" s="13"/>
      <c r="AS51" s="13"/>
      <c r="AT51" s="14"/>
      <c r="AU51" s="15"/>
      <c r="AV51" s="13"/>
      <c r="AW51" s="13"/>
      <c r="AX51" s="13"/>
      <c r="AY51" s="13"/>
      <c r="AZ51" s="13"/>
      <c r="BA51" s="14"/>
      <c r="BB51" s="15"/>
      <c r="BC51" s="13"/>
      <c r="BD51" s="13"/>
      <c r="BE51" s="13"/>
      <c r="BF51" s="13"/>
      <c r="BG51" s="13"/>
      <c r="BH51" s="14"/>
      <c r="BI51" s="15"/>
      <c r="BJ51" s="13"/>
      <c r="BK51" s="13"/>
      <c r="BL51" s="13"/>
      <c r="BM51" s="13"/>
      <c r="BN51" s="13"/>
      <c r="BO51" s="14"/>
      <c r="BP51" s="15"/>
      <c r="BQ51" s="13"/>
      <c r="BR51" s="13"/>
      <c r="BS51" s="13"/>
      <c r="BT51" s="13"/>
      <c r="BU51" s="13"/>
      <c r="BV51" s="14"/>
      <c r="BW51" s="15"/>
      <c r="BX51" s="13"/>
      <c r="BY51" s="13"/>
      <c r="BZ51" s="13"/>
      <c r="CA51" s="13"/>
      <c r="CB51" s="13"/>
      <c r="CC51" s="14"/>
      <c r="CD51" s="15"/>
      <c r="CE51" s="13"/>
      <c r="CF51" s="13"/>
      <c r="CG51" s="13"/>
      <c r="CH51" s="13"/>
      <c r="CI51" s="13"/>
      <c r="CJ51" s="14"/>
      <c r="CK51" s="15"/>
      <c r="CL51" s="13"/>
      <c r="CM51" s="13"/>
      <c r="CN51" s="13"/>
      <c r="CO51" s="13"/>
      <c r="CP51" s="13"/>
      <c r="CQ51" s="14"/>
      <c r="CR51" s="15"/>
      <c r="CS51" s="13"/>
      <c r="CT51" s="13"/>
      <c r="CU51" s="13"/>
      <c r="CV51" s="13"/>
      <c r="CW51" s="13"/>
      <c r="CX51" s="14"/>
      <c r="CY51" s="13"/>
      <c r="CZ51" s="13"/>
      <c r="DA51" s="14"/>
      <c r="DB51" s="15"/>
      <c r="DC51" s="13"/>
      <c r="DD51" s="13"/>
      <c r="DE51" s="13"/>
      <c r="DF51" s="13"/>
      <c r="DG51" s="13"/>
      <c r="DH51" s="14"/>
      <c r="DI51" s="15"/>
      <c r="DJ51" s="13"/>
      <c r="DK51" s="13"/>
      <c r="DL51" s="15"/>
      <c r="DM51" s="13"/>
      <c r="DN51" s="13"/>
      <c r="DO51" s="13"/>
      <c r="DP51" s="13"/>
      <c r="DQ51" s="13"/>
      <c r="DR51" s="34"/>
      <c r="DS51" s="35"/>
      <c r="DT51" s="23"/>
      <c r="DU51" s="23"/>
      <c r="DV51" s="23"/>
      <c r="DW51" s="23"/>
      <c r="DX51" s="23"/>
      <c r="DY51" s="34"/>
      <c r="DZ51" s="35"/>
      <c r="EA51" s="23"/>
      <c r="EB51" s="23"/>
      <c r="EC51" s="23"/>
      <c r="ED51" s="23"/>
      <c r="EE51" s="23"/>
      <c r="EF51" s="34"/>
      <c r="EG51" s="35"/>
      <c r="EH51" s="23"/>
      <c r="EI51" s="23"/>
      <c r="EJ51" s="23"/>
      <c r="EK51" s="23"/>
      <c r="EL51" s="23"/>
      <c r="EM51" s="34"/>
      <c r="EN51" s="35"/>
      <c r="EO51" s="23"/>
      <c r="EP51" s="23"/>
      <c r="EQ51" s="23"/>
      <c r="ER51" s="23"/>
      <c r="ES51" s="23"/>
      <c r="ET51" s="23"/>
      <c r="EU51" s="23"/>
      <c r="EV51" s="14"/>
      <c r="EW51" s="15"/>
      <c r="EX51" s="23"/>
      <c r="EY51" s="23"/>
      <c r="EZ51" s="23"/>
      <c r="FA51" s="23"/>
      <c r="FB51" s="23"/>
      <c r="FC51" s="24"/>
      <c r="FD51" s="22"/>
      <c r="FE51" s="23"/>
      <c r="FF51" s="23"/>
      <c r="FG51" s="23"/>
      <c r="FH51" s="23"/>
      <c r="FI51" s="23"/>
      <c r="FJ51" s="24"/>
      <c r="FK51" s="22"/>
      <c r="FL51" s="23"/>
      <c r="FM51" s="23"/>
      <c r="FN51" s="23"/>
      <c r="FO51" s="23"/>
      <c r="FP51" s="23"/>
      <c r="FQ51" s="24"/>
      <c r="FR51" s="22"/>
      <c r="FS51" s="23"/>
      <c r="FT51" s="23"/>
      <c r="FU51" s="23"/>
      <c r="FV51" s="23"/>
      <c r="FW51" s="23"/>
      <c r="FX51" s="24"/>
      <c r="FY51" s="22"/>
      <c r="FZ51" s="23"/>
      <c r="GA51" s="23"/>
      <c r="GB51" s="23"/>
      <c r="GC51" s="23"/>
      <c r="GD51" s="23"/>
      <c r="GE51" s="24"/>
      <c r="GF51" s="22"/>
      <c r="GG51" s="23"/>
      <c r="GH51" s="23"/>
    </row>
    <row r="52" spans="1:190" ht="20.25" customHeight="1">
      <c r="A52" s="357">
        <v>23</v>
      </c>
      <c r="B52" s="117" t="s">
        <v>222</v>
      </c>
      <c r="C52" s="117" t="s">
        <v>223</v>
      </c>
      <c r="D52" s="117" t="s">
        <v>224</v>
      </c>
      <c r="E52" s="336" t="s">
        <v>33</v>
      </c>
      <c r="F52" s="334">
        <v>225.2</v>
      </c>
      <c r="G52" s="352" t="s">
        <v>226</v>
      </c>
      <c r="H52" s="70" t="s">
        <v>237</v>
      </c>
      <c r="I52" s="46">
        <v>40525</v>
      </c>
      <c r="J52" s="47">
        <v>40448</v>
      </c>
      <c r="K52" s="51"/>
      <c r="L52" s="49" t="s">
        <v>3</v>
      </c>
      <c r="M52" s="49" t="s">
        <v>3</v>
      </c>
      <c r="N52" s="49" t="s">
        <v>3</v>
      </c>
      <c r="O52" s="49" t="s">
        <v>8</v>
      </c>
      <c r="P52" s="49" t="s">
        <v>3</v>
      </c>
      <c r="Q52" s="103">
        <v>40446</v>
      </c>
      <c r="R52" s="103">
        <v>40449</v>
      </c>
      <c r="S52" s="105">
        <v>40446</v>
      </c>
      <c r="T52" s="106">
        <v>40452</v>
      </c>
      <c r="U52" s="13"/>
      <c r="V52" s="13"/>
      <c r="W52" s="13"/>
      <c r="X52" s="13"/>
      <c r="Y52" s="14"/>
      <c r="Z52" s="15"/>
      <c r="AA52" s="13"/>
      <c r="AB52" s="13"/>
      <c r="AC52" s="13"/>
      <c r="AD52" s="13"/>
      <c r="AE52" s="13"/>
      <c r="AF52" s="14"/>
      <c r="AG52" s="15"/>
      <c r="AH52" s="13"/>
      <c r="AI52" s="13"/>
      <c r="AJ52" s="13"/>
      <c r="AK52" s="13"/>
      <c r="AL52" s="13"/>
      <c r="AM52" s="14"/>
      <c r="AN52" s="15"/>
      <c r="AO52" s="13"/>
      <c r="AP52" s="15"/>
      <c r="AQ52" s="13"/>
      <c r="AR52" s="13"/>
      <c r="AS52" s="13"/>
      <c r="AT52" s="14"/>
      <c r="AU52" s="15"/>
      <c r="AV52" s="13"/>
      <c r="AW52" s="13"/>
      <c r="AX52" s="13"/>
      <c r="AY52" s="13"/>
      <c r="AZ52" s="13"/>
      <c r="BA52" s="14"/>
      <c r="BB52" s="15"/>
      <c r="BC52" s="13"/>
      <c r="BD52" s="13"/>
      <c r="BE52" s="13"/>
      <c r="BF52" s="13"/>
      <c r="BG52" s="13"/>
      <c r="BH52" s="14"/>
      <c r="BI52" s="15"/>
      <c r="BJ52" s="13"/>
      <c r="BK52" s="13"/>
      <c r="BL52" s="13"/>
      <c r="BM52" s="13"/>
      <c r="BN52" s="13"/>
      <c r="BO52" s="14"/>
      <c r="BP52" s="15"/>
      <c r="BQ52" s="13"/>
      <c r="BR52" s="13"/>
      <c r="BS52" s="13"/>
      <c r="BT52" s="13"/>
      <c r="BU52" s="13"/>
      <c r="BV52" s="14"/>
      <c r="BW52" s="15"/>
      <c r="BX52" s="13"/>
      <c r="BY52" s="13"/>
      <c r="BZ52" s="13"/>
      <c r="CA52" s="13"/>
      <c r="CB52" s="13"/>
      <c r="CC52" s="14"/>
      <c r="CD52" s="15"/>
      <c r="CE52" s="13"/>
      <c r="CF52" s="13"/>
      <c r="CG52" s="13"/>
      <c r="CH52" s="13"/>
      <c r="CI52" s="13"/>
      <c r="CJ52" s="14"/>
      <c r="CK52" s="15"/>
      <c r="CL52" s="13"/>
      <c r="CM52" s="13"/>
      <c r="CN52" s="13"/>
      <c r="CO52" s="13"/>
      <c r="CP52" s="13"/>
      <c r="CQ52" s="14"/>
      <c r="CR52" s="15"/>
      <c r="CS52" s="13"/>
      <c r="CT52" s="13"/>
      <c r="CU52" s="13"/>
      <c r="CV52" s="13"/>
      <c r="CW52" s="13"/>
      <c r="CX52" s="14"/>
      <c r="CY52" s="13"/>
      <c r="CZ52" s="13"/>
      <c r="DA52" s="14"/>
      <c r="DB52" s="15"/>
      <c r="DC52" s="13"/>
      <c r="DD52" s="13"/>
      <c r="DE52" s="13"/>
      <c r="DF52" s="13"/>
      <c r="DG52" s="13"/>
      <c r="DH52" s="14"/>
      <c r="DI52" s="15"/>
      <c r="DJ52" s="13"/>
      <c r="DK52" s="13"/>
      <c r="DL52" s="15"/>
      <c r="DM52" s="13"/>
      <c r="DN52" s="13"/>
      <c r="DO52" s="13"/>
      <c r="DP52" s="13"/>
      <c r="DQ52" s="13"/>
      <c r="DR52" s="34"/>
      <c r="DS52" s="35"/>
      <c r="DT52" s="23"/>
      <c r="DU52" s="23"/>
      <c r="DV52" s="23"/>
      <c r="DW52" s="23"/>
      <c r="DX52" s="23"/>
      <c r="DY52" s="34"/>
      <c r="DZ52" s="35"/>
      <c r="EA52" s="23"/>
      <c r="EB52" s="23"/>
      <c r="EC52" s="23"/>
      <c r="ED52" s="23"/>
      <c r="EE52" s="23"/>
      <c r="EF52" s="34"/>
      <c r="EG52" s="35"/>
      <c r="EH52" s="23"/>
      <c r="EI52" s="23"/>
      <c r="EJ52" s="23"/>
      <c r="EK52" s="23"/>
      <c r="EL52" s="23"/>
      <c r="EM52" s="34"/>
      <c r="EN52" s="35"/>
      <c r="EO52" s="23"/>
      <c r="EP52" s="23"/>
      <c r="EQ52" s="23"/>
      <c r="ER52" s="23"/>
      <c r="ES52" s="23"/>
      <c r="ET52" s="23"/>
      <c r="EU52" s="23"/>
      <c r="EV52" s="14"/>
      <c r="EW52" s="15"/>
      <c r="EX52" s="23"/>
      <c r="EY52" s="23"/>
      <c r="EZ52" s="23"/>
      <c r="FA52" s="23"/>
      <c r="FB52" s="23"/>
      <c r="FC52" s="24"/>
      <c r="FD52" s="22"/>
      <c r="FE52" s="23"/>
      <c r="FF52" s="23"/>
      <c r="FG52" s="23"/>
      <c r="FH52" s="23"/>
      <c r="FI52" s="23"/>
      <c r="FJ52" s="24"/>
      <c r="FK52" s="22"/>
      <c r="FL52" s="23"/>
      <c r="FM52" s="23"/>
      <c r="FN52" s="23"/>
      <c r="FO52" s="23"/>
      <c r="FP52" s="23"/>
      <c r="FQ52" s="24"/>
      <c r="FR52" s="22"/>
      <c r="FS52" s="23"/>
      <c r="FT52" s="23"/>
      <c r="FU52" s="23"/>
      <c r="FV52" s="23"/>
      <c r="FW52" s="23"/>
      <c r="FX52" s="24"/>
      <c r="FY52" s="22"/>
      <c r="FZ52" s="23"/>
      <c r="GA52" s="23"/>
      <c r="GB52" s="23"/>
      <c r="GC52" s="23"/>
      <c r="GD52" s="23"/>
      <c r="GE52" s="24"/>
      <c r="GF52" s="22"/>
      <c r="GG52" s="23"/>
      <c r="GH52" s="23"/>
    </row>
    <row r="53" spans="1:190" ht="20.25" customHeight="1">
      <c r="A53" s="357"/>
      <c r="B53" s="117" t="s">
        <v>222</v>
      </c>
      <c r="C53" s="117" t="s">
        <v>223</v>
      </c>
      <c r="D53" s="117" t="s">
        <v>225</v>
      </c>
      <c r="E53" s="337"/>
      <c r="F53" s="335"/>
      <c r="G53" s="353"/>
      <c r="H53" s="50" t="s">
        <v>238</v>
      </c>
      <c r="I53" s="46">
        <v>40469</v>
      </c>
      <c r="J53" s="47" t="s">
        <v>55</v>
      </c>
      <c r="K53" s="51"/>
      <c r="L53" s="47">
        <v>40450</v>
      </c>
      <c r="M53" s="47">
        <v>40436</v>
      </c>
      <c r="N53" s="47">
        <v>40450</v>
      </c>
      <c r="O53" s="47"/>
      <c r="P53" s="47">
        <v>40450</v>
      </c>
      <c r="Q53" s="103">
        <v>40446</v>
      </c>
      <c r="R53" s="103">
        <v>40449</v>
      </c>
      <c r="S53" s="105">
        <v>40446</v>
      </c>
      <c r="T53" s="106">
        <v>40452</v>
      </c>
      <c r="U53" s="13"/>
      <c r="V53" s="13"/>
      <c r="W53" s="13"/>
      <c r="X53" s="13"/>
      <c r="Y53" s="14"/>
      <c r="Z53" s="15"/>
      <c r="AA53" s="13"/>
      <c r="AB53" s="13"/>
      <c r="AC53" s="13"/>
      <c r="AD53" s="13"/>
      <c r="AE53" s="13"/>
      <c r="AF53" s="14"/>
      <c r="AG53" s="15"/>
      <c r="AH53" s="13"/>
      <c r="AI53" s="13"/>
      <c r="AJ53" s="13"/>
      <c r="AK53" s="13"/>
      <c r="AL53" s="13"/>
      <c r="AM53" s="14"/>
      <c r="AN53" s="15"/>
      <c r="AO53" s="13"/>
      <c r="AP53" s="15"/>
      <c r="AQ53" s="13"/>
      <c r="AR53" s="13"/>
      <c r="AS53" s="13"/>
      <c r="AT53" s="14"/>
      <c r="AU53" s="15"/>
      <c r="AV53" s="13"/>
      <c r="AW53" s="13"/>
      <c r="AX53" s="13"/>
      <c r="AY53" s="13"/>
      <c r="AZ53" s="13"/>
      <c r="BA53" s="14"/>
      <c r="BB53" s="15"/>
      <c r="BC53" s="13"/>
      <c r="BD53" s="13"/>
      <c r="BE53" s="13"/>
      <c r="BF53" s="13"/>
      <c r="BG53" s="13"/>
      <c r="BH53" s="14"/>
      <c r="BI53" s="15"/>
      <c r="BJ53" s="13"/>
      <c r="BK53" s="13"/>
      <c r="BL53" s="13"/>
      <c r="BM53" s="13"/>
      <c r="BN53" s="13"/>
      <c r="BO53" s="14"/>
      <c r="BP53" s="15"/>
      <c r="BQ53" s="13"/>
      <c r="BR53" s="13"/>
      <c r="BS53" s="13"/>
      <c r="BT53" s="13"/>
      <c r="BU53" s="13"/>
      <c r="BV53" s="14"/>
      <c r="BW53" s="15"/>
      <c r="BX53" s="13"/>
      <c r="BY53" s="13"/>
      <c r="BZ53" s="13"/>
      <c r="CA53" s="13"/>
      <c r="CB53" s="13"/>
      <c r="CC53" s="14"/>
      <c r="CD53" s="15"/>
      <c r="CE53" s="13"/>
      <c r="CF53" s="13"/>
      <c r="CG53" s="13"/>
      <c r="CH53" s="13"/>
      <c r="CI53" s="13"/>
      <c r="CJ53" s="14"/>
      <c r="CK53" s="15"/>
      <c r="CL53" s="13"/>
      <c r="CM53" s="13"/>
      <c r="CN53" s="13"/>
      <c r="CO53" s="13"/>
      <c r="CP53" s="13"/>
      <c r="CQ53" s="14"/>
      <c r="CR53" s="15"/>
      <c r="CS53" s="13"/>
      <c r="CT53" s="13"/>
      <c r="CU53" s="13"/>
      <c r="CV53" s="13"/>
      <c r="CW53" s="13"/>
      <c r="CX53" s="14"/>
      <c r="CY53" s="13"/>
      <c r="CZ53" s="13"/>
      <c r="DA53" s="14"/>
      <c r="DB53" s="15"/>
      <c r="DC53" s="13"/>
      <c r="DD53" s="13"/>
      <c r="DE53" s="13"/>
      <c r="DF53" s="13"/>
      <c r="DG53" s="13"/>
      <c r="DH53" s="14"/>
      <c r="DI53" s="15"/>
      <c r="DJ53" s="13"/>
      <c r="DK53" s="13"/>
      <c r="DL53" s="15"/>
      <c r="DM53" s="13"/>
      <c r="DN53" s="13"/>
      <c r="DO53" s="13"/>
      <c r="DP53" s="13"/>
      <c r="DQ53" s="13"/>
      <c r="DR53" s="34"/>
      <c r="DS53" s="35"/>
      <c r="DT53" s="23"/>
      <c r="DU53" s="23"/>
      <c r="DV53" s="23"/>
      <c r="DW53" s="23"/>
      <c r="DX53" s="23"/>
      <c r="DY53" s="34"/>
      <c r="DZ53" s="35"/>
      <c r="EA53" s="23"/>
      <c r="EB53" s="23"/>
      <c r="EC53" s="23"/>
      <c r="ED53" s="23"/>
      <c r="EE53" s="23"/>
      <c r="EF53" s="34"/>
      <c r="EG53" s="35"/>
      <c r="EH53" s="23"/>
      <c r="EI53" s="23"/>
      <c r="EJ53" s="23"/>
      <c r="EK53" s="23"/>
      <c r="EL53" s="23"/>
      <c r="EM53" s="34"/>
      <c r="EN53" s="35"/>
      <c r="EO53" s="23"/>
      <c r="EP53" s="23"/>
      <c r="EQ53" s="23"/>
      <c r="ER53" s="23"/>
      <c r="ES53" s="23"/>
      <c r="ET53" s="23"/>
      <c r="EU53" s="23"/>
      <c r="EV53" s="14"/>
      <c r="EW53" s="15"/>
      <c r="EX53" s="23"/>
      <c r="EY53" s="23"/>
      <c r="EZ53" s="23"/>
      <c r="FA53" s="23"/>
      <c r="FB53" s="23"/>
      <c r="FC53" s="24"/>
      <c r="FD53" s="22"/>
      <c r="FE53" s="23"/>
      <c r="FF53" s="23"/>
      <c r="FG53" s="23"/>
      <c r="FH53" s="23"/>
      <c r="FI53" s="23"/>
      <c r="FJ53" s="24"/>
      <c r="FK53" s="22"/>
      <c r="FL53" s="23"/>
      <c r="FM53" s="23"/>
      <c r="FN53" s="23"/>
      <c r="FO53" s="23"/>
      <c r="FP53" s="23"/>
      <c r="FQ53" s="24"/>
      <c r="FR53" s="22"/>
      <c r="FS53" s="23"/>
      <c r="FT53" s="23"/>
      <c r="FU53" s="23"/>
      <c r="FV53" s="23"/>
      <c r="FW53" s="23"/>
      <c r="FX53" s="24"/>
      <c r="FY53" s="22"/>
      <c r="FZ53" s="23"/>
      <c r="GA53" s="23"/>
      <c r="GB53" s="23"/>
      <c r="GC53" s="23"/>
      <c r="GD53" s="23"/>
      <c r="GE53" s="24"/>
      <c r="GF53" s="22"/>
      <c r="GG53" s="23"/>
      <c r="GH53" s="23"/>
    </row>
    <row r="54" spans="1:190" ht="20.25" customHeight="1">
      <c r="A54" s="355" t="s">
        <v>285</v>
      </c>
      <c r="B54" s="101" t="s">
        <v>197</v>
      </c>
      <c r="C54" s="101" t="s">
        <v>198</v>
      </c>
      <c r="D54" s="101" t="s">
        <v>204</v>
      </c>
      <c r="E54" s="336" t="s">
        <v>33</v>
      </c>
      <c r="F54" s="334">
        <v>23</v>
      </c>
      <c r="G54" s="352" t="s">
        <v>200</v>
      </c>
      <c r="H54" s="70" t="s">
        <v>17</v>
      </c>
      <c r="I54" s="46">
        <v>40483</v>
      </c>
      <c r="J54" s="47">
        <v>40454</v>
      </c>
      <c r="K54" s="51"/>
      <c r="L54" s="49" t="s">
        <v>3</v>
      </c>
      <c r="M54" s="49" t="s">
        <v>3</v>
      </c>
      <c r="N54" s="49" t="s">
        <v>3</v>
      </c>
      <c r="O54" s="49" t="s">
        <v>8</v>
      </c>
      <c r="P54" s="49" t="s">
        <v>8</v>
      </c>
      <c r="Q54" s="46">
        <v>40450</v>
      </c>
      <c r="R54" s="46">
        <v>40451</v>
      </c>
      <c r="S54" s="105">
        <v>40450</v>
      </c>
      <c r="T54" s="106">
        <v>40452</v>
      </c>
      <c r="U54" s="13"/>
      <c r="V54" s="13"/>
      <c r="W54" s="13"/>
      <c r="X54" s="13"/>
      <c r="Y54" s="14"/>
      <c r="Z54" s="15"/>
      <c r="AA54" s="13"/>
      <c r="AB54" s="13"/>
      <c r="AC54" s="13"/>
      <c r="AD54" s="13"/>
      <c r="AE54" s="13"/>
      <c r="AF54" s="14"/>
      <c r="AG54" s="15"/>
      <c r="AH54" s="13"/>
      <c r="AI54" s="13"/>
      <c r="AJ54" s="13"/>
      <c r="AK54" s="13"/>
      <c r="AL54" s="13"/>
      <c r="AM54" s="14"/>
      <c r="AN54" s="15"/>
      <c r="AO54" s="13"/>
      <c r="AP54" s="15"/>
      <c r="AQ54" s="13"/>
      <c r="AR54" s="13"/>
      <c r="AS54" s="13"/>
      <c r="AT54" s="14"/>
      <c r="AU54" s="15"/>
      <c r="AV54" s="13"/>
      <c r="AW54" s="13"/>
      <c r="AX54" s="13"/>
      <c r="AY54" s="13"/>
      <c r="AZ54" s="13"/>
      <c r="BA54" s="14"/>
      <c r="BB54" s="15"/>
      <c r="BC54" s="13"/>
      <c r="BD54" s="13"/>
      <c r="BE54" s="13"/>
      <c r="BF54" s="13"/>
      <c r="BG54" s="13"/>
      <c r="BH54" s="14"/>
      <c r="BI54" s="15"/>
      <c r="BJ54" s="13"/>
      <c r="BK54" s="13"/>
      <c r="BL54" s="13"/>
      <c r="BM54" s="13"/>
      <c r="BN54" s="13"/>
      <c r="BO54" s="14"/>
      <c r="BP54" s="15"/>
      <c r="BQ54" s="13"/>
      <c r="BR54" s="13"/>
      <c r="BS54" s="13"/>
      <c r="BT54" s="13"/>
      <c r="BU54" s="13"/>
      <c r="BV54" s="14"/>
      <c r="BW54" s="15"/>
      <c r="BX54" s="13"/>
      <c r="BY54" s="13"/>
      <c r="BZ54" s="13"/>
      <c r="CA54" s="13"/>
      <c r="CB54" s="13"/>
      <c r="CC54" s="14"/>
      <c r="CD54" s="15"/>
      <c r="CE54" s="13"/>
      <c r="CF54" s="13"/>
      <c r="CG54" s="13"/>
      <c r="CH54" s="13"/>
      <c r="CI54" s="13"/>
      <c r="CJ54" s="14"/>
      <c r="CK54" s="15"/>
      <c r="CL54" s="13"/>
      <c r="CM54" s="13"/>
      <c r="CN54" s="13"/>
      <c r="CO54" s="13"/>
      <c r="CP54" s="13"/>
      <c r="CQ54" s="14"/>
      <c r="CR54" s="15"/>
      <c r="CS54" s="13"/>
      <c r="CT54" s="13"/>
      <c r="CU54" s="13"/>
      <c r="CV54" s="13"/>
      <c r="CW54" s="13"/>
      <c r="CX54" s="14"/>
      <c r="CY54" s="13"/>
      <c r="CZ54" s="13"/>
      <c r="DA54" s="14"/>
      <c r="DB54" s="15"/>
      <c r="DC54" s="13"/>
      <c r="DD54" s="13"/>
      <c r="DE54" s="13"/>
      <c r="DF54" s="13"/>
      <c r="DG54" s="13"/>
      <c r="DH54" s="14"/>
      <c r="DI54" s="15"/>
      <c r="DJ54" s="13"/>
      <c r="DK54" s="13"/>
      <c r="DL54" s="15"/>
      <c r="DM54" s="13"/>
      <c r="DN54" s="13"/>
      <c r="DO54" s="13"/>
      <c r="DP54" s="13"/>
      <c r="DQ54" s="13"/>
      <c r="DR54" s="34"/>
      <c r="DS54" s="35"/>
      <c r="DT54" s="23"/>
      <c r="DU54" s="23"/>
      <c r="DV54" s="23"/>
      <c r="DW54" s="23"/>
      <c r="DX54" s="23"/>
      <c r="DY54" s="34"/>
      <c r="DZ54" s="35"/>
      <c r="EA54" s="23"/>
      <c r="EB54" s="23"/>
      <c r="EC54" s="23"/>
      <c r="ED54" s="23"/>
      <c r="EE54" s="23"/>
      <c r="EF54" s="34"/>
      <c r="EG54" s="35"/>
      <c r="EH54" s="23"/>
      <c r="EI54" s="23"/>
      <c r="EJ54" s="23"/>
      <c r="EK54" s="23"/>
      <c r="EL54" s="23"/>
      <c r="EM54" s="34"/>
      <c r="EN54" s="35"/>
      <c r="EO54" s="23"/>
      <c r="EP54" s="23"/>
      <c r="EQ54" s="23"/>
      <c r="ER54" s="23"/>
      <c r="ES54" s="23"/>
      <c r="ET54" s="23"/>
      <c r="EU54" s="23"/>
      <c r="EV54" s="14"/>
      <c r="EW54" s="15"/>
      <c r="EX54" s="23"/>
      <c r="EY54" s="23"/>
      <c r="EZ54" s="23"/>
      <c r="FA54" s="23"/>
      <c r="FB54" s="23"/>
      <c r="FC54" s="24"/>
      <c r="FD54" s="22"/>
      <c r="FE54" s="23"/>
      <c r="FF54" s="23"/>
      <c r="FG54" s="23"/>
      <c r="FH54" s="23"/>
      <c r="FI54" s="23"/>
      <c r="FJ54" s="24"/>
      <c r="FK54" s="22"/>
      <c r="FL54" s="23"/>
      <c r="FM54" s="23"/>
      <c r="FN54" s="23"/>
      <c r="FO54" s="23"/>
      <c r="FP54" s="23"/>
      <c r="FQ54" s="24"/>
      <c r="FR54" s="22"/>
      <c r="FS54" s="23"/>
      <c r="FT54" s="23"/>
      <c r="FU54" s="23"/>
      <c r="FV54" s="23"/>
      <c r="FW54" s="23"/>
      <c r="FX54" s="24"/>
      <c r="FY54" s="22"/>
      <c r="FZ54" s="23"/>
      <c r="GA54" s="23"/>
      <c r="GB54" s="23"/>
      <c r="GC54" s="23"/>
      <c r="GD54" s="23"/>
      <c r="GE54" s="24"/>
      <c r="GF54" s="22"/>
      <c r="GG54" s="23"/>
      <c r="GH54" s="23"/>
    </row>
    <row r="55" spans="1:190" ht="20.25" customHeight="1">
      <c r="A55" s="356"/>
      <c r="B55" s="101" t="s">
        <v>197</v>
      </c>
      <c r="C55" s="101" t="s">
        <v>198</v>
      </c>
      <c r="D55" s="101" t="s">
        <v>205</v>
      </c>
      <c r="E55" s="337"/>
      <c r="F55" s="335"/>
      <c r="G55" s="353"/>
      <c r="H55" s="50" t="s">
        <v>283</v>
      </c>
      <c r="I55" s="46">
        <v>40476</v>
      </c>
      <c r="J55" s="47" t="s">
        <v>51</v>
      </c>
      <c r="K55" s="51"/>
      <c r="L55" s="47">
        <v>40451</v>
      </c>
      <c r="M55" s="47">
        <v>40449</v>
      </c>
      <c r="N55" s="47">
        <v>40441</v>
      </c>
      <c r="O55" s="47"/>
      <c r="P55" s="47"/>
      <c r="Q55" s="46">
        <v>40450</v>
      </c>
      <c r="R55" s="46">
        <v>40451</v>
      </c>
      <c r="S55" s="105">
        <v>40450</v>
      </c>
      <c r="T55" s="106">
        <v>40452</v>
      </c>
      <c r="U55" s="13"/>
      <c r="V55" s="13"/>
      <c r="W55" s="13"/>
      <c r="X55" s="13"/>
      <c r="Y55" s="14"/>
      <c r="Z55" s="15"/>
      <c r="AA55" s="13"/>
      <c r="AB55" s="13"/>
      <c r="AC55" s="13"/>
      <c r="AD55" s="13"/>
      <c r="AE55" s="13"/>
      <c r="AF55" s="14"/>
      <c r="AG55" s="15"/>
      <c r="AH55" s="13"/>
      <c r="AI55" s="13"/>
      <c r="AJ55" s="13"/>
      <c r="AK55" s="13"/>
      <c r="AL55" s="13"/>
      <c r="AM55" s="14"/>
      <c r="AN55" s="15"/>
      <c r="AO55" s="13"/>
      <c r="AP55" s="15"/>
      <c r="AQ55" s="13"/>
      <c r="AR55" s="13"/>
      <c r="AS55" s="13"/>
      <c r="AT55" s="14"/>
      <c r="AU55" s="15"/>
      <c r="AV55" s="13"/>
      <c r="AW55" s="13"/>
      <c r="AX55" s="13"/>
      <c r="AY55" s="13"/>
      <c r="AZ55" s="13"/>
      <c r="BA55" s="14"/>
      <c r="BB55" s="15"/>
      <c r="BC55" s="13"/>
      <c r="BD55" s="13"/>
      <c r="BE55" s="13"/>
      <c r="BF55" s="13"/>
      <c r="BG55" s="13"/>
      <c r="BH55" s="14"/>
      <c r="BI55" s="15"/>
      <c r="BJ55" s="13"/>
      <c r="BK55" s="13"/>
      <c r="BL55" s="13"/>
      <c r="BM55" s="13"/>
      <c r="BN55" s="13"/>
      <c r="BO55" s="14"/>
      <c r="BP55" s="15"/>
      <c r="BQ55" s="13"/>
      <c r="BR55" s="13"/>
      <c r="BS55" s="13"/>
      <c r="BT55" s="13"/>
      <c r="BU55" s="13"/>
      <c r="BV55" s="14"/>
      <c r="BW55" s="15"/>
      <c r="BX55" s="13"/>
      <c r="BY55" s="13"/>
      <c r="BZ55" s="13"/>
      <c r="CA55" s="13"/>
      <c r="CB55" s="13"/>
      <c r="CC55" s="14"/>
      <c r="CD55" s="15"/>
      <c r="CE55" s="13"/>
      <c r="CF55" s="13"/>
      <c r="CG55" s="13"/>
      <c r="CH55" s="13"/>
      <c r="CI55" s="13"/>
      <c r="CJ55" s="14"/>
      <c r="CK55" s="15"/>
      <c r="CL55" s="13"/>
      <c r="CM55" s="13"/>
      <c r="CN55" s="13"/>
      <c r="CO55" s="13"/>
      <c r="CP55" s="13"/>
      <c r="CQ55" s="14"/>
      <c r="CR55" s="15"/>
      <c r="CS55" s="13"/>
      <c r="CT55" s="13"/>
      <c r="CU55" s="13"/>
      <c r="CV55" s="13"/>
      <c r="CW55" s="13"/>
      <c r="CX55" s="14"/>
      <c r="CY55" s="13"/>
      <c r="CZ55" s="13"/>
      <c r="DA55" s="14"/>
      <c r="DB55" s="15"/>
      <c r="DC55" s="13"/>
      <c r="DD55" s="13"/>
      <c r="DE55" s="13"/>
      <c r="DF55" s="13"/>
      <c r="DG55" s="13"/>
      <c r="DH55" s="14"/>
      <c r="DI55" s="15"/>
      <c r="DJ55" s="13"/>
      <c r="DK55" s="13"/>
      <c r="DL55" s="15"/>
      <c r="DM55" s="13"/>
      <c r="DN55" s="13"/>
      <c r="DO55" s="13"/>
      <c r="DP55" s="13"/>
      <c r="DQ55" s="13"/>
      <c r="DR55" s="34"/>
      <c r="DS55" s="35"/>
      <c r="DT55" s="23"/>
      <c r="DU55" s="23"/>
      <c r="DV55" s="23"/>
      <c r="DW55" s="23"/>
      <c r="DX55" s="23"/>
      <c r="DY55" s="34"/>
      <c r="DZ55" s="35"/>
      <c r="EA55" s="23"/>
      <c r="EB55" s="23"/>
      <c r="EC55" s="23"/>
      <c r="ED55" s="23"/>
      <c r="EE55" s="23"/>
      <c r="EF55" s="34"/>
      <c r="EG55" s="35"/>
      <c r="EH55" s="23"/>
      <c r="EI55" s="23"/>
      <c r="EJ55" s="23"/>
      <c r="EK55" s="23"/>
      <c r="EL55" s="23"/>
      <c r="EM55" s="34"/>
      <c r="EN55" s="35"/>
      <c r="EO55" s="23"/>
      <c r="EP55" s="23"/>
      <c r="EQ55" s="23"/>
      <c r="ER55" s="23"/>
      <c r="ES55" s="23"/>
      <c r="ET55" s="23"/>
      <c r="EU55" s="23"/>
      <c r="EV55" s="14"/>
      <c r="EW55" s="15"/>
      <c r="EX55" s="23"/>
      <c r="EY55" s="23"/>
      <c r="EZ55" s="23"/>
      <c r="FA55" s="23"/>
      <c r="FB55" s="23"/>
      <c r="FC55" s="24"/>
      <c r="FD55" s="22"/>
      <c r="FE55" s="23"/>
      <c r="FF55" s="23"/>
      <c r="FG55" s="23"/>
      <c r="FH55" s="23"/>
      <c r="FI55" s="23"/>
      <c r="FJ55" s="24"/>
      <c r="FK55" s="22"/>
      <c r="FL55" s="23"/>
      <c r="FM55" s="23"/>
      <c r="FN55" s="23"/>
      <c r="FO55" s="23"/>
      <c r="FP55" s="23"/>
      <c r="FQ55" s="24"/>
      <c r="FR55" s="22"/>
      <c r="FS55" s="23"/>
      <c r="FT55" s="23"/>
      <c r="FU55" s="23"/>
      <c r="FV55" s="23"/>
      <c r="FW55" s="23"/>
      <c r="FX55" s="24"/>
      <c r="FY55" s="22"/>
      <c r="FZ55" s="23"/>
      <c r="GA55" s="23"/>
      <c r="GB55" s="23"/>
      <c r="GC55" s="23"/>
      <c r="GD55" s="23"/>
      <c r="GE55" s="24"/>
      <c r="GF55" s="22"/>
      <c r="GG55" s="23"/>
      <c r="GH55" s="23"/>
    </row>
    <row r="56" spans="1:190" ht="20.25" customHeight="1">
      <c r="A56" s="338" t="s">
        <v>286</v>
      </c>
      <c r="B56" s="101" t="s">
        <v>79</v>
      </c>
      <c r="C56" s="101" t="s">
        <v>248</v>
      </c>
      <c r="D56" s="101" t="s">
        <v>249</v>
      </c>
      <c r="E56" s="336" t="s">
        <v>37</v>
      </c>
      <c r="F56" s="334">
        <v>285</v>
      </c>
      <c r="G56" s="352" t="s">
        <v>56</v>
      </c>
      <c r="H56" s="70" t="s">
        <v>17</v>
      </c>
      <c r="I56" s="46">
        <v>40532</v>
      </c>
      <c r="J56" s="47">
        <v>40448</v>
      </c>
      <c r="K56" s="51"/>
      <c r="L56" s="49" t="s">
        <v>3</v>
      </c>
      <c r="M56" s="49" t="s">
        <v>3</v>
      </c>
      <c r="N56" s="49" t="s">
        <v>8</v>
      </c>
      <c r="O56" s="49" t="s">
        <v>8</v>
      </c>
      <c r="P56" s="49" t="s">
        <v>8</v>
      </c>
      <c r="Q56" s="46">
        <v>40449</v>
      </c>
      <c r="R56" s="46">
        <v>40451</v>
      </c>
      <c r="S56" s="105">
        <v>40449</v>
      </c>
      <c r="T56" s="106">
        <v>40452</v>
      </c>
      <c r="U56" s="13"/>
      <c r="V56" s="13"/>
      <c r="W56" s="13"/>
      <c r="X56" s="13"/>
      <c r="Y56" s="14"/>
      <c r="Z56" s="15"/>
      <c r="AA56" s="13"/>
      <c r="AB56" s="13"/>
      <c r="AC56" s="13"/>
      <c r="AD56" s="13"/>
      <c r="AE56" s="13"/>
      <c r="AF56" s="14"/>
      <c r="AG56" s="15"/>
      <c r="AH56" s="13"/>
      <c r="AI56" s="13"/>
      <c r="AJ56" s="13"/>
      <c r="AK56" s="13"/>
      <c r="AL56" s="13"/>
      <c r="AM56" s="14"/>
      <c r="AN56" s="15"/>
      <c r="AO56" s="13"/>
      <c r="AP56" s="15"/>
      <c r="AQ56" s="13"/>
      <c r="AR56" s="13"/>
      <c r="AS56" s="13"/>
      <c r="AT56" s="14"/>
      <c r="AU56" s="15"/>
      <c r="AV56" s="13"/>
      <c r="AW56" s="13"/>
      <c r="AX56" s="13"/>
      <c r="AY56" s="13"/>
      <c r="AZ56" s="13"/>
      <c r="BA56" s="14"/>
      <c r="BB56" s="15"/>
      <c r="BC56" s="13"/>
      <c r="BD56" s="13"/>
      <c r="BE56" s="13"/>
      <c r="BF56" s="13"/>
      <c r="BG56" s="13"/>
      <c r="BH56" s="14"/>
      <c r="BI56" s="15"/>
      <c r="BJ56" s="13"/>
      <c r="BK56" s="13"/>
      <c r="BL56" s="13"/>
      <c r="BM56" s="13"/>
      <c r="BN56" s="13"/>
      <c r="BO56" s="14"/>
      <c r="BP56" s="15"/>
      <c r="BQ56" s="13"/>
      <c r="BR56" s="13"/>
      <c r="BS56" s="13"/>
      <c r="BT56" s="13"/>
      <c r="BU56" s="13"/>
      <c r="BV56" s="14"/>
      <c r="BW56" s="15"/>
      <c r="BX56" s="13"/>
      <c r="BY56" s="13"/>
      <c r="BZ56" s="13"/>
      <c r="CA56" s="13"/>
      <c r="CB56" s="13"/>
      <c r="CC56" s="14"/>
      <c r="CD56" s="15"/>
      <c r="CE56" s="13"/>
      <c r="CF56" s="13"/>
      <c r="CG56" s="13"/>
      <c r="CH56" s="13"/>
      <c r="CI56" s="13"/>
      <c r="CJ56" s="14"/>
      <c r="CK56" s="15"/>
      <c r="CL56" s="13"/>
      <c r="CM56" s="13"/>
      <c r="CN56" s="13"/>
      <c r="CO56" s="13"/>
      <c r="CP56" s="13"/>
      <c r="CQ56" s="14"/>
      <c r="CR56" s="15"/>
      <c r="CS56" s="13"/>
      <c r="CT56" s="13"/>
      <c r="CU56" s="13"/>
      <c r="CV56" s="13"/>
      <c r="CW56" s="13"/>
      <c r="CX56" s="14"/>
      <c r="CY56" s="13"/>
      <c r="CZ56" s="13"/>
      <c r="DA56" s="14"/>
      <c r="DB56" s="15"/>
      <c r="DC56" s="13"/>
      <c r="DD56" s="13"/>
      <c r="DE56" s="13"/>
      <c r="DF56" s="13"/>
      <c r="DG56" s="13"/>
      <c r="DH56" s="14"/>
      <c r="DI56" s="15"/>
      <c r="DJ56" s="13"/>
      <c r="DK56" s="13"/>
      <c r="DL56" s="15"/>
      <c r="DM56" s="13"/>
      <c r="DN56" s="13"/>
      <c r="DO56" s="13"/>
      <c r="DP56" s="13"/>
      <c r="DQ56" s="13"/>
      <c r="DR56" s="34"/>
      <c r="DS56" s="35"/>
      <c r="DT56" s="23"/>
      <c r="DU56" s="23"/>
      <c r="DV56" s="23"/>
      <c r="DW56" s="23"/>
      <c r="DX56" s="23"/>
      <c r="DY56" s="34"/>
      <c r="DZ56" s="35"/>
      <c r="EA56" s="23"/>
      <c r="EB56" s="23"/>
      <c r="EC56" s="23"/>
      <c r="ED56" s="23"/>
      <c r="EE56" s="23"/>
      <c r="EF56" s="34"/>
      <c r="EG56" s="35"/>
      <c r="EH56" s="23"/>
      <c r="EI56" s="23"/>
      <c r="EJ56" s="23"/>
      <c r="EK56" s="23"/>
      <c r="EL56" s="23"/>
      <c r="EM56" s="34"/>
      <c r="EN56" s="35"/>
      <c r="EO56" s="23"/>
      <c r="EP56" s="23"/>
      <c r="EQ56" s="23"/>
      <c r="ER56" s="23"/>
      <c r="ES56" s="23"/>
      <c r="ET56" s="23"/>
      <c r="EU56" s="23"/>
      <c r="EV56" s="14"/>
      <c r="EW56" s="15"/>
      <c r="EX56" s="23"/>
      <c r="EY56" s="23"/>
      <c r="EZ56" s="23"/>
      <c r="FA56" s="23"/>
      <c r="FB56" s="23"/>
      <c r="FC56" s="24"/>
      <c r="FD56" s="22"/>
      <c r="FE56" s="23"/>
      <c r="FF56" s="23"/>
      <c r="FG56" s="23"/>
      <c r="FH56" s="23"/>
      <c r="FI56" s="23"/>
      <c r="FJ56" s="24"/>
      <c r="FK56" s="22"/>
      <c r="FL56" s="23"/>
      <c r="FM56" s="23"/>
      <c r="FN56" s="23"/>
      <c r="FO56" s="23"/>
      <c r="FP56" s="23"/>
      <c r="FQ56" s="24"/>
      <c r="FR56" s="22"/>
      <c r="FS56" s="23"/>
      <c r="FT56" s="23"/>
      <c r="FU56" s="23"/>
      <c r="FV56" s="23"/>
      <c r="FW56" s="23"/>
      <c r="FX56" s="24"/>
      <c r="FY56" s="22"/>
      <c r="FZ56" s="23"/>
      <c r="GA56" s="23"/>
      <c r="GB56" s="23"/>
      <c r="GC56" s="23"/>
      <c r="GD56" s="23"/>
      <c r="GE56" s="24"/>
      <c r="GF56" s="22"/>
      <c r="GG56" s="23"/>
      <c r="GH56" s="23"/>
    </row>
    <row r="57" spans="1:190" ht="20.25" customHeight="1">
      <c r="A57" s="339"/>
      <c r="B57" s="101" t="s">
        <v>79</v>
      </c>
      <c r="C57" s="101" t="s">
        <v>248</v>
      </c>
      <c r="D57" s="101" t="s">
        <v>250</v>
      </c>
      <c r="E57" s="337"/>
      <c r="F57" s="335"/>
      <c r="G57" s="353"/>
      <c r="H57" s="50" t="s">
        <v>282</v>
      </c>
      <c r="I57" s="46">
        <v>40480</v>
      </c>
      <c r="J57" s="47" t="s">
        <v>38</v>
      </c>
      <c r="K57" s="51"/>
      <c r="L57" s="47">
        <v>40449</v>
      </c>
      <c r="M57" s="47">
        <v>40449</v>
      </c>
      <c r="N57" s="47"/>
      <c r="O57" s="47"/>
      <c r="P57" s="47"/>
      <c r="Q57" s="46">
        <v>40449</v>
      </c>
      <c r="R57" s="46">
        <v>40452</v>
      </c>
      <c r="S57" s="105">
        <v>40449</v>
      </c>
      <c r="T57" s="106">
        <v>40452</v>
      </c>
      <c r="U57" s="13"/>
      <c r="V57" s="13"/>
      <c r="W57" s="13"/>
      <c r="X57" s="13"/>
      <c r="Y57" s="14"/>
      <c r="Z57" s="15"/>
      <c r="AA57" s="13"/>
      <c r="AB57" s="13"/>
      <c r="AC57" s="13"/>
      <c r="AD57" s="13"/>
      <c r="AE57" s="13"/>
      <c r="AF57" s="14"/>
      <c r="AG57" s="15"/>
      <c r="AH57" s="13"/>
      <c r="AI57" s="13"/>
      <c r="AJ57" s="13"/>
      <c r="AK57" s="13"/>
      <c r="AL57" s="13"/>
      <c r="AM57" s="14"/>
      <c r="AN57" s="15"/>
      <c r="AO57" s="13"/>
      <c r="AP57" s="15"/>
      <c r="AQ57" s="13"/>
      <c r="AR57" s="13"/>
      <c r="AS57" s="13"/>
      <c r="AT57" s="14"/>
      <c r="AU57" s="15"/>
      <c r="AV57" s="13"/>
      <c r="AW57" s="13"/>
      <c r="AX57" s="13"/>
      <c r="AY57" s="13"/>
      <c r="AZ57" s="13"/>
      <c r="BA57" s="14"/>
      <c r="BB57" s="15"/>
      <c r="BC57" s="13"/>
      <c r="BD57" s="13"/>
      <c r="BE57" s="13"/>
      <c r="BF57" s="13"/>
      <c r="BG57" s="13"/>
      <c r="BH57" s="14"/>
      <c r="BI57" s="15"/>
      <c r="BJ57" s="13"/>
      <c r="BK57" s="13"/>
      <c r="BL57" s="13"/>
      <c r="BM57" s="13"/>
      <c r="BN57" s="13"/>
      <c r="BO57" s="14"/>
      <c r="BP57" s="15"/>
      <c r="BQ57" s="13"/>
      <c r="BR57" s="13"/>
      <c r="BS57" s="13"/>
      <c r="BT57" s="13"/>
      <c r="BU57" s="13"/>
      <c r="BV57" s="14"/>
      <c r="BW57" s="15"/>
      <c r="BX57" s="13"/>
      <c r="BY57" s="13"/>
      <c r="BZ57" s="13"/>
      <c r="CA57" s="13"/>
      <c r="CB57" s="13"/>
      <c r="CC57" s="14"/>
      <c r="CD57" s="15"/>
      <c r="CE57" s="13"/>
      <c r="CF57" s="13"/>
      <c r="CG57" s="13"/>
      <c r="CH57" s="13"/>
      <c r="CI57" s="13"/>
      <c r="CJ57" s="14"/>
      <c r="CK57" s="15"/>
      <c r="CL57" s="13"/>
      <c r="CM57" s="13"/>
      <c r="CN57" s="13"/>
      <c r="CO57" s="13"/>
      <c r="CP57" s="13"/>
      <c r="CQ57" s="14"/>
      <c r="CR57" s="15"/>
      <c r="CS57" s="13"/>
      <c r="CT57" s="13"/>
      <c r="CU57" s="13"/>
      <c r="CV57" s="13"/>
      <c r="CW57" s="13"/>
      <c r="CX57" s="14"/>
      <c r="CY57" s="13"/>
      <c r="CZ57" s="13"/>
      <c r="DA57" s="14"/>
      <c r="DB57" s="15"/>
      <c r="DC57" s="13"/>
      <c r="DD57" s="13"/>
      <c r="DE57" s="13"/>
      <c r="DF57" s="13"/>
      <c r="DG57" s="13"/>
      <c r="DH57" s="14"/>
      <c r="DI57" s="15"/>
      <c r="DJ57" s="13"/>
      <c r="DK57" s="13"/>
      <c r="DL57" s="15"/>
      <c r="DM57" s="13"/>
      <c r="DN57" s="13"/>
      <c r="DO57" s="13"/>
      <c r="DP57" s="13"/>
      <c r="DQ57" s="13"/>
      <c r="DR57" s="34"/>
      <c r="DS57" s="35"/>
      <c r="DT57" s="23"/>
      <c r="DU57" s="23"/>
      <c r="DV57" s="23"/>
      <c r="DW57" s="23"/>
      <c r="DX57" s="23"/>
      <c r="DY57" s="34"/>
      <c r="DZ57" s="35"/>
      <c r="EA57" s="23"/>
      <c r="EB57" s="23"/>
      <c r="EC57" s="23"/>
      <c r="ED57" s="23"/>
      <c r="EE57" s="23"/>
      <c r="EF57" s="34"/>
      <c r="EG57" s="35"/>
      <c r="EH57" s="23"/>
      <c r="EI57" s="23"/>
      <c r="EJ57" s="23"/>
      <c r="EK57" s="23"/>
      <c r="EL57" s="23"/>
      <c r="EM57" s="34"/>
      <c r="EN57" s="35"/>
      <c r="EO57" s="23"/>
      <c r="EP57" s="23"/>
      <c r="EQ57" s="23"/>
      <c r="ER57" s="23"/>
      <c r="ES57" s="23"/>
      <c r="ET57" s="23"/>
      <c r="EU57" s="23"/>
      <c r="EV57" s="14"/>
      <c r="EW57" s="15"/>
      <c r="EX57" s="23"/>
      <c r="EY57" s="23"/>
      <c r="EZ57" s="23"/>
      <c r="FA57" s="23"/>
      <c r="FB57" s="23"/>
      <c r="FC57" s="24"/>
      <c r="FD57" s="22"/>
      <c r="FE57" s="23"/>
      <c r="FF57" s="23"/>
      <c r="FG57" s="23"/>
      <c r="FH57" s="23"/>
      <c r="FI57" s="23"/>
      <c r="FJ57" s="24"/>
      <c r="FK57" s="22"/>
      <c r="FL57" s="23"/>
      <c r="FM57" s="23"/>
      <c r="FN57" s="23"/>
      <c r="FO57" s="23"/>
      <c r="FP57" s="23"/>
      <c r="FQ57" s="24"/>
      <c r="FR57" s="22"/>
      <c r="FS57" s="23"/>
      <c r="FT57" s="23"/>
      <c r="FU57" s="23"/>
      <c r="FV57" s="23"/>
      <c r="FW57" s="23"/>
      <c r="FX57" s="24"/>
      <c r="FY57" s="22"/>
      <c r="FZ57" s="23"/>
      <c r="GA57" s="23"/>
      <c r="GB57" s="23"/>
      <c r="GC57" s="23"/>
      <c r="GD57" s="23"/>
      <c r="GE57" s="24"/>
      <c r="GF57" s="22"/>
      <c r="GG57" s="23"/>
      <c r="GH57" s="23"/>
    </row>
    <row r="58" spans="1:190" ht="17.25" customHeight="1">
      <c r="A58" s="338" t="s">
        <v>280</v>
      </c>
      <c r="B58" s="330" t="s">
        <v>197</v>
      </c>
      <c r="C58" s="330" t="s">
        <v>198</v>
      </c>
      <c r="D58" s="330" t="s">
        <v>199</v>
      </c>
      <c r="E58" s="336" t="s">
        <v>33</v>
      </c>
      <c r="F58" s="334">
        <v>63</v>
      </c>
      <c r="G58" s="352" t="s">
        <v>200</v>
      </c>
      <c r="H58" s="61" t="s">
        <v>50</v>
      </c>
      <c r="I58" s="46">
        <v>40487</v>
      </c>
      <c r="J58" s="47">
        <v>40450</v>
      </c>
      <c r="K58" s="51"/>
      <c r="L58" s="49" t="s">
        <v>3</v>
      </c>
      <c r="M58" s="49" t="s">
        <v>3</v>
      </c>
      <c r="N58" s="49" t="s">
        <v>3</v>
      </c>
      <c r="O58" s="49" t="s">
        <v>8</v>
      </c>
      <c r="P58" s="49" t="s">
        <v>8</v>
      </c>
      <c r="Q58" s="350">
        <v>40451</v>
      </c>
      <c r="R58" s="350">
        <v>40453</v>
      </c>
      <c r="S58" s="46"/>
      <c r="T58" s="104"/>
      <c r="U58" s="13"/>
      <c r="V58" s="13"/>
      <c r="W58" s="13"/>
      <c r="X58" s="13"/>
      <c r="Y58" s="14"/>
      <c r="Z58" s="15"/>
      <c r="AA58" s="13"/>
      <c r="AB58" s="13"/>
      <c r="AC58" s="13"/>
      <c r="AD58" s="13"/>
      <c r="AE58" s="13"/>
      <c r="AF58" s="14"/>
      <c r="AG58" s="15"/>
      <c r="AH58" s="13"/>
      <c r="AI58" s="13"/>
      <c r="AJ58" s="13"/>
      <c r="AK58" s="13"/>
      <c r="AL58" s="13"/>
      <c r="AM58" s="14"/>
      <c r="AN58" s="15"/>
      <c r="AO58" s="13"/>
      <c r="AP58" s="15"/>
      <c r="AQ58" s="13"/>
      <c r="AR58" s="13"/>
      <c r="AS58" s="13"/>
      <c r="AT58" s="14"/>
      <c r="AU58" s="15"/>
      <c r="AV58" s="13"/>
      <c r="AW58" s="13"/>
      <c r="AX58" s="13"/>
      <c r="AY58" s="13"/>
      <c r="AZ58" s="13"/>
      <c r="BA58" s="14"/>
      <c r="BB58" s="15"/>
      <c r="BC58" s="13"/>
      <c r="BD58" s="13"/>
      <c r="BE58" s="13"/>
      <c r="BF58" s="13"/>
      <c r="BG58" s="13"/>
      <c r="BH58" s="14"/>
      <c r="BI58" s="15"/>
      <c r="BJ58" s="13"/>
      <c r="BK58" s="13"/>
      <c r="BL58" s="13"/>
      <c r="BM58" s="13"/>
      <c r="BN58" s="13"/>
      <c r="BO58" s="14"/>
      <c r="BP58" s="15"/>
      <c r="BQ58" s="13"/>
      <c r="BR58" s="13"/>
      <c r="BS58" s="13"/>
      <c r="BT58" s="13"/>
      <c r="BU58" s="13"/>
      <c r="BV58" s="14"/>
      <c r="BW58" s="15"/>
      <c r="BX58" s="13"/>
      <c r="BY58" s="13"/>
      <c r="BZ58" s="13"/>
      <c r="CA58" s="13"/>
      <c r="CB58" s="13"/>
      <c r="CC58" s="14"/>
      <c r="CD58" s="15"/>
      <c r="CE58" s="13"/>
      <c r="CF58" s="13"/>
      <c r="CG58" s="13"/>
      <c r="CH58" s="13"/>
      <c r="CI58" s="13"/>
      <c r="CJ58" s="14"/>
      <c r="CK58" s="15"/>
      <c r="CL58" s="13"/>
      <c r="CM58" s="13"/>
      <c r="CN58" s="13"/>
      <c r="CO58" s="13"/>
      <c r="CP58" s="13"/>
      <c r="CQ58" s="14"/>
      <c r="CR58" s="15"/>
      <c r="CS58" s="13"/>
      <c r="CT58" s="13"/>
      <c r="CU58" s="13"/>
      <c r="CV58" s="13"/>
      <c r="CW58" s="13"/>
      <c r="CX58" s="14"/>
      <c r="CY58" s="13"/>
      <c r="CZ58" s="13"/>
      <c r="DA58" s="14"/>
      <c r="DB58" s="15"/>
      <c r="DC58" s="13"/>
      <c r="DD58" s="13"/>
      <c r="DE58" s="13"/>
      <c r="DF58" s="13"/>
      <c r="DG58" s="13"/>
      <c r="DH58" s="14"/>
      <c r="DI58" s="15"/>
      <c r="DJ58" s="13"/>
      <c r="DK58" s="13"/>
      <c r="DL58" s="15"/>
      <c r="DM58" s="13"/>
      <c r="DN58" s="13"/>
      <c r="DO58" s="13"/>
      <c r="DP58" s="13"/>
      <c r="DQ58" s="13"/>
      <c r="DR58" s="34"/>
      <c r="DS58" s="35"/>
      <c r="DT58" s="23"/>
      <c r="DU58" s="23"/>
      <c r="DV58" s="23"/>
      <c r="DW58" s="23"/>
      <c r="DX58" s="23"/>
      <c r="DY58" s="34"/>
      <c r="DZ58" s="35"/>
      <c r="EA58" s="23"/>
      <c r="EB58" s="23"/>
      <c r="EC58" s="23"/>
      <c r="ED58" s="23"/>
      <c r="EE58" s="23"/>
      <c r="EF58" s="34"/>
      <c r="EG58" s="35"/>
      <c r="EH58" s="23"/>
      <c r="EI58" s="23"/>
      <c r="EJ58" s="23"/>
      <c r="EK58" s="23"/>
      <c r="EL58" s="23"/>
      <c r="EM58" s="34"/>
      <c r="EN58" s="35"/>
      <c r="EO58" s="23"/>
      <c r="EP58" s="23"/>
      <c r="EQ58" s="23"/>
      <c r="ER58" s="23"/>
      <c r="ES58" s="23"/>
      <c r="ET58" s="23"/>
      <c r="EU58" s="23"/>
      <c r="EV58" s="14"/>
      <c r="EW58" s="15"/>
      <c r="EX58" s="23"/>
      <c r="EY58" s="23"/>
      <c r="EZ58" s="23"/>
      <c r="FA58" s="23"/>
      <c r="FB58" s="23"/>
      <c r="FC58" s="24"/>
      <c r="FD58" s="22"/>
      <c r="FE58" s="23"/>
      <c r="FF58" s="23"/>
      <c r="FG58" s="23"/>
      <c r="FH58" s="23"/>
      <c r="FI58" s="23"/>
      <c r="FJ58" s="24"/>
      <c r="FK58" s="22"/>
      <c r="FL58" s="23"/>
      <c r="FM58" s="23"/>
      <c r="FN58" s="23"/>
      <c r="FO58" s="23"/>
      <c r="FP58" s="23"/>
      <c r="FQ58" s="24"/>
      <c r="FR58" s="22"/>
      <c r="FS58" s="23"/>
      <c r="FT58" s="23"/>
      <c r="FU58" s="23"/>
      <c r="FV58" s="23"/>
      <c r="FW58" s="23"/>
      <c r="FX58" s="24"/>
      <c r="FY58" s="22"/>
      <c r="FZ58" s="23"/>
      <c r="GA58" s="23"/>
      <c r="GB58" s="23"/>
      <c r="GC58" s="23"/>
      <c r="GD58" s="23"/>
      <c r="GE58" s="24"/>
      <c r="GF58" s="22"/>
      <c r="GG58" s="23"/>
      <c r="GH58" s="23"/>
    </row>
    <row r="59" spans="1:190" ht="16.5" customHeight="1" thickBot="1">
      <c r="A59" s="339"/>
      <c r="B59" s="331"/>
      <c r="C59" s="354"/>
      <c r="D59" s="331"/>
      <c r="E59" s="337"/>
      <c r="F59" s="335"/>
      <c r="G59" s="353"/>
      <c r="H59" s="62" t="s">
        <v>281</v>
      </c>
      <c r="I59" s="46">
        <v>40473</v>
      </c>
      <c r="J59" s="47" t="s">
        <v>51</v>
      </c>
      <c r="K59" s="51"/>
      <c r="L59" s="47">
        <v>40451</v>
      </c>
      <c r="M59" s="47">
        <v>40452</v>
      </c>
      <c r="N59" s="47">
        <v>40452</v>
      </c>
      <c r="O59" s="47"/>
      <c r="P59" s="47"/>
      <c r="Q59" s="351"/>
      <c r="R59" s="351"/>
      <c r="S59" s="46"/>
      <c r="T59" s="104"/>
      <c r="U59" s="13"/>
      <c r="V59" s="13"/>
      <c r="W59" s="13"/>
      <c r="X59" s="13"/>
      <c r="Y59" s="14"/>
      <c r="Z59" s="15"/>
      <c r="AA59" s="13"/>
      <c r="AB59" s="13"/>
      <c r="AC59" s="13"/>
      <c r="AD59" s="13"/>
      <c r="AE59" s="13"/>
      <c r="AF59" s="14"/>
      <c r="AG59" s="15"/>
      <c r="AH59" s="13"/>
      <c r="AI59" s="13"/>
      <c r="AJ59" s="13"/>
      <c r="AK59" s="13"/>
      <c r="AL59" s="13"/>
      <c r="AM59" s="14"/>
      <c r="AN59" s="15"/>
      <c r="AO59" s="13"/>
      <c r="AP59" s="15"/>
      <c r="AQ59" s="13"/>
      <c r="AR59" s="13"/>
      <c r="AS59" s="13"/>
      <c r="AT59" s="14"/>
      <c r="AU59" s="15"/>
      <c r="AV59" s="13"/>
      <c r="AW59" s="13"/>
      <c r="AX59" s="13"/>
      <c r="AY59" s="13"/>
      <c r="AZ59" s="13"/>
      <c r="BA59" s="14"/>
      <c r="BB59" s="15"/>
      <c r="BC59" s="13"/>
      <c r="BD59" s="13"/>
      <c r="BE59" s="13"/>
      <c r="BF59" s="13"/>
      <c r="BG59" s="13"/>
      <c r="BH59" s="14"/>
      <c r="BI59" s="15"/>
      <c r="BJ59" s="13"/>
      <c r="BK59" s="13"/>
      <c r="BL59" s="13"/>
      <c r="BM59" s="13"/>
      <c r="BN59" s="13"/>
      <c r="BO59" s="14"/>
      <c r="BP59" s="15"/>
      <c r="BQ59" s="13"/>
      <c r="BR59" s="13"/>
      <c r="BS59" s="13"/>
      <c r="BT59" s="13"/>
      <c r="BU59" s="13"/>
      <c r="BV59" s="14"/>
      <c r="BW59" s="15"/>
      <c r="BX59" s="13"/>
      <c r="BY59" s="13"/>
      <c r="BZ59" s="13"/>
      <c r="CA59" s="13"/>
      <c r="CB59" s="13"/>
      <c r="CC59" s="14"/>
      <c r="CD59" s="15"/>
      <c r="CE59" s="13"/>
      <c r="CF59" s="13"/>
      <c r="CG59" s="13"/>
      <c r="CH59" s="13"/>
      <c r="CI59" s="13"/>
      <c r="CJ59" s="14"/>
      <c r="CK59" s="15"/>
      <c r="CL59" s="13"/>
      <c r="CM59" s="13"/>
      <c r="CN59" s="13"/>
      <c r="CO59" s="13"/>
      <c r="CP59" s="13"/>
      <c r="CQ59" s="14"/>
      <c r="CR59" s="15"/>
      <c r="CS59" s="13"/>
      <c r="CT59" s="13"/>
      <c r="CU59" s="13"/>
      <c r="CV59" s="13"/>
      <c r="CW59" s="13"/>
      <c r="CX59" s="14"/>
      <c r="CY59" s="13"/>
      <c r="CZ59" s="13"/>
      <c r="DA59" s="14"/>
      <c r="DB59" s="15"/>
      <c r="DC59" s="13"/>
      <c r="DD59" s="13"/>
      <c r="DE59" s="13"/>
      <c r="DF59" s="13"/>
      <c r="DG59" s="13"/>
      <c r="DH59" s="14"/>
      <c r="DI59" s="15"/>
      <c r="DJ59" s="13"/>
      <c r="DK59" s="13"/>
      <c r="DL59" s="15"/>
      <c r="DM59" s="13"/>
      <c r="DN59" s="13"/>
      <c r="DO59" s="13"/>
      <c r="DP59" s="13"/>
      <c r="DQ59" s="13"/>
      <c r="DR59" s="34"/>
      <c r="DS59" s="35"/>
      <c r="DT59" s="23"/>
      <c r="DU59" s="23"/>
      <c r="DV59" s="23"/>
      <c r="DW59" s="23"/>
      <c r="DX59" s="23"/>
      <c r="DY59" s="34"/>
      <c r="DZ59" s="35"/>
      <c r="EA59" s="23"/>
      <c r="EB59" s="23"/>
      <c r="EC59" s="23"/>
      <c r="ED59" s="23"/>
      <c r="EE59" s="23"/>
      <c r="EF59" s="34"/>
      <c r="EG59" s="35"/>
      <c r="EH59" s="23"/>
      <c r="EI59" s="23"/>
      <c r="EJ59" s="23"/>
      <c r="EK59" s="23"/>
      <c r="EL59" s="23"/>
      <c r="EM59" s="34"/>
      <c r="EN59" s="35"/>
      <c r="EO59" s="23"/>
      <c r="EP59" s="23"/>
      <c r="EQ59" s="23"/>
      <c r="ER59" s="23"/>
      <c r="ES59" s="23"/>
      <c r="ET59" s="23"/>
      <c r="EU59" s="23"/>
      <c r="EV59" s="14"/>
      <c r="EW59" s="15"/>
      <c r="EX59" s="23"/>
      <c r="EY59" s="23"/>
      <c r="EZ59" s="23"/>
      <c r="FA59" s="23"/>
      <c r="FB59" s="23"/>
      <c r="FC59" s="24"/>
      <c r="FD59" s="22"/>
      <c r="FE59" s="23"/>
      <c r="FF59" s="23"/>
      <c r="FG59" s="23"/>
      <c r="FH59" s="23"/>
      <c r="FI59" s="23"/>
      <c r="FJ59" s="24"/>
      <c r="FK59" s="22"/>
      <c r="FL59" s="23"/>
      <c r="FM59" s="23"/>
      <c r="FN59" s="23"/>
      <c r="FO59" s="23"/>
      <c r="FP59" s="23"/>
      <c r="FQ59" s="24"/>
      <c r="FR59" s="22"/>
      <c r="FS59" s="23"/>
      <c r="FT59" s="23"/>
      <c r="FU59" s="23"/>
      <c r="FV59" s="23"/>
      <c r="FW59" s="23"/>
      <c r="FX59" s="24"/>
      <c r="FY59" s="22"/>
      <c r="FZ59" s="23"/>
      <c r="GA59" s="23"/>
      <c r="GB59" s="23"/>
      <c r="GC59" s="23"/>
      <c r="GD59" s="23"/>
      <c r="GE59" s="24"/>
      <c r="GF59" s="22"/>
      <c r="GG59" s="23"/>
      <c r="GH59" s="23"/>
    </row>
    <row r="60" spans="1:190" ht="30.75" customHeight="1" thickBot="1">
      <c r="A60" s="342" t="s">
        <v>58</v>
      </c>
      <c r="B60" s="343"/>
      <c r="C60" s="344"/>
      <c r="D60" s="343"/>
      <c r="E60" s="343"/>
      <c r="F60" s="343"/>
      <c r="G60" s="97"/>
      <c r="H60" s="72" t="s">
        <v>275</v>
      </c>
      <c r="I60" s="53"/>
      <c r="J60" s="53"/>
      <c r="K60" s="53"/>
      <c r="L60" s="345" t="s">
        <v>7</v>
      </c>
      <c r="M60" s="346"/>
      <c r="N60" s="346"/>
      <c r="O60" s="346"/>
      <c r="P60" s="346"/>
      <c r="Q60" s="346"/>
      <c r="R60" s="346"/>
      <c r="S60" s="346"/>
      <c r="T60" s="347"/>
    </row>
    <row r="61" spans="1:190" ht="15" customHeight="1">
      <c r="A61" s="73"/>
      <c r="B61" s="74"/>
      <c r="C61" s="74"/>
      <c r="D61" s="75"/>
      <c r="E61" s="75"/>
      <c r="F61" s="76"/>
      <c r="G61" s="76"/>
      <c r="H61" s="77"/>
      <c r="I61" s="78"/>
      <c r="J61" s="79"/>
      <c r="K61" s="80"/>
      <c r="L61" s="79"/>
      <c r="M61" s="79"/>
      <c r="N61" s="78"/>
      <c r="O61" s="79"/>
      <c r="P61" s="78"/>
      <c r="Q61" s="81"/>
      <c r="R61" s="82"/>
      <c r="S61" s="82"/>
      <c r="T61" s="83"/>
      <c r="U61" s="13"/>
      <c r="V61" s="13"/>
      <c r="W61" s="13"/>
      <c r="X61" s="13"/>
      <c r="Y61" s="14"/>
      <c r="Z61" s="15"/>
      <c r="AA61" s="13"/>
      <c r="AB61" s="13"/>
      <c r="AC61" s="13"/>
      <c r="AD61" s="13"/>
      <c r="AE61" s="13"/>
      <c r="AF61" s="14"/>
      <c r="AG61" s="15"/>
      <c r="AH61" s="13"/>
      <c r="AI61" s="13"/>
      <c r="AJ61" s="13"/>
      <c r="AK61" s="13"/>
      <c r="AL61" s="13"/>
      <c r="AM61" s="14"/>
      <c r="AN61" s="15"/>
      <c r="AO61" s="13"/>
      <c r="AP61" s="15"/>
      <c r="AQ61" s="13"/>
      <c r="AR61" s="13"/>
      <c r="AS61" s="13"/>
      <c r="AT61" s="14"/>
      <c r="AU61" s="15"/>
      <c r="AV61" s="13"/>
      <c r="AW61" s="13"/>
      <c r="AX61" s="13"/>
      <c r="AY61" s="13"/>
      <c r="AZ61" s="13"/>
      <c r="BA61" s="14"/>
      <c r="BB61" s="15"/>
      <c r="BC61" s="13"/>
      <c r="BD61" s="13"/>
      <c r="BE61" s="13"/>
      <c r="BF61" s="13"/>
      <c r="BG61" s="13"/>
      <c r="BH61" s="14"/>
      <c r="BI61" s="15"/>
      <c r="BJ61" s="13"/>
      <c r="BK61" s="13"/>
      <c r="BL61" s="13"/>
      <c r="BM61" s="13"/>
      <c r="BN61" s="13"/>
      <c r="BO61" s="14"/>
      <c r="BP61" s="15"/>
      <c r="BQ61" s="13"/>
      <c r="BR61" s="13"/>
      <c r="BS61" s="13"/>
      <c r="BT61" s="13"/>
      <c r="BU61" s="13"/>
      <c r="BV61" s="14"/>
      <c r="BW61" s="15"/>
      <c r="BX61" s="13"/>
      <c r="BY61" s="13"/>
      <c r="BZ61" s="13"/>
      <c r="CA61" s="13"/>
      <c r="CB61" s="13"/>
      <c r="CC61" s="14"/>
      <c r="CD61" s="15"/>
      <c r="CE61" s="13"/>
      <c r="CF61" s="13"/>
      <c r="CG61" s="13"/>
      <c r="CH61" s="13"/>
      <c r="CI61" s="13"/>
      <c r="CJ61" s="14"/>
      <c r="CK61" s="15"/>
      <c r="CL61" s="13"/>
      <c r="CM61" s="13"/>
      <c r="CN61" s="13"/>
      <c r="CO61" s="13"/>
      <c r="CP61" s="13"/>
      <c r="CQ61" s="14"/>
      <c r="CR61" s="15"/>
      <c r="CS61" s="13"/>
      <c r="CT61" s="13"/>
      <c r="CU61" s="13"/>
      <c r="CV61" s="13"/>
      <c r="CW61" s="13"/>
      <c r="CX61" s="14"/>
      <c r="CY61" s="13"/>
      <c r="CZ61" s="13"/>
      <c r="DA61" s="14"/>
      <c r="DB61" s="15"/>
      <c r="DC61" s="13"/>
      <c r="DD61" s="13"/>
      <c r="DE61" s="13"/>
      <c r="DF61" s="13"/>
      <c r="DG61" s="13"/>
      <c r="DH61" s="14"/>
      <c r="DI61" s="15"/>
      <c r="DJ61" s="13"/>
      <c r="DK61" s="13"/>
      <c r="DL61" s="15"/>
      <c r="DM61" s="13"/>
      <c r="DN61" s="13"/>
      <c r="DO61" s="13"/>
      <c r="DP61" s="13"/>
      <c r="DQ61" s="13"/>
      <c r="DR61" s="14"/>
      <c r="DS61" s="15"/>
      <c r="DT61" s="13"/>
      <c r="DU61" s="13"/>
      <c r="DV61" s="13"/>
      <c r="DW61" s="13"/>
      <c r="DX61" s="13"/>
      <c r="DY61" s="14"/>
      <c r="DZ61" s="15"/>
      <c r="EA61" s="13"/>
      <c r="EB61" s="13"/>
      <c r="EC61" s="25"/>
      <c r="ED61" s="13"/>
      <c r="EE61" s="13"/>
      <c r="EF61" s="14"/>
      <c r="EG61" s="15"/>
      <c r="EH61" s="13"/>
      <c r="EI61" s="13"/>
      <c r="EJ61" s="13"/>
      <c r="EK61" s="13"/>
      <c r="EL61" s="13"/>
      <c r="EM61" s="14"/>
      <c r="EN61" s="15"/>
      <c r="EO61" s="13"/>
      <c r="EP61" s="13"/>
      <c r="EQ61" s="13"/>
      <c r="ER61" s="13"/>
      <c r="ES61" s="13"/>
      <c r="ET61" s="23"/>
      <c r="EU61" s="23"/>
      <c r="EV61" s="14"/>
      <c r="EW61" s="15"/>
      <c r="EX61" s="23"/>
      <c r="EY61" s="23"/>
      <c r="EZ61" s="23"/>
      <c r="FA61" s="23"/>
      <c r="FB61" s="23"/>
      <c r="FC61" s="24"/>
      <c r="FD61" s="22"/>
      <c r="FE61" s="23"/>
      <c r="FF61" s="23"/>
      <c r="FG61" s="23"/>
      <c r="FH61" s="23"/>
      <c r="FI61" s="23"/>
      <c r="FJ61" s="24"/>
      <c r="FK61" s="22"/>
      <c r="FL61" s="23"/>
      <c r="FM61" s="23"/>
      <c r="FN61" s="23"/>
      <c r="FO61" s="23"/>
      <c r="FP61" s="23"/>
      <c r="FQ61" s="24"/>
      <c r="FR61" s="22"/>
      <c r="FS61" s="23"/>
      <c r="FT61" s="23"/>
      <c r="FU61" s="23"/>
      <c r="FV61" s="23"/>
      <c r="FW61" s="23"/>
      <c r="FX61" s="24"/>
      <c r="FY61" s="22"/>
      <c r="FZ61" s="23"/>
      <c r="GA61" s="23"/>
      <c r="GB61" s="23"/>
      <c r="GC61" s="23"/>
      <c r="GD61" s="23"/>
      <c r="GE61" s="24"/>
      <c r="GF61" s="22"/>
      <c r="GG61" s="23"/>
      <c r="GH61" s="23"/>
    </row>
    <row r="62" spans="1:190" ht="15" customHeight="1">
      <c r="A62" s="98"/>
      <c r="B62" s="96"/>
      <c r="C62" s="96"/>
      <c r="D62" s="84"/>
      <c r="E62" s="84"/>
      <c r="F62" s="85"/>
      <c r="G62" s="85"/>
      <c r="H62" s="86"/>
      <c r="I62" s="66"/>
      <c r="J62" s="67"/>
      <c r="K62" s="87"/>
      <c r="L62" s="67"/>
      <c r="M62" s="67"/>
      <c r="N62" s="66"/>
      <c r="O62" s="67"/>
      <c r="P62" s="66"/>
      <c r="Q62" s="88"/>
      <c r="R62" s="89"/>
      <c r="S62" s="89"/>
      <c r="T62" s="90"/>
      <c r="U62" s="13"/>
      <c r="V62" s="13"/>
      <c r="W62" s="13"/>
      <c r="X62" s="13"/>
      <c r="Y62" s="14"/>
      <c r="Z62" s="15"/>
      <c r="AA62" s="13"/>
      <c r="AB62" s="13"/>
      <c r="AC62" s="13"/>
      <c r="AD62" s="13"/>
      <c r="AE62" s="13"/>
      <c r="AF62" s="14"/>
      <c r="AG62" s="15"/>
      <c r="AH62" s="13"/>
      <c r="AI62" s="13"/>
      <c r="AJ62" s="13"/>
      <c r="AK62" s="13"/>
      <c r="AL62" s="13"/>
      <c r="AM62" s="14"/>
      <c r="AN62" s="15"/>
      <c r="AO62" s="13"/>
      <c r="AP62" s="15"/>
      <c r="AQ62" s="13"/>
      <c r="AR62" s="13"/>
      <c r="AS62" s="13"/>
      <c r="AT62" s="14"/>
      <c r="AU62" s="15"/>
      <c r="AV62" s="13"/>
      <c r="AW62" s="13"/>
      <c r="AX62" s="13"/>
      <c r="AY62" s="13"/>
      <c r="AZ62" s="13"/>
      <c r="BA62" s="14"/>
      <c r="BB62" s="15"/>
      <c r="BC62" s="13"/>
      <c r="BD62" s="13"/>
      <c r="BE62" s="13"/>
      <c r="BF62" s="13"/>
      <c r="BG62" s="13"/>
      <c r="BH62" s="14"/>
      <c r="BI62" s="15"/>
      <c r="BJ62" s="13"/>
      <c r="BK62" s="13"/>
      <c r="BL62" s="13"/>
      <c r="BM62" s="13"/>
      <c r="BN62" s="13"/>
      <c r="BO62" s="14"/>
      <c r="BP62" s="15"/>
      <c r="BQ62" s="13"/>
      <c r="BR62" s="13"/>
      <c r="BS62" s="13"/>
      <c r="BT62" s="13"/>
      <c r="BU62" s="13"/>
      <c r="BV62" s="14"/>
      <c r="BW62" s="15"/>
      <c r="BX62" s="13"/>
      <c r="BY62" s="13"/>
      <c r="BZ62" s="13"/>
      <c r="CA62" s="13"/>
      <c r="CB62" s="13"/>
      <c r="CC62" s="14"/>
      <c r="CD62" s="15"/>
      <c r="CE62" s="13"/>
      <c r="CF62" s="13"/>
      <c r="CG62" s="13"/>
      <c r="CH62" s="13"/>
      <c r="CI62" s="13"/>
      <c r="CJ62" s="14"/>
      <c r="CK62" s="15"/>
      <c r="CL62" s="13"/>
      <c r="CM62" s="13"/>
      <c r="CN62" s="13"/>
      <c r="CO62" s="13"/>
      <c r="CP62" s="13"/>
      <c r="CQ62" s="14"/>
      <c r="CR62" s="15"/>
      <c r="CS62" s="13"/>
      <c r="CT62" s="13"/>
      <c r="CU62" s="13"/>
      <c r="CV62" s="13"/>
      <c r="CW62" s="13"/>
      <c r="CX62" s="14"/>
      <c r="CY62" s="13"/>
      <c r="CZ62" s="13"/>
      <c r="DA62" s="14"/>
      <c r="DB62" s="15"/>
      <c r="DC62" s="13"/>
      <c r="DD62" s="13"/>
      <c r="DE62" s="13"/>
      <c r="DF62" s="13"/>
      <c r="DG62" s="13"/>
      <c r="DH62" s="14"/>
      <c r="DI62" s="15"/>
      <c r="DJ62" s="13"/>
      <c r="DK62" s="13"/>
      <c r="DL62" s="15"/>
      <c r="DM62" s="13"/>
      <c r="DN62" s="13"/>
      <c r="DO62" s="13"/>
      <c r="DP62" s="13"/>
      <c r="DQ62" s="13"/>
      <c r="DR62" s="14"/>
      <c r="DS62" s="15"/>
      <c r="DT62" s="13"/>
      <c r="DU62" s="13"/>
      <c r="DV62" s="13"/>
      <c r="DW62" s="13"/>
      <c r="DX62" s="13"/>
      <c r="DY62" s="14"/>
      <c r="DZ62" s="15"/>
      <c r="EA62" s="13"/>
      <c r="EB62" s="13"/>
      <c r="EC62" s="25"/>
      <c r="ED62" s="13"/>
      <c r="EE62" s="13"/>
      <c r="EF62" s="14"/>
      <c r="EG62" s="15"/>
      <c r="EH62" s="13"/>
      <c r="EI62" s="13"/>
      <c r="EJ62" s="13"/>
      <c r="EK62" s="13"/>
      <c r="EL62" s="13"/>
      <c r="EM62" s="14"/>
      <c r="EN62" s="15"/>
      <c r="EO62" s="13"/>
      <c r="EP62" s="13"/>
      <c r="EQ62" s="13"/>
      <c r="ER62" s="13"/>
      <c r="ES62" s="13"/>
      <c r="ET62" s="23"/>
      <c r="EU62" s="23"/>
      <c r="EV62" s="14"/>
      <c r="EW62" s="15"/>
      <c r="EX62" s="23"/>
      <c r="EY62" s="23"/>
      <c r="EZ62" s="23"/>
      <c r="FA62" s="23"/>
      <c r="FB62" s="23"/>
      <c r="FC62" s="24"/>
      <c r="FD62" s="22"/>
      <c r="FE62" s="23"/>
      <c r="FF62" s="23"/>
      <c r="FG62" s="23"/>
      <c r="FH62" s="23"/>
      <c r="FI62" s="23"/>
      <c r="FJ62" s="24"/>
      <c r="FK62" s="22"/>
      <c r="FL62" s="23"/>
      <c r="FM62" s="23"/>
      <c r="FN62" s="23"/>
      <c r="FO62" s="23"/>
      <c r="FP62" s="23"/>
      <c r="FQ62" s="24"/>
      <c r="FR62" s="22"/>
      <c r="FS62" s="23"/>
      <c r="FT62" s="23"/>
      <c r="FU62" s="23"/>
      <c r="FV62" s="23"/>
      <c r="FW62" s="23"/>
      <c r="FX62" s="24"/>
      <c r="FY62" s="22"/>
      <c r="FZ62" s="23"/>
      <c r="GA62" s="23"/>
      <c r="GB62" s="23"/>
      <c r="GC62" s="23"/>
      <c r="GD62" s="23"/>
      <c r="GE62" s="24"/>
      <c r="GF62" s="22"/>
      <c r="GG62" s="23"/>
      <c r="GH62" s="23"/>
    </row>
    <row r="63" spans="1:190" ht="15" customHeight="1">
      <c r="A63" s="98"/>
      <c r="B63" s="96"/>
      <c r="C63" s="96"/>
      <c r="D63" s="84"/>
      <c r="E63" s="84"/>
      <c r="F63" s="85"/>
      <c r="G63" s="85"/>
      <c r="H63" s="86"/>
      <c r="I63" s="66"/>
      <c r="J63" s="67"/>
      <c r="K63" s="87"/>
      <c r="L63" s="67"/>
      <c r="M63" s="67"/>
      <c r="N63" s="66"/>
      <c r="O63" s="67"/>
      <c r="P63" s="66"/>
      <c r="Q63" s="88"/>
      <c r="R63" s="89"/>
      <c r="S63" s="89"/>
      <c r="T63" s="90"/>
      <c r="U63" s="13"/>
      <c r="V63" s="13"/>
      <c r="W63" s="13"/>
      <c r="X63" s="13"/>
      <c r="Y63" s="14"/>
      <c r="Z63" s="15"/>
      <c r="AA63" s="13"/>
      <c r="AB63" s="13"/>
      <c r="AC63" s="13"/>
      <c r="AD63" s="13"/>
      <c r="AE63" s="13"/>
      <c r="AF63" s="14"/>
      <c r="AG63" s="15"/>
      <c r="AH63" s="13"/>
      <c r="AI63" s="13"/>
      <c r="AJ63" s="13"/>
      <c r="AK63" s="13"/>
      <c r="AL63" s="13"/>
      <c r="AM63" s="14"/>
      <c r="AN63" s="15"/>
      <c r="AO63" s="13"/>
      <c r="AP63" s="15"/>
      <c r="AQ63" s="13"/>
      <c r="AR63" s="13"/>
      <c r="AS63" s="13"/>
      <c r="AT63" s="14"/>
      <c r="AU63" s="15"/>
      <c r="AV63" s="13"/>
      <c r="AW63" s="13"/>
      <c r="AX63" s="13"/>
      <c r="AY63" s="13"/>
      <c r="AZ63" s="13"/>
      <c r="BA63" s="14"/>
      <c r="BB63" s="15"/>
      <c r="BC63" s="13"/>
      <c r="BD63" s="13"/>
      <c r="BE63" s="13"/>
      <c r="BF63" s="13"/>
      <c r="BG63" s="13"/>
      <c r="BH63" s="14"/>
      <c r="BI63" s="15"/>
      <c r="BJ63" s="13"/>
      <c r="BK63" s="13"/>
      <c r="BL63" s="13"/>
      <c r="BM63" s="13"/>
      <c r="BN63" s="13"/>
      <c r="BO63" s="14"/>
      <c r="BP63" s="15"/>
      <c r="BQ63" s="13"/>
      <c r="BR63" s="13"/>
      <c r="BS63" s="13"/>
      <c r="BT63" s="13"/>
      <c r="BU63" s="13"/>
      <c r="BV63" s="14"/>
      <c r="BW63" s="15"/>
      <c r="BX63" s="13"/>
      <c r="BY63" s="13"/>
      <c r="BZ63" s="13"/>
      <c r="CA63" s="13"/>
      <c r="CB63" s="13"/>
      <c r="CC63" s="14"/>
      <c r="CD63" s="15"/>
      <c r="CE63" s="13"/>
      <c r="CF63" s="13"/>
      <c r="CG63" s="13"/>
      <c r="CH63" s="13"/>
      <c r="CI63" s="13"/>
      <c r="CJ63" s="14"/>
      <c r="CK63" s="15"/>
      <c r="CL63" s="13"/>
      <c r="CM63" s="13"/>
      <c r="CN63" s="13"/>
      <c r="CO63" s="13"/>
      <c r="CP63" s="13"/>
      <c r="CQ63" s="14"/>
      <c r="CR63" s="15"/>
      <c r="CS63" s="13"/>
      <c r="CT63" s="13"/>
      <c r="CU63" s="13"/>
      <c r="CV63" s="13"/>
      <c r="CW63" s="13"/>
      <c r="CX63" s="14"/>
      <c r="CY63" s="13"/>
      <c r="CZ63" s="13"/>
      <c r="DA63" s="14"/>
      <c r="DB63" s="15"/>
      <c r="DC63" s="13"/>
      <c r="DD63" s="13"/>
      <c r="DE63" s="13"/>
      <c r="DF63" s="13"/>
      <c r="DG63" s="13"/>
      <c r="DH63" s="14"/>
      <c r="DI63" s="15"/>
      <c r="DJ63" s="13"/>
      <c r="DK63" s="13"/>
      <c r="DL63" s="15"/>
      <c r="DM63" s="13"/>
      <c r="DN63" s="13"/>
      <c r="DO63" s="13"/>
      <c r="DP63" s="13"/>
      <c r="DQ63" s="13"/>
      <c r="DR63" s="14"/>
      <c r="DS63" s="15"/>
      <c r="DT63" s="13"/>
      <c r="DU63" s="13"/>
      <c r="DV63" s="13"/>
      <c r="DW63" s="13"/>
      <c r="DX63" s="13"/>
      <c r="DY63" s="14"/>
      <c r="DZ63" s="15"/>
      <c r="EA63" s="13"/>
      <c r="EB63" s="13"/>
      <c r="EC63" s="25"/>
      <c r="ED63" s="13"/>
      <c r="EE63" s="13"/>
      <c r="EF63" s="14"/>
      <c r="EG63" s="15"/>
      <c r="EH63" s="13"/>
      <c r="EI63" s="13"/>
      <c r="EJ63" s="13"/>
      <c r="EK63" s="13"/>
      <c r="EL63" s="13"/>
      <c r="EM63" s="14"/>
      <c r="EN63" s="15"/>
      <c r="EO63" s="13"/>
      <c r="EP63" s="13"/>
      <c r="EQ63" s="13"/>
      <c r="ER63" s="13"/>
      <c r="ES63" s="13"/>
      <c r="ET63" s="23"/>
      <c r="EU63" s="23"/>
      <c r="EV63" s="14"/>
      <c r="EW63" s="15"/>
      <c r="EX63" s="23"/>
      <c r="EY63" s="23"/>
      <c r="EZ63" s="23"/>
      <c r="FA63" s="23"/>
      <c r="FB63" s="23"/>
      <c r="FC63" s="24"/>
      <c r="FD63" s="22"/>
      <c r="FE63" s="23"/>
      <c r="FF63" s="23"/>
      <c r="FG63" s="23"/>
      <c r="FH63" s="23"/>
      <c r="FI63" s="23"/>
      <c r="FJ63" s="24"/>
      <c r="FK63" s="22"/>
      <c r="FL63" s="23"/>
      <c r="FM63" s="23"/>
      <c r="FN63" s="23"/>
      <c r="FO63" s="23"/>
      <c r="FP63" s="23"/>
      <c r="FQ63" s="24"/>
      <c r="FR63" s="22"/>
      <c r="FS63" s="23"/>
      <c r="FT63" s="23"/>
      <c r="FU63" s="23"/>
      <c r="FV63" s="23"/>
      <c r="FW63" s="23"/>
      <c r="FX63" s="24"/>
      <c r="FY63" s="22"/>
      <c r="FZ63" s="23"/>
      <c r="GA63" s="23"/>
      <c r="GB63" s="23"/>
      <c r="GC63" s="23"/>
      <c r="GD63" s="23"/>
      <c r="GE63" s="24"/>
      <c r="GF63" s="22"/>
      <c r="GG63" s="23"/>
      <c r="GH63" s="23"/>
    </row>
    <row r="64" spans="1:190" ht="15" customHeight="1">
      <c r="A64" s="98"/>
      <c r="B64" s="96"/>
      <c r="C64" s="96"/>
      <c r="D64" s="84"/>
      <c r="E64" s="84"/>
      <c r="F64" s="85"/>
      <c r="G64" s="85"/>
      <c r="H64" s="86"/>
      <c r="I64" s="66"/>
      <c r="J64" s="67"/>
      <c r="K64" s="87"/>
      <c r="L64" s="67"/>
      <c r="M64" s="67"/>
      <c r="N64" s="66"/>
      <c r="O64" s="67"/>
      <c r="P64" s="66"/>
      <c r="Q64" s="88"/>
      <c r="R64" s="89"/>
      <c r="S64" s="89"/>
      <c r="T64" s="90"/>
      <c r="U64" s="13"/>
      <c r="V64" s="13"/>
      <c r="W64" s="13"/>
      <c r="X64" s="13"/>
      <c r="Y64" s="14"/>
      <c r="Z64" s="15"/>
      <c r="AA64" s="13"/>
      <c r="AB64" s="13"/>
      <c r="AC64" s="13"/>
      <c r="AD64" s="13"/>
      <c r="AE64" s="13"/>
      <c r="AF64" s="14"/>
      <c r="AG64" s="15"/>
      <c r="AH64" s="13"/>
      <c r="AI64" s="13"/>
      <c r="AJ64" s="13"/>
      <c r="AK64" s="13"/>
      <c r="AL64" s="13"/>
      <c r="AM64" s="14"/>
      <c r="AN64" s="15"/>
      <c r="AO64" s="13"/>
      <c r="AP64" s="15"/>
      <c r="AQ64" s="13"/>
      <c r="AR64" s="13"/>
      <c r="AS64" s="13"/>
      <c r="AT64" s="14"/>
      <c r="AU64" s="15"/>
      <c r="AV64" s="13"/>
      <c r="AW64" s="13"/>
      <c r="AX64" s="13"/>
      <c r="AY64" s="13"/>
      <c r="AZ64" s="13"/>
      <c r="BA64" s="14"/>
      <c r="BB64" s="15"/>
      <c r="BC64" s="13"/>
      <c r="BD64" s="13"/>
      <c r="BE64" s="13"/>
      <c r="BF64" s="13"/>
      <c r="BG64" s="13"/>
      <c r="BH64" s="14"/>
      <c r="BI64" s="15"/>
      <c r="BJ64" s="13"/>
      <c r="BK64" s="13"/>
      <c r="BL64" s="13"/>
      <c r="BM64" s="13"/>
      <c r="BN64" s="13"/>
      <c r="BO64" s="14"/>
      <c r="BP64" s="15"/>
      <c r="BQ64" s="13"/>
      <c r="BR64" s="13"/>
      <c r="BS64" s="13"/>
      <c r="BT64" s="13"/>
      <c r="BU64" s="13"/>
      <c r="BV64" s="14"/>
      <c r="BW64" s="15"/>
      <c r="BX64" s="13"/>
      <c r="BY64" s="13"/>
      <c r="BZ64" s="13"/>
      <c r="CA64" s="13"/>
      <c r="CB64" s="13"/>
      <c r="CC64" s="14"/>
      <c r="CD64" s="15"/>
      <c r="CE64" s="13"/>
      <c r="CF64" s="13"/>
      <c r="CG64" s="13"/>
      <c r="CH64" s="13"/>
      <c r="CI64" s="13"/>
      <c r="CJ64" s="14"/>
      <c r="CK64" s="15"/>
      <c r="CL64" s="13"/>
      <c r="CM64" s="13"/>
      <c r="CN64" s="13"/>
      <c r="CO64" s="13"/>
      <c r="CP64" s="13"/>
      <c r="CQ64" s="14"/>
      <c r="CR64" s="15"/>
      <c r="CS64" s="13"/>
      <c r="CT64" s="13"/>
      <c r="CU64" s="13"/>
      <c r="CV64" s="13"/>
      <c r="CW64" s="13"/>
      <c r="CX64" s="14"/>
      <c r="CY64" s="13"/>
      <c r="CZ64" s="13"/>
      <c r="DA64" s="14"/>
      <c r="DB64" s="15"/>
      <c r="DC64" s="13"/>
      <c r="DD64" s="13"/>
      <c r="DE64" s="13"/>
      <c r="DF64" s="13"/>
      <c r="DG64" s="13"/>
      <c r="DH64" s="14"/>
      <c r="DI64" s="15"/>
      <c r="DJ64" s="13"/>
      <c r="DK64" s="13"/>
      <c r="DL64" s="15"/>
      <c r="DM64" s="13"/>
      <c r="DN64" s="13"/>
      <c r="DO64" s="13"/>
      <c r="DP64" s="13"/>
      <c r="DQ64" s="13"/>
      <c r="DR64" s="14"/>
      <c r="DS64" s="15"/>
      <c r="DT64" s="13"/>
      <c r="DU64" s="13"/>
      <c r="DV64" s="13"/>
      <c r="DW64" s="13"/>
      <c r="DX64" s="13"/>
      <c r="DY64" s="14"/>
      <c r="DZ64" s="15"/>
      <c r="EA64" s="13"/>
      <c r="EB64" s="13"/>
      <c r="EC64" s="25"/>
      <c r="ED64" s="13"/>
      <c r="EE64" s="13"/>
      <c r="EF64" s="14"/>
      <c r="EG64" s="15"/>
      <c r="EH64" s="13"/>
      <c r="EI64" s="13"/>
      <c r="EJ64" s="13"/>
      <c r="EK64" s="13"/>
      <c r="EL64" s="13"/>
      <c r="EM64" s="14"/>
      <c r="EN64" s="15"/>
      <c r="EO64" s="13"/>
      <c r="EP64" s="13"/>
      <c r="EQ64" s="13"/>
      <c r="ER64" s="13"/>
      <c r="ES64" s="13"/>
      <c r="ET64" s="23"/>
      <c r="EU64" s="23"/>
      <c r="EV64" s="14"/>
      <c r="EW64" s="15"/>
      <c r="EX64" s="23"/>
      <c r="EY64" s="23"/>
      <c r="EZ64" s="23"/>
      <c r="FA64" s="23"/>
      <c r="FB64" s="23"/>
      <c r="FC64" s="24"/>
      <c r="FD64" s="22"/>
      <c r="FE64" s="23"/>
      <c r="FF64" s="23"/>
      <c r="FG64" s="23"/>
      <c r="FH64" s="23"/>
      <c r="FI64" s="23"/>
      <c r="FJ64" s="24"/>
      <c r="FK64" s="22"/>
      <c r="FL64" s="23"/>
      <c r="FM64" s="23"/>
      <c r="FN64" s="23"/>
      <c r="FO64" s="23"/>
      <c r="FP64" s="23"/>
      <c r="FQ64" s="24"/>
      <c r="FR64" s="22"/>
      <c r="FS64" s="23"/>
      <c r="FT64" s="23"/>
      <c r="FU64" s="23"/>
      <c r="FV64" s="23"/>
      <c r="FW64" s="23"/>
      <c r="FX64" s="24"/>
      <c r="FY64" s="22"/>
      <c r="FZ64" s="23"/>
      <c r="GA64" s="23"/>
      <c r="GB64" s="23"/>
      <c r="GC64" s="23"/>
      <c r="GD64" s="23"/>
      <c r="GE64" s="24"/>
      <c r="GF64" s="22"/>
      <c r="GG64" s="23"/>
      <c r="GH64" s="23"/>
    </row>
    <row r="65" spans="1:190" ht="15" customHeight="1">
      <c r="A65" s="348"/>
      <c r="B65" s="341"/>
      <c r="C65" s="341"/>
      <c r="D65" s="96"/>
      <c r="E65" s="96"/>
      <c r="F65" s="64"/>
      <c r="G65" s="64"/>
      <c r="H65" s="65"/>
      <c r="I65" s="66"/>
      <c r="J65" s="67"/>
      <c r="K65" s="349"/>
      <c r="L65" s="95"/>
      <c r="M65" s="95"/>
      <c r="N65" s="95"/>
      <c r="O65" s="95"/>
      <c r="P65" s="95"/>
      <c r="Q65" s="91"/>
      <c r="R65" s="66"/>
      <c r="S65" s="66"/>
      <c r="T65" s="92"/>
    </row>
    <row r="66" spans="1:190" ht="15" customHeight="1">
      <c r="A66" s="348"/>
      <c r="B66" s="341"/>
      <c r="C66" s="341"/>
      <c r="D66" s="84"/>
      <c r="E66" s="84"/>
      <c r="F66" s="85"/>
      <c r="G66" s="85"/>
      <c r="H66" s="86"/>
      <c r="I66" s="66"/>
      <c r="J66" s="67"/>
      <c r="K66" s="349"/>
      <c r="L66" s="67"/>
      <c r="M66" s="67"/>
      <c r="N66" s="67"/>
      <c r="O66" s="67"/>
      <c r="P66" s="67"/>
      <c r="Q66" s="88"/>
      <c r="R66" s="89"/>
      <c r="S66" s="89"/>
      <c r="T66" s="90"/>
    </row>
    <row r="67" spans="1:190" ht="15" customHeight="1">
      <c r="A67" s="340"/>
      <c r="B67" s="341"/>
      <c r="C67" s="341"/>
      <c r="D67" s="96"/>
      <c r="E67" s="96"/>
      <c r="F67" s="93"/>
      <c r="G67" s="93"/>
      <c r="H67" s="65"/>
      <c r="I67" s="66"/>
      <c r="J67" s="67"/>
      <c r="K67" s="94"/>
      <c r="L67" s="95"/>
      <c r="M67" s="95"/>
      <c r="N67" s="95"/>
      <c r="O67" s="95"/>
      <c r="P67" s="95"/>
      <c r="Q67" s="91"/>
      <c r="R67" s="66"/>
      <c r="S67" s="66"/>
      <c r="T67" s="92"/>
    </row>
    <row r="68" spans="1:190" ht="15" customHeight="1">
      <c r="A68" s="340"/>
      <c r="B68" s="341"/>
      <c r="C68" s="341"/>
      <c r="D68" s="84"/>
      <c r="E68" s="84"/>
      <c r="F68" s="85"/>
      <c r="G68" s="85"/>
      <c r="H68" s="86"/>
      <c r="I68" s="66"/>
      <c r="J68" s="67"/>
      <c r="K68" s="94"/>
      <c r="L68" s="67"/>
      <c r="M68" s="67"/>
      <c r="N68" s="66"/>
      <c r="O68" s="67"/>
      <c r="P68" s="67"/>
      <c r="Q68" s="88"/>
      <c r="R68" s="89"/>
      <c r="S68" s="89"/>
      <c r="T68" s="90"/>
    </row>
    <row r="69" spans="1:190" ht="34.5" customHeight="1">
      <c r="A69" s="99"/>
      <c r="B69" s="96"/>
      <c r="C69" s="96"/>
      <c r="D69" s="96"/>
      <c r="E69" s="96"/>
      <c r="F69" s="93"/>
      <c r="G69" s="93"/>
      <c r="H69" s="65"/>
      <c r="I69" s="66"/>
      <c r="J69" s="67"/>
      <c r="K69" s="94"/>
      <c r="L69" s="95"/>
      <c r="M69" s="95"/>
      <c r="N69" s="95"/>
      <c r="O69" s="95"/>
      <c r="P69" s="95"/>
      <c r="Q69" s="91"/>
      <c r="R69" s="66"/>
      <c r="S69" s="66"/>
      <c r="T69" s="92"/>
      <c r="U69" s="13"/>
      <c r="V69" s="13"/>
      <c r="W69" s="13"/>
      <c r="X69" s="13"/>
      <c r="Y69" s="45"/>
      <c r="Z69" s="45"/>
      <c r="AA69" s="13"/>
      <c r="AB69" s="13"/>
      <c r="AC69" s="13"/>
      <c r="AD69" s="13"/>
      <c r="AE69" s="13"/>
      <c r="AF69" s="14"/>
      <c r="AG69" s="15"/>
      <c r="AH69" s="13"/>
      <c r="AI69" s="13"/>
      <c r="AJ69" s="13"/>
      <c r="AK69" s="13"/>
      <c r="AL69" s="13"/>
      <c r="AM69" s="14"/>
      <c r="AN69" s="15"/>
      <c r="AO69" s="13"/>
      <c r="AP69" s="15"/>
      <c r="AQ69" s="13"/>
      <c r="AR69" s="13"/>
      <c r="AS69" s="13"/>
      <c r="AT69" s="14"/>
      <c r="AU69" s="15"/>
      <c r="AV69" s="13"/>
      <c r="AW69" s="13"/>
      <c r="AX69" s="13"/>
      <c r="AY69" s="13"/>
      <c r="AZ69" s="13"/>
      <c r="BA69" s="14"/>
      <c r="BB69" s="15"/>
      <c r="BC69" s="13"/>
      <c r="BD69" s="13"/>
      <c r="BE69" s="13"/>
      <c r="BF69" s="13"/>
      <c r="BG69" s="13"/>
      <c r="BH69" s="14"/>
      <c r="BI69" s="15"/>
      <c r="BJ69" s="13"/>
      <c r="BK69" s="13"/>
      <c r="BL69" s="13"/>
      <c r="BM69" s="13"/>
      <c r="BN69" s="13"/>
      <c r="BO69" s="14"/>
      <c r="BP69" s="15"/>
      <c r="BQ69" s="13"/>
      <c r="BR69" s="13"/>
      <c r="BS69" s="13"/>
      <c r="BT69" s="13"/>
      <c r="BU69" s="13"/>
      <c r="BV69" s="14"/>
      <c r="BW69" s="15"/>
      <c r="BX69" s="13"/>
      <c r="BY69" s="13"/>
      <c r="BZ69" s="13"/>
      <c r="CA69" s="13"/>
      <c r="CB69" s="13"/>
      <c r="CC69" s="14"/>
      <c r="CD69" s="15"/>
      <c r="CE69" s="13"/>
      <c r="CF69" s="13"/>
      <c r="CG69" s="13"/>
      <c r="CH69" s="13"/>
      <c r="CI69" s="13"/>
      <c r="CJ69" s="14"/>
      <c r="CK69" s="15"/>
      <c r="CL69" s="13"/>
      <c r="CM69" s="13"/>
      <c r="CN69" s="13"/>
      <c r="CO69" s="13"/>
      <c r="CP69" s="13"/>
      <c r="CQ69" s="14"/>
      <c r="CR69" s="15"/>
      <c r="CS69" s="13"/>
      <c r="CT69" s="13"/>
      <c r="CU69" s="13"/>
      <c r="CV69" s="13"/>
      <c r="CW69" s="13"/>
      <c r="CX69" s="14"/>
      <c r="CY69" s="13"/>
      <c r="CZ69" s="13"/>
      <c r="DA69" s="14"/>
      <c r="DB69" s="15"/>
      <c r="DC69" s="13"/>
      <c r="DD69" s="13"/>
      <c r="DE69" s="13"/>
      <c r="DF69" s="13"/>
      <c r="DG69" s="13"/>
      <c r="DH69" s="14"/>
      <c r="DI69" s="15"/>
      <c r="DJ69" s="13"/>
      <c r="DK69" s="13"/>
      <c r="DL69" s="15"/>
      <c r="DM69" s="13"/>
      <c r="DN69" s="13"/>
      <c r="DO69" s="13"/>
      <c r="DP69" s="13"/>
      <c r="DQ69" s="13"/>
      <c r="DR69" s="34"/>
      <c r="DS69" s="35"/>
      <c r="DT69" s="23"/>
      <c r="DU69" s="23"/>
      <c r="DV69" s="23"/>
      <c r="DW69" s="23"/>
      <c r="DX69" s="23"/>
      <c r="DY69" s="34"/>
      <c r="DZ69" s="35"/>
      <c r="EA69" s="23"/>
      <c r="EB69" s="23"/>
      <c r="EC69" s="23"/>
      <c r="ED69" s="23"/>
      <c r="EE69" s="23"/>
      <c r="EF69" s="34"/>
      <c r="EG69" s="35"/>
      <c r="EH69" s="23"/>
      <c r="EI69" s="23"/>
      <c r="EJ69" s="23"/>
      <c r="EK69" s="23"/>
      <c r="EL69" s="23"/>
      <c r="EM69" s="34"/>
      <c r="EN69" s="35"/>
      <c r="EO69" s="23"/>
      <c r="EP69" s="23"/>
      <c r="EQ69" s="23"/>
      <c r="ER69" s="23"/>
      <c r="ES69" s="23"/>
      <c r="ET69" s="23"/>
      <c r="EU69" s="23"/>
      <c r="EV69" s="14"/>
      <c r="EW69" s="15"/>
      <c r="EX69" s="23"/>
      <c r="EY69" s="23"/>
      <c r="EZ69" s="23"/>
      <c r="FA69" s="23"/>
      <c r="FB69" s="23"/>
      <c r="FC69" s="24"/>
      <c r="FD69" s="22"/>
      <c r="FE69" s="23"/>
      <c r="FF69" s="23"/>
      <c r="FG69" s="23"/>
      <c r="FH69" s="23"/>
      <c r="FI69" s="23"/>
      <c r="FJ69" s="24"/>
      <c r="FK69" s="22"/>
      <c r="FL69" s="23"/>
      <c r="FM69" s="23"/>
      <c r="FN69" s="23"/>
      <c r="FO69" s="23"/>
      <c r="FP69" s="23"/>
      <c r="FQ69" s="24"/>
      <c r="FR69" s="22"/>
      <c r="FS69" s="23"/>
      <c r="FT69" s="23"/>
      <c r="FU69" s="23"/>
      <c r="FV69" s="23"/>
      <c r="FW69" s="23"/>
      <c r="FX69" s="24"/>
      <c r="FY69" s="22"/>
      <c r="FZ69" s="23"/>
      <c r="GA69" s="23"/>
      <c r="GB69" s="23"/>
      <c r="GC69" s="23"/>
      <c r="GD69" s="23"/>
      <c r="GE69" s="24"/>
      <c r="GF69" s="22"/>
      <c r="GG69" s="23"/>
      <c r="GH69" s="23"/>
    </row>
    <row r="163" spans="192:192" ht="17.25" customHeight="1">
      <c r="GJ163" s="3" t="e">
        <f>+#REF!+#REF!</f>
        <v>#REF!</v>
      </c>
    </row>
  </sheetData>
  <mergeCells count="176">
    <mergeCell ref="R48:R49"/>
    <mergeCell ref="G48:G49"/>
    <mergeCell ref="Q48:Q49"/>
    <mergeCell ref="A24:A25"/>
    <mergeCell ref="E24:E25"/>
    <mergeCell ref="F24:F25"/>
    <mergeCell ref="G24:G25"/>
    <mergeCell ref="A26:A27"/>
    <mergeCell ref="E26:E27"/>
    <mergeCell ref="E38:E39"/>
    <mergeCell ref="G34:G35"/>
    <mergeCell ref="F42:F43"/>
    <mergeCell ref="E40:E41"/>
    <mergeCell ref="F36:F37"/>
    <mergeCell ref="G26:G27"/>
    <mergeCell ref="F46:F47"/>
    <mergeCell ref="E42:E43"/>
    <mergeCell ref="A38:A39"/>
    <mergeCell ref="A36:A37"/>
    <mergeCell ref="A30:A31"/>
    <mergeCell ref="D28:D29"/>
    <mergeCell ref="A42:A43"/>
    <mergeCell ref="A46:A47"/>
    <mergeCell ref="G42:G43"/>
    <mergeCell ref="U46:V46"/>
    <mergeCell ref="S48:S49"/>
    <mergeCell ref="T48:T49"/>
    <mergeCell ref="A48:A49"/>
    <mergeCell ref="G46:G47"/>
    <mergeCell ref="B4:C4"/>
    <mergeCell ref="D4:F4"/>
    <mergeCell ref="B10:B11"/>
    <mergeCell ref="C10:C11"/>
    <mergeCell ref="D10:D11"/>
    <mergeCell ref="C5:C7"/>
    <mergeCell ref="F10:F11"/>
    <mergeCell ref="E10:E11"/>
    <mergeCell ref="F8:F9"/>
    <mergeCell ref="B5:B7"/>
    <mergeCell ref="B36:B37"/>
    <mergeCell ref="I5:I6"/>
    <mergeCell ref="J5:J6"/>
    <mergeCell ref="L5:P6"/>
    <mergeCell ref="F5:F7"/>
    <mergeCell ref="G8:G9"/>
    <mergeCell ref="Q5:T6"/>
    <mergeCell ref="G5:G7"/>
    <mergeCell ref="F32:F33"/>
    <mergeCell ref="T10:T11"/>
    <mergeCell ref="T36:T37"/>
    <mergeCell ref="Q18:Q19"/>
    <mergeCell ref="R18:R19"/>
    <mergeCell ref="S18:S19"/>
    <mergeCell ref="T20:T21"/>
    <mergeCell ref="Q28:Q29"/>
    <mergeCell ref="R28:R29"/>
    <mergeCell ref="T28:T29"/>
    <mergeCell ref="T18:T19"/>
    <mergeCell ref="S20:S21"/>
    <mergeCell ref="R36:R37"/>
    <mergeCell ref="Q36:Q37"/>
    <mergeCell ref="Q20:Q21"/>
    <mergeCell ref="S36:S37"/>
    <mergeCell ref="Q10:Q11"/>
    <mergeCell ref="R10:R11"/>
    <mergeCell ref="S10:S11"/>
    <mergeCell ref="R20:R21"/>
    <mergeCell ref="G16:G17"/>
    <mergeCell ref="G22:G23"/>
    <mergeCell ref="G30:G31"/>
    <mergeCell ref="G36:G37"/>
    <mergeCell ref="G32:G33"/>
    <mergeCell ref="F38:F39"/>
    <mergeCell ref="G38:G39"/>
    <mergeCell ref="F40:F41"/>
    <mergeCell ref="S28:S29"/>
    <mergeCell ref="F12:F13"/>
    <mergeCell ref="F16:F17"/>
    <mergeCell ref="A40:A41"/>
    <mergeCell ref="A5:A7"/>
    <mergeCell ref="D5:D7"/>
    <mergeCell ref="E5:E7"/>
    <mergeCell ref="H5:H6"/>
    <mergeCell ref="A8:A9"/>
    <mergeCell ref="C28:C29"/>
    <mergeCell ref="E36:E37"/>
    <mergeCell ref="G40:G41"/>
    <mergeCell ref="E8:E9"/>
    <mergeCell ref="G14:G15"/>
    <mergeCell ref="G10:G11"/>
    <mergeCell ref="F22:F23"/>
    <mergeCell ref="G28:G29"/>
    <mergeCell ref="F28:F29"/>
    <mergeCell ref="H32:H33"/>
    <mergeCell ref="G20:G21"/>
    <mergeCell ref="G18:G19"/>
    <mergeCell ref="A12:A13"/>
    <mergeCell ref="E22:E23"/>
    <mergeCell ref="A22:A23"/>
    <mergeCell ref="G12:G13"/>
    <mergeCell ref="A54:A55"/>
    <mergeCell ref="A44:A45"/>
    <mergeCell ref="F44:F45"/>
    <mergeCell ref="G44:G45"/>
    <mergeCell ref="E44:E45"/>
    <mergeCell ref="A52:A53"/>
    <mergeCell ref="A50:A51"/>
    <mergeCell ref="E50:E51"/>
    <mergeCell ref="F50:F51"/>
    <mergeCell ref="E54:E55"/>
    <mergeCell ref="F54:F55"/>
    <mergeCell ref="B48:B49"/>
    <mergeCell ref="C48:C49"/>
    <mergeCell ref="G54:G55"/>
    <mergeCell ref="G50:G51"/>
    <mergeCell ref="D48:D49"/>
    <mergeCell ref="E48:E49"/>
    <mergeCell ref="F48:F49"/>
    <mergeCell ref="E46:E47"/>
    <mergeCell ref="E52:E53"/>
    <mergeCell ref="F52:F53"/>
    <mergeCell ref="G52:G53"/>
    <mergeCell ref="A56:A57"/>
    <mergeCell ref="A67:A68"/>
    <mergeCell ref="B67:B68"/>
    <mergeCell ref="C67:C68"/>
    <mergeCell ref="A60:F60"/>
    <mergeCell ref="E58:E59"/>
    <mergeCell ref="A58:A59"/>
    <mergeCell ref="B58:B59"/>
    <mergeCell ref="L60:T60"/>
    <mergeCell ref="A65:A66"/>
    <mergeCell ref="B65:B66"/>
    <mergeCell ref="C65:C66"/>
    <mergeCell ref="K65:K66"/>
    <mergeCell ref="Q58:Q59"/>
    <mergeCell ref="F58:F59"/>
    <mergeCell ref="R58:R59"/>
    <mergeCell ref="D58:D59"/>
    <mergeCell ref="G58:G59"/>
    <mergeCell ref="G56:G57"/>
    <mergeCell ref="F56:F57"/>
    <mergeCell ref="E56:E57"/>
    <mergeCell ref="C58:C59"/>
    <mergeCell ref="A10:A11"/>
    <mergeCell ref="B20:B21"/>
    <mergeCell ref="C20:C21"/>
    <mergeCell ref="E16:E17"/>
    <mergeCell ref="C18:C19"/>
    <mergeCell ref="A20:A21"/>
    <mergeCell ref="A16:A17"/>
    <mergeCell ref="E12:E13"/>
    <mergeCell ref="E14:E15"/>
    <mergeCell ref="A14:A15"/>
    <mergeCell ref="D20:D21"/>
    <mergeCell ref="E18:E19"/>
    <mergeCell ref="D18:D19"/>
    <mergeCell ref="C36:C37"/>
    <mergeCell ref="A28:A29"/>
    <mergeCell ref="B28:B29"/>
    <mergeCell ref="A18:A19"/>
    <mergeCell ref="B18:B19"/>
    <mergeCell ref="D36:D37"/>
    <mergeCell ref="F30:F31"/>
    <mergeCell ref="E30:E31"/>
    <mergeCell ref="F14:F15"/>
    <mergeCell ref="F18:F19"/>
    <mergeCell ref="F26:F27"/>
    <mergeCell ref="E20:E21"/>
    <mergeCell ref="F20:F21"/>
    <mergeCell ref="E28:E29"/>
    <mergeCell ref="A32:A33"/>
    <mergeCell ref="A34:A35"/>
    <mergeCell ref="F34:F35"/>
    <mergeCell ref="E34:E35"/>
    <mergeCell ref="E32:E33"/>
  </mergeCells>
  <phoneticPr fontId="4" type="noConversion"/>
  <conditionalFormatting sqref="L8:P10 L11:M11 O11:P11 L12:P12 L13:M15 O13:P15 L14:P14 L16:P30 O30:P31 L30:M35 N32 P32 O32:O33 L34:P34 O34:P35 L36:P40 L40:M43 O40:P43 L42:P42 L44:P59 L61:M64 O61:O64 L65:P67 L68:M68 O68:P68 L69:P69">
    <cfRule type="cellIs" dxfId="21" priority="6" stopIfTrue="1" operator="equal">
      <formula>"○"</formula>
    </cfRule>
    <cfRule type="cellIs" dxfId="20" priority="7" stopIfTrue="1" operator="equal">
      <formula>"△"</formula>
    </cfRule>
  </conditionalFormatting>
  <dataValidations count="3">
    <dataValidation type="list" allowBlank="1" showInputMessage="1" showErrorMessage="1" sqref="L67:P67 L65:P65 L69:P69 L54:P54 L50:P50 L44:P44 L38:P38 L40:P40 L42:P42 L46:P46 L52:P52 L32:P32 L36:P36 L28:P28 L8:P8 L22:P22 L18:P18 L20:P20 L34:P34 L24:P24 L14:P14 L12:P12 L10:P10 L26:P26 L16:P16 L30:P30 L48:P48 L56:P56 L58:P58" xr:uid="{00000000-0002-0000-0000-000000000000}">
      <formula1>"◐,△,◑,○,N"</formula1>
    </dataValidation>
    <dataValidation type="list" allowBlank="1" showInputMessage="1" showErrorMessage="1" sqref="T3:U3 Q3" xr:uid="{00000000-0002-0000-0000-000001000000}">
      <formula1>#REF!</formula1>
    </dataValidation>
    <dataValidation type="list" allowBlank="1" showInputMessage="1" showErrorMessage="1" sqref="H4" xr:uid="{00000000-0002-0000-0000-000002000000}">
      <formula1>"R.0,R.1,R.2,R.3,R.4,R.5,R.6,R.7,R.8"</formula1>
    </dataValidation>
  </dataValidations>
  <pageMargins left="1.04" right="0.27559055118110237" top="0.19685039370078741" bottom="0.19685039370078741" header="0.19685039370078741" footer="0.19685039370078741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J157"/>
  <sheetViews>
    <sheetView workbookViewId="0">
      <pane xSplit="4" ySplit="17" topLeftCell="G39" activePane="bottomRight" state="frozen"/>
      <selection pane="topRight" activeCell="E1" sqref="E1"/>
      <selection pane="bottomLeft" activeCell="A18" sqref="A18"/>
      <selection pane="bottomRight" activeCell="P51" sqref="P51"/>
    </sheetView>
  </sheetViews>
  <sheetFormatPr defaultColWidth="8.88671875" defaultRowHeight="17.25" customHeight="1"/>
  <cols>
    <col min="1" max="1" width="5" style="2" customWidth="1"/>
    <col min="2" max="2" width="7.33203125" style="2" customWidth="1"/>
    <col min="3" max="3" width="7.88671875" style="2" customWidth="1"/>
    <col min="4" max="4" width="9.44140625" style="2" customWidth="1"/>
    <col min="5" max="5" width="8.5546875" style="2" customWidth="1"/>
    <col min="6" max="6" width="8.21875" style="2" customWidth="1"/>
    <col min="7" max="7" width="6.44140625" style="2" customWidth="1"/>
    <col min="8" max="8" width="10.5546875" style="2" customWidth="1"/>
    <col min="9" max="10" width="6.77734375" style="2" customWidth="1"/>
    <col min="11" max="11" width="1.21875" style="2" hidden="1" customWidth="1"/>
    <col min="12" max="13" width="7.109375" style="3" customWidth="1"/>
    <col min="14" max="16" width="7.109375" style="2" customWidth="1"/>
    <col min="17" max="17" width="8.109375" style="2" customWidth="1"/>
    <col min="18" max="18" width="7.6640625" style="2" customWidth="1"/>
    <col min="19" max="19" width="7.88671875" style="2" customWidth="1"/>
    <col min="20" max="20" width="8.5546875" style="2" customWidth="1"/>
    <col min="21" max="16384" width="8.88671875" style="1"/>
  </cols>
  <sheetData>
    <row r="1" spans="1:190" s="60" customFormat="1" ht="45.75" customHeight="1">
      <c r="A1" s="54" t="s">
        <v>13</v>
      </c>
      <c r="B1" s="54" t="s">
        <v>14</v>
      </c>
      <c r="C1" s="54"/>
      <c r="D1" s="63" t="s">
        <v>272</v>
      </c>
      <c r="E1" s="63"/>
      <c r="F1" s="63"/>
      <c r="G1" s="63"/>
      <c r="H1" s="63"/>
      <c r="I1" s="63"/>
      <c r="J1" s="63"/>
      <c r="K1" s="63"/>
      <c r="L1" s="38"/>
      <c r="M1" s="63"/>
      <c r="N1" s="63"/>
      <c r="O1" s="63"/>
      <c r="P1" s="63"/>
      <c r="Q1" s="42"/>
      <c r="R1" s="42"/>
      <c r="S1" s="42"/>
      <c r="T1" s="42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6"/>
      <c r="AW1" s="57"/>
      <c r="AX1" s="58"/>
      <c r="AY1" s="59"/>
      <c r="AZ1" s="58"/>
      <c r="BA1" s="59"/>
      <c r="BB1" s="57"/>
      <c r="BC1" s="58"/>
      <c r="BD1" s="57"/>
      <c r="BE1" s="58"/>
      <c r="BF1" s="59"/>
      <c r="BG1" s="59"/>
      <c r="BH1" s="57"/>
      <c r="BI1" s="58"/>
      <c r="BJ1" s="58"/>
      <c r="BK1" s="57"/>
      <c r="BL1" s="58"/>
      <c r="BM1" s="59"/>
      <c r="BN1" s="59"/>
      <c r="BO1" s="57"/>
      <c r="BP1" s="58"/>
      <c r="BQ1" s="58"/>
      <c r="BR1" s="59"/>
      <c r="BS1" s="59"/>
      <c r="BT1" s="58"/>
      <c r="BU1" s="57"/>
      <c r="BV1" s="58"/>
      <c r="BW1" s="59"/>
      <c r="BX1" s="59"/>
      <c r="BY1" s="58"/>
      <c r="BZ1" s="57"/>
      <c r="CA1" s="58"/>
      <c r="CB1" s="59"/>
      <c r="CC1" s="59"/>
      <c r="CD1" s="58"/>
      <c r="CE1" s="57"/>
      <c r="CF1" s="58"/>
      <c r="CG1" s="59"/>
      <c r="CH1" s="59"/>
      <c r="CI1" s="58"/>
      <c r="CJ1" s="57"/>
      <c r="CK1" s="58"/>
      <c r="CL1" s="57"/>
      <c r="CM1" s="58"/>
      <c r="CN1" s="58"/>
      <c r="CO1" s="57"/>
      <c r="CP1" s="58"/>
      <c r="CQ1" s="59"/>
      <c r="CR1" s="59"/>
    </row>
    <row r="2" spans="1:190" s="20" customFormat="1" ht="5.25" customHeight="1">
      <c r="F2" s="36"/>
      <c r="G2" s="36"/>
      <c r="H2" s="37"/>
      <c r="I2" s="38"/>
      <c r="J2" s="39"/>
      <c r="K2" s="39"/>
      <c r="L2" s="39"/>
      <c r="M2" s="39"/>
      <c r="N2" s="39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40"/>
      <c r="AW2" s="41"/>
      <c r="AX2" s="40"/>
      <c r="AY2" s="21"/>
      <c r="AZ2" s="40"/>
      <c r="BA2" s="21"/>
      <c r="BB2" s="41"/>
      <c r="BC2" s="40"/>
      <c r="BD2" s="41"/>
      <c r="BE2" s="40"/>
      <c r="BF2" s="21"/>
      <c r="BG2" s="21"/>
      <c r="BH2" s="41"/>
      <c r="BI2" s="40"/>
      <c r="BJ2" s="40"/>
      <c r="BK2" s="41"/>
      <c r="BL2" s="40"/>
      <c r="BM2" s="21"/>
      <c r="BN2" s="21"/>
      <c r="BO2" s="41"/>
      <c r="BP2" s="40"/>
      <c r="BQ2" s="40"/>
      <c r="BR2" s="21"/>
      <c r="BS2" s="21"/>
      <c r="BT2" s="40"/>
      <c r="BU2" s="41"/>
      <c r="BV2" s="40"/>
      <c r="BW2" s="21"/>
      <c r="BX2" s="21"/>
      <c r="BY2" s="40"/>
      <c r="BZ2" s="41"/>
      <c r="CA2" s="40"/>
      <c r="CB2" s="21"/>
      <c r="CC2" s="21"/>
      <c r="CD2" s="40"/>
      <c r="CE2" s="41"/>
      <c r="CF2" s="40"/>
      <c r="CG2" s="21"/>
      <c r="CH2" s="21"/>
      <c r="CI2" s="40"/>
      <c r="CJ2" s="41"/>
      <c r="CK2" s="40"/>
      <c r="CL2" s="41"/>
      <c r="CM2" s="40"/>
      <c r="CN2" s="40"/>
      <c r="CO2" s="41"/>
      <c r="CP2" s="40"/>
      <c r="CQ2" s="21"/>
      <c r="CR2" s="21"/>
    </row>
    <row r="3" spans="1:190" ht="14.25" hidden="1" customHeight="1">
      <c r="A3" s="4"/>
      <c r="B3" s="4"/>
      <c r="C3" s="4"/>
      <c r="D3" s="4"/>
      <c r="E3" s="4"/>
      <c r="F3" s="4"/>
      <c r="G3" s="4"/>
      <c r="H3" s="8"/>
      <c r="I3" s="4"/>
      <c r="J3" s="4"/>
      <c r="K3" s="4"/>
      <c r="L3" s="10"/>
      <c r="M3" s="10"/>
      <c r="N3" s="11"/>
      <c r="O3" s="11"/>
      <c r="P3" s="11"/>
      <c r="Q3" s="10"/>
      <c r="R3" s="11"/>
      <c r="S3" s="11"/>
      <c r="T3" s="12"/>
      <c r="U3" s="10"/>
    </row>
    <row r="4" spans="1:190" ht="21.75" customHeight="1" thickBot="1">
      <c r="A4" s="43" t="s">
        <v>23</v>
      </c>
      <c r="B4" s="383" t="s">
        <v>27</v>
      </c>
      <c r="C4" s="383"/>
      <c r="D4" s="384">
        <f ca="1">TODAY()</f>
        <v>46279</v>
      </c>
      <c r="E4" s="384"/>
      <c r="F4" s="384"/>
      <c r="G4" s="100"/>
      <c r="H4" s="16"/>
      <c r="I4" s="4"/>
      <c r="J4" s="4"/>
      <c r="K4" s="4"/>
      <c r="L4" s="17" t="s">
        <v>154</v>
      </c>
      <c r="M4" s="17"/>
      <c r="N4" s="18"/>
      <c r="O4" s="18"/>
      <c r="P4" s="18"/>
      <c r="Q4" s="17"/>
      <c r="R4" s="17"/>
      <c r="S4" s="19"/>
      <c r="T4" s="19"/>
    </row>
    <row r="5" spans="1:190" ht="17.25" customHeight="1">
      <c r="A5" s="360" t="s">
        <v>32</v>
      </c>
      <c r="B5" s="388" t="s">
        <v>24</v>
      </c>
      <c r="C5" s="385" t="s">
        <v>16</v>
      </c>
      <c r="D5" s="363" t="s">
        <v>31</v>
      </c>
      <c r="E5" s="366" t="s">
        <v>9</v>
      </c>
      <c r="F5" s="395" t="s">
        <v>28</v>
      </c>
      <c r="G5" s="366" t="s">
        <v>34</v>
      </c>
      <c r="H5" s="411" t="s">
        <v>29</v>
      </c>
      <c r="I5" s="409" t="s">
        <v>18</v>
      </c>
      <c r="J5" s="409" t="s">
        <v>12</v>
      </c>
      <c r="K5" s="26"/>
      <c r="L5" s="393" t="s">
        <v>10</v>
      </c>
      <c r="M5" s="393"/>
      <c r="N5" s="393"/>
      <c r="O5" s="393"/>
      <c r="P5" s="393"/>
      <c r="Q5" s="398" t="s">
        <v>0</v>
      </c>
      <c r="R5" s="398"/>
      <c r="S5" s="398"/>
      <c r="T5" s="399"/>
    </row>
    <row r="6" spans="1:190" ht="17.25" customHeight="1">
      <c r="A6" s="361"/>
      <c r="B6" s="389"/>
      <c r="C6" s="386"/>
      <c r="D6" s="364"/>
      <c r="E6" s="367"/>
      <c r="F6" s="396"/>
      <c r="G6" s="367"/>
      <c r="H6" s="412"/>
      <c r="I6" s="410"/>
      <c r="J6" s="410"/>
      <c r="K6" s="27"/>
      <c r="L6" s="394"/>
      <c r="M6" s="394"/>
      <c r="N6" s="394"/>
      <c r="O6" s="394"/>
      <c r="P6" s="394"/>
      <c r="Q6" s="400"/>
      <c r="R6" s="400"/>
      <c r="S6" s="400"/>
      <c r="T6" s="401"/>
    </row>
    <row r="7" spans="1:190" ht="17.25" customHeight="1" thickBot="1">
      <c r="A7" s="362"/>
      <c r="B7" s="390"/>
      <c r="C7" s="387"/>
      <c r="D7" s="365"/>
      <c r="E7" s="368"/>
      <c r="F7" s="397"/>
      <c r="G7" s="368"/>
      <c r="H7" s="29" t="s">
        <v>30</v>
      </c>
      <c r="I7" s="29" t="s">
        <v>21</v>
      </c>
      <c r="J7" s="29" t="s">
        <v>15</v>
      </c>
      <c r="K7" s="30" t="s">
        <v>11</v>
      </c>
      <c r="L7" s="28" t="s">
        <v>1</v>
      </c>
      <c r="M7" s="31" t="s">
        <v>6</v>
      </c>
      <c r="N7" s="28" t="s">
        <v>2</v>
      </c>
      <c r="O7" s="28" t="s">
        <v>4</v>
      </c>
      <c r="P7" s="28" t="s">
        <v>5</v>
      </c>
      <c r="Q7" s="32" t="s">
        <v>75</v>
      </c>
      <c r="R7" s="28" t="s">
        <v>76</v>
      </c>
      <c r="S7" s="28" t="s">
        <v>77</v>
      </c>
      <c r="T7" s="33" t="s">
        <v>78</v>
      </c>
    </row>
    <row r="8" spans="1:190" ht="17.25" customHeight="1">
      <c r="A8" s="332" t="s">
        <v>153</v>
      </c>
      <c r="B8" s="101" t="s">
        <v>79</v>
      </c>
      <c r="C8" s="102" t="s">
        <v>45</v>
      </c>
      <c r="D8" s="101" t="s">
        <v>95</v>
      </c>
      <c r="E8" s="415" t="s">
        <v>37</v>
      </c>
      <c r="F8" s="416">
        <v>320</v>
      </c>
      <c r="G8" s="417" t="s">
        <v>97</v>
      </c>
      <c r="H8" s="70" t="s">
        <v>17</v>
      </c>
      <c r="I8" s="46">
        <v>40479</v>
      </c>
      <c r="J8" s="47">
        <v>40424</v>
      </c>
      <c r="K8" s="51"/>
      <c r="L8" s="49" t="s">
        <v>3</v>
      </c>
      <c r="M8" s="49" t="s">
        <v>3</v>
      </c>
      <c r="N8" s="49" t="s">
        <v>8</v>
      </c>
      <c r="O8" s="49" t="s">
        <v>8</v>
      </c>
      <c r="P8" s="49" t="s">
        <v>8</v>
      </c>
      <c r="Q8" s="46">
        <v>40422</v>
      </c>
      <c r="R8" s="46">
        <v>40425</v>
      </c>
      <c r="S8" s="105">
        <v>40420</v>
      </c>
      <c r="T8" s="106">
        <v>40424</v>
      </c>
      <c r="U8" s="13"/>
      <c r="V8" s="13"/>
      <c r="W8" s="13"/>
      <c r="X8" s="13"/>
      <c r="Y8" s="14"/>
      <c r="Z8" s="15"/>
      <c r="AA8" s="13"/>
      <c r="AB8" s="13"/>
      <c r="AC8" s="13"/>
      <c r="AD8" s="13"/>
      <c r="AE8" s="13"/>
      <c r="AF8" s="14"/>
      <c r="AG8" s="15"/>
      <c r="AH8" s="13"/>
      <c r="AI8" s="13"/>
      <c r="AJ8" s="13"/>
      <c r="AK8" s="13"/>
      <c r="AL8" s="13"/>
      <c r="AM8" s="14"/>
      <c r="AN8" s="15"/>
      <c r="AO8" s="13"/>
      <c r="AP8" s="15"/>
      <c r="AQ8" s="13"/>
      <c r="AR8" s="13"/>
      <c r="AS8" s="13"/>
      <c r="AT8" s="14"/>
      <c r="AU8" s="15"/>
      <c r="AV8" s="13"/>
      <c r="AW8" s="13"/>
      <c r="AX8" s="13"/>
      <c r="AY8" s="13"/>
      <c r="AZ8" s="13"/>
      <c r="BA8" s="14"/>
      <c r="BB8" s="15"/>
      <c r="BC8" s="13"/>
      <c r="BD8" s="13"/>
      <c r="BE8" s="13"/>
      <c r="BF8" s="13"/>
      <c r="BG8" s="13"/>
      <c r="BH8" s="14"/>
      <c r="BI8" s="15"/>
      <c r="BJ8" s="13"/>
      <c r="BK8" s="13"/>
      <c r="BL8" s="13"/>
      <c r="BM8" s="13"/>
      <c r="BN8" s="13"/>
      <c r="BO8" s="14"/>
      <c r="BP8" s="15"/>
      <c r="BQ8" s="13"/>
      <c r="BR8" s="13"/>
      <c r="BS8" s="13"/>
      <c r="BT8" s="13"/>
      <c r="BU8" s="13"/>
      <c r="BV8" s="14"/>
      <c r="BW8" s="15"/>
      <c r="BX8" s="13"/>
      <c r="BY8" s="13"/>
      <c r="BZ8" s="13"/>
      <c r="CA8" s="13"/>
      <c r="CB8" s="13"/>
      <c r="CC8" s="14"/>
      <c r="CD8" s="15"/>
      <c r="CE8" s="13"/>
      <c r="CF8" s="13"/>
      <c r="CG8" s="13"/>
      <c r="CH8" s="13"/>
      <c r="CI8" s="13"/>
      <c r="CJ8" s="14"/>
      <c r="CK8" s="15"/>
      <c r="CL8" s="13"/>
      <c r="CM8" s="13"/>
      <c r="CN8" s="13"/>
      <c r="CO8" s="13"/>
      <c r="CP8" s="13"/>
      <c r="CQ8" s="14"/>
      <c r="CR8" s="15"/>
      <c r="CS8" s="13"/>
      <c r="CT8" s="13"/>
      <c r="CU8" s="13"/>
      <c r="CV8" s="13"/>
      <c r="CW8" s="13"/>
      <c r="CX8" s="14"/>
      <c r="CY8" s="13"/>
      <c r="CZ8" s="13"/>
      <c r="DA8" s="14"/>
      <c r="DB8" s="15"/>
      <c r="DC8" s="13"/>
      <c r="DD8" s="13"/>
      <c r="DE8" s="13"/>
      <c r="DF8" s="13"/>
      <c r="DG8" s="13"/>
      <c r="DH8" s="14"/>
      <c r="DI8" s="15"/>
      <c r="DJ8" s="13"/>
      <c r="DK8" s="13"/>
      <c r="DL8" s="15"/>
      <c r="DM8" s="13"/>
      <c r="DN8" s="13"/>
      <c r="DO8" s="13"/>
      <c r="DP8" s="13"/>
      <c r="DQ8" s="13"/>
      <c r="DR8" s="14"/>
      <c r="DS8" s="15"/>
      <c r="DT8" s="13"/>
      <c r="DU8" s="13"/>
      <c r="DV8" s="13"/>
      <c r="DW8" s="13"/>
      <c r="DX8" s="13"/>
      <c r="DY8" s="14"/>
      <c r="DZ8" s="15"/>
      <c r="EA8" s="13"/>
      <c r="EB8" s="13"/>
      <c r="EC8" s="25"/>
      <c r="ED8" s="13"/>
      <c r="EE8" s="13"/>
      <c r="EF8" s="14"/>
      <c r="EG8" s="15"/>
      <c r="EH8" s="13"/>
      <c r="EI8" s="13"/>
      <c r="EJ8" s="13"/>
      <c r="EK8" s="13"/>
      <c r="EL8" s="13"/>
      <c r="EM8" s="14"/>
      <c r="EN8" s="15"/>
      <c r="EO8" s="13"/>
      <c r="EP8" s="13"/>
      <c r="EQ8" s="13"/>
      <c r="ER8" s="13"/>
      <c r="ES8" s="13"/>
      <c r="ET8" s="23"/>
      <c r="EU8" s="23"/>
      <c r="EV8" s="14"/>
      <c r="EW8" s="15"/>
      <c r="EX8" s="23"/>
      <c r="EY8" s="23"/>
      <c r="EZ8" s="23"/>
      <c r="FA8" s="23"/>
      <c r="FB8" s="23"/>
      <c r="FC8" s="24"/>
      <c r="FD8" s="22"/>
      <c r="FE8" s="23"/>
      <c r="FF8" s="23"/>
      <c r="FG8" s="23"/>
      <c r="FH8" s="23"/>
      <c r="FI8" s="23"/>
      <c r="FJ8" s="24"/>
      <c r="FK8" s="22"/>
      <c r="FL8" s="23"/>
      <c r="FM8" s="23"/>
      <c r="FN8" s="23"/>
      <c r="FO8" s="23"/>
      <c r="FP8" s="23"/>
      <c r="FQ8" s="24"/>
      <c r="FR8" s="22"/>
      <c r="FS8" s="23"/>
      <c r="FT8" s="23"/>
      <c r="FU8" s="23"/>
      <c r="FV8" s="23"/>
      <c r="FW8" s="23"/>
      <c r="FX8" s="24"/>
      <c r="FY8" s="22"/>
      <c r="FZ8" s="23"/>
      <c r="GA8" s="23"/>
      <c r="GB8" s="23"/>
      <c r="GC8" s="23"/>
      <c r="GD8" s="23"/>
      <c r="GE8" s="24"/>
      <c r="GF8" s="22"/>
      <c r="GG8" s="23"/>
      <c r="GH8" s="23"/>
    </row>
    <row r="9" spans="1:190" ht="17.25" customHeight="1">
      <c r="A9" s="332"/>
      <c r="B9" s="101" t="s">
        <v>79</v>
      </c>
      <c r="C9" s="101" t="str">
        <f>C8</f>
        <v>4214</v>
      </c>
      <c r="D9" s="101" t="s">
        <v>96</v>
      </c>
      <c r="E9" s="337"/>
      <c r="F9" s="408"/>
      <c r="G9" s="374"/>
      <c r="H9" s="50" t="s">
        <v>49</v>
      </c>
      <c r="I9" s="46">
        <v>40451</v>
      </c>
      <c r="J9" s="47" t="s">
        <v>51</v>
      </c>
      <c r="K9" s="51"/>
      <c r="L9" s="46">
        <v>40418</v>
      </c>
      <c r="M9" s="46">
        <v>40420</v>
      </c>
      <c r="N9" s="47"/>
      <c r="O9" s="47"/>
      <c r="P9" s="47"/>
      <c r="Q9" s="46">
        <v>40423</v>
      </c>
      <c r="R9" s="46">
        <v>40426</v>
      </c>
      <c r="S9" s="105">
        <v>40421</v>
      </c>
      <c r="T9" s="106">
        <v>40425</v>
      </c>
      <c r="U9" s="13"/>
      <c r="V9" s="13"/>
      <c r="W9" s="13"/>
      <c r="X9" s="13"/>
      <c r="Y9" s="14"/>
      <c r="Z9" s="15"/>
      <c r="AA9" s="13"/>
      <c r="AB9" s="13"/>
      <c r="AC9" s="13"/>
      <c r="AD9" s="13"/>
      <c r="AE9" s="13"/>
      <c r="AF9" s="14"/>
      <c r="AG9" s="15"/>
      <c r="AH9" s="13"/>
      <c r="AI9" s="13"/>
      <c r="AJ9" s="13"/>
      <c r="AK9" s="13"/>
      <c r="AL9" s="13"/>
      <c r="AM9" s="14"/>
      <c r="AN9" s="15"/>
      <c r="AO9" s="13"/>
      <c r="AP9" s="15"/>
      <c r="AQ9" s="13"/>
      <c r="AR9" s="13"/>
      <c r="AS9" s="13"/>
      <c r="AT9" s="14"/>
      <c r="AU9" s="15"/>
      <c r="AV9" s="13"/>
      <c r="AW9" s="13"/>
      <c r="AX9" s="13"/>
      <c r="AY9" s="13"/>
      <c r="AZ9" s="13"/>
      <c r="BA9" s="14"/>
      <c r="BB9" s="15"/>
      <c r="BC9" s="13"/>
      <c r="BD9" s="13"/>
      <c r="BE9" s="13"/>
      <c r="BF9" s="13"/>
      <c r="BG9" s="13"/>
      <c r="BH9" s="14"/>
      <c r="BI9" s="15"/>
      <c r="BJ9" s="13"/>
      <c r="BK9" s="13"/>
      <c r="BL9" s="13"/>
      <c r="BM9" s="13"/>
      <c r="BN9" s="13"/>
      <c r="BO9" s="14"/>
      <c r="BP9" s="15"/>
      <c r="BQ9" s="13"/>
      <c r="BR9" s="13"/>
      <c r="BS9" s="13"/>
      <c r="BT9" s="13"/>
      <c r="BU9" s="13"/>
      <c r="BV9" s="14"/>
      <c r="BW9" s="15"/>
      <c r="BX9" s="13"/>
      <c r="BY9" s="13"/>
      <c r="BZ9" s="13"/>
      <c r="CA9" s="13"/>
      <c r="CB9" s="13"/>
      <c r="CC9" s="14"/>
      <c r="CD9" s="15"/>
      <c r="CE9" s="13"/>
      <c r="CF9" s="13"/>
      <c r="CG9" s="13"/>
      <c r="CH9" s="13"/>
      <c r="CI9" s="13"/>
      <c r="CJ9" s="14"/>
      <c r="CK9" s="15"/>
      <c r="CL9" s="13"/>
      <c r="CM9" s="13"/>
      <c r="CN9" s="13"/>
      <c r="CO9" s="13"/>
      <c r="CP9" s="13"/>
      <c r="CQ9" s="14"/>
      <c r="CR9" s="15"/>
      <c r="CS9" s="13"/>
      <c r="CT9" s="13"/>
      <c r="CU9" s="13"/>
      <c r="CV9" s="13"/>
      <c r="CW9" s="13"/>
      <c r="CX9" s="14"/>
      <c r="CY9" s="13"/>
      <c r="CZ9" s="13"/>
      <c r="DA9" s="14"/>
      <c r="DB9" s="15"/>
      <c r="DC9" s="13"/>
      <c r="DD9" s="13"/>
      <c r="DE9" s="13"/>
      <c r="DF9" s="13"/>
      <c r="DG9" s="13"/>
      <c r="DH9" s="14"/>
      <c r="DI9" s="15"/>
      <c r="DJ9" s="13"/>
      <c r="DK9" s="13"/>
      <c r="DL9" s="15"/>
      <c r="DM9" s="13"/>
      <c r="DN9" s="13"/>
      <c r="DO9" s="13"/>
      <c r="DP9" s="13"/>
      <c r="DQ9" s="13"/>
      <c r="DR9" s="14"/>
      <c r="DS9" s="15"/>
      <c r="DT9" s="13"/>
      <c r="DU9" s="13"/>
      <c r="DV9" s="13"/>
      <c r="DW9" s="13"/>
      <c r="DX9" s="13"/>
      <c r="DY9" s="14"/>
      <c r="DZ9" s="15"/>
      <c r="EA9" s="13"/>
      <c r="EB9" s="13"/>
      <c r="EC9" s="25"/>
      <c r="ED9" s="13"/>
      <c r="EE9" s="13"/>
      <c r="EF9" s="14"/>
      <c r="EG9" s="15"/>
      <c r="EH9" s="13"/>
      <c r="EI9" s="13"/>
      <c r="EJ9" s="13"/>
      <c r="EK9" s="13"/>
      <c r="EL9" s="13"/>
      <c r="EM9" s="14"/>
      <c r="EN9" s="15"/>
      <c r="EO9" s="13"/>
      <c r="EP9" s="13"/>
      <c r="EQ9" s="13"/>
      <c r="ER9" s="13"/>
      <c r="ES9" s="13"/>
      <c r="ET9" s="23"/>
      <c r="EU9" s="23"/>
      <c r="EV9" s="14"/>
      <c r="EW9" s="15"/>
      <c r="EX9" s="23"/>
      <c r="EY9" s="23"/>
      <c r="EZ9" s="23"/>
      <c r="FA9" s="23"/>
      <c r="FB9" s="23"/>
      <c r="FC9" s="24"/>
      <c r="FD9" s="22"/>
      <c r="FE9" s="23"/>
      <c r="FF9" s="23"/>
      <c r="FG9" s="23"/>
      <c r="FH9" s="23"/>
      <c r="FI9" s="23"/>
      <c r="FJ9" s="24"/>
      <c r="FK9" s="22"/>
      <c r="FL9" s="23"/>
      <c r="FM9" s="23"/>
      <c r="FN9" s="23"/>
      <c r="FO9" s="23"/>
      <c r="FP9" s="23"/>
      <c r="FQ9" s="24"/>
      <c r="FR9" s="22"/>
      <c r="FS9" s="23"/>
      <c r="FT9" s="23"/>
      <c r="FU9" s="23"/>
      <c r="FV9" s="23"/>
      <c r="FW9" s="23"/>
      <c r="FX9" s="24"/>
      <c r="FY9" s="22"/>
      <c r="FZ9" s="23"/>
      <c r="GA9" s="23"/>
      <c r="GB9" s="23"/>
      <c r="GC9" s="23"/>
      <c r="GD9" s="23"/>
      <c r="GE9" s="24"/>
      <c r="GF9" s="22"/>
      <c r="GG9" s="23"/>
      <c r="GH9" s="23"/>
    </row>
    <row r="10" spans="1:190" ht="17.25" customHeight="1">
      <c r="A10" s="332" t="s">
        <v>20</v>
      </c>
      <c r="B10" s="101" t="s">
        <v>91</v>
      </c>
      <c r="C10" s="101" t="s">
        <v>98</v>
      </c>
      <c r="D10" s="101" t="s">
        <v>99</v>
      </c>
      <c r="E10" s="336" t="s">
        <v>33</v>
      </c>
      <c r="F10" s="407">
        <v>8</v>
      </c>
      <c r="G10" s="352" t="s">
        <v>52</v>
      </c>
      <c r="H10" s="70" t="s">
        <v>17</v>
      </c>
      <c r="I10" s="46">
        <v>40456</v>
      </c>
      <c r="J10" s="47">
        <v>40425</v>
      </c>
      <c r="K10" s="51"/>
      <c r="L10" s="49" t="s">
        <v>3</v>
      </c>
      <c r="M10" s="49" t="s">
        <v>3</v>
      </c>
      <c r="N10" s="49" t="s">
        <v>3</v>
      </c>
      <c r="O10" s="49" t="s">
        <v>3</v>
      </c>
      <c r="P10" s="49" t="s">
        <v>8</v>
      </c>
      <c r="Q10" s="46">
        <v>40423</v>
      </c>
      <c r="R10" s="46">
        <v>40424</v>
      </c>
      <c r="S10" s="105">
        <v>40422</v>
      </c>
      <c r="T10" s="106">
        <v>40424</v>
      </c>
    </row>
    <row r="11" spans="1:190" ht="17.25" customHeight="1">
      <c r="A11" s="355"/>
      <c r="B11" s="101" t="s">
        <v>91</v>
      </c>
      <c r="C11" s="101" t="s">
        <v>98</v>
      </c>
      <c r="D11" s="101" t="s">
        <v>100</v>
      </c>
      <c r="E11" s="337"/>
      <c r="F11" s="408"/>
      <c r="G11" s="353"/>
      <c r="H11" s="50" t="s">
        <v>59</v>
      </c>
      <c r="I11" s="103">
        <v>40451</v>
      </c>
      <c r="J11" s="52" t="s">
        <v>51</v>
      </c>
      <c r="K11" s="71"/>
      <c r="L11" s="52">
        <v>40417</v>
      </c>
      <c r="M11" s="52">
        <v>40418</v>
      </c>
      <c r="N11" s="52">
        <v>40415</v>
      </c>
      <c r="O11" s="52">
        <v>40415</v>
      </c>
      <c r="P11" s="52"/>
      <c r="Q11" s="103">
        <v>40423</v>
      </c>
      <c r="R11" s="103">
        <v>40424</v>
      </c>
      <c r="S11" s="107">
        <v>40422</v>
      </c>
      <c r="T11" s="108">
        <v>40424</v>
      </c>
    </row>
    <row r="12" spans="1:190" ht="17.25" customHeight="1">
      <c r="A12" s="332" t="s">
        <v>19</v>
      </c>
      <c r="B12" s="101" t="s">
        <v>79</v>
      </c>
      <c r="C12" s="101" t="s">
        <v>101</v>
      </c>
      <c r="D12" s="101" t="s">
        <v>102</v>
      </c>
      <c r="E12" s="336" t="s">
        <v>37</v>
      </c>
      <c r="F12" s="407">
        <v>209.8</v>
      </c>
      <c r="G12" s="373" t="s">
        <v>36</v>
      </c>
      <c r="H12" s="70" t="s">
        <v>17</v>
      </c>
      <c r="I12" s="46">
        <v>40499</v>
      </c>
      <c r="J12" s="47">
        <v>40427</v>
      </c>
      <c r="K12" s="51"/>
      <c r="L12" s="49" t="s">
        <v>3</v>
      </c>
      <c r="M12" s="49" t="s">
        <v>3</v>
      </c>
      <c r="N12" s="49" t="s">
        <v>8</v>
      </c>
      <c r="O12" s="49" t="s">
        <v>8</v>
      </c>
      <c r="P12" s="49" t="s">
        <v>8</v>
      </c>
      <c r="Q12" s="46">
        <v>40423</v>
      </c>
      <c r="R12" s="46">
        <v>40426</v>
      </c>
      <c r="S12" s="105">
        <v>40422</v>
      </c>
      <c r="T12" s="106">
        <v>40428</v>
      </c>
      <c r="U12" s="13"/>
      <c r="V12" s="13"/>
      <c r="W12" s="13"/>
      <c r="X12" s="13"/>
      <c r="Y12" s="14"/>
      <c r="Z12" s="15"/>
      <c r="AA12" s="13"/>
      <c r="AB12" s="13"/>
      <c r="AC12" s="13"/>
      <c r="AD12" s="13"/>
      <c r="AE12" s="13"/>
      <c r="AF12" s="14"/>
      <c r="AG12" s="15"/>
      <c r="AH12" s="13"/>
      <c r="AI12" s="13"/>
      <c r="AJ12" s="13"/>
      <c r="AK12" s="13"/>
      <c r="AL12" s="13"/>
      <c r="AM12" s="14"/>
      <c r="AN12" s="15"/>
      <c r="AO12" s="13"/>
      <c r="AP12" s="15"/>
      <c r="AQ12" s="13"/>
      <c r="AR12" s="13"/>
      <c r="AS12" s="13"/>
      <c r="AT12" s="14"/>
      <c r="AU12" s="15"/>
      <c r="AV12" s="13"/>
      <c r="AW12" s="13"/>
      <c r="AX12" s="13"/>
      <c r="AY12" s="13"/>
      <c r="AZ12" s="13"/>
      <c r="BA12" s="14"/>
      <c r="BB12" s="15"/>
      <c r="BC12" s="13"/>
      <c r="BD12" s="13"/>
      <c r="BE12" s="13"/>
      <c r="BF12" s="13"/>
      <c r="BG12" s="13"/>
      <c r="BH12" s="14"/>
      <c r="BI12" s="15"/>
      <c r="BJ12" s="13"/>
      <c r="BK12" s="13"/>
      <c r="BL12" s="13"/>
      <c r="BM12" s="13"/>
      <c r="BN12" s="13"/>
      <c r="BO12" s="14"/>
      <c r="BP12" s="15"/>
      <c r="BQ12" s="13"/>
      <c r="BR12" s="13"/>
      <c r="BS12" s="13"/>
      <c r="BT12" s="13"/>
      <c r="BU12" s="13"/>
      <c r="BV12" s="14"/>
      <c r="BW12" s="15"/>
      <c r="BX12" s="13"/>
      <c r="BY12" s="13"/>
      <c r="BZ12" s="13"/>
      <c r="CA12" s="13"/>
      <c r="CB12" s="13"/>
      <c r="CC12" s="14"/>
      <c r="CD12" s="15"/>
      <c r="CE12" s="13"/>
      <c r="CF12" s="13"/>
      <c r="CG12" s="13"/>
      <c r="CH12" s="13"/>
      <c r="CI12" s="13"/>
      <c r="CJ12" s="14"/>
      <c r="CK12" s="15"/>
      <c r="CL12" s="13"/>
      <c r="CM12" s="13"/>
      <c r="CN12" s="13"/>
      <c r="CO12" s="13"/>
      <c r="CP12" s="13"/>
      <c r="CQ12" s="14"/>
      <c r="CR12" s="15"/>
      <c r="CS12" s="13"/>
      <c r="CT12" s="13"/>
      <c r="CU12" s="13"/>
      <c r="CV12" s="13"/>
      <c r="CW12" s="13"/>
      <c r="CX12" s="14"/>
      <c r="CY12" s="13"/>
      <c r="CZ12" s="13"/>
      <c r="DA12" s="14"/>
      <c r="DB12" s="15"/>
      <c r="DC12" s="13"/>
      <c r="DD12" s="13"/>
      <c r="DE12" s="13"/>
      <c r="DF12" s="13"/>
      <c r="DG12" s="13"/>
      <c r="DH12" s="14"/>
      <c r="DI12" s="15"/>
      <c r="DJ12" s="13"/>
      <c r="DK12" s="13"/>
      <c r="DL12" s="15"/>
      <c r="DM12" s="13"/>
      <c r="DN12" s="13"/>
      <c r="DO12" s="13"/>
      <c r="DP12" s="13"/>
      <c r="DQ12" s="13"/>
      <c r="DR12" s="34"/>
      <c r="DS12" s="35"/>
      <c r="DT12" s="23"/>
      <c r="DU12" s="23"/>
      <c r="DV12" s="23"/>
      <c r="DW12" s="23"/>
      <c r="DX12" s="23"/>
      <c r="DY12" s="34"/>
      <c r="DZ12" s="35"/>
      <c r="EA12" s="23"/>
      <c r="EB12" s="23"/>
      <c r="EC12" s="23"/>
      <c r="ED12" s="23"/>
      <c r="EE12" s="23"/>
      <c r="EF12" s="34"/>
      <c r="EG12" s="35"/>
      <c r="EH12" s="23"/>
      <c r="EI12" s="23"/>
      <c r="EJ12" s="23"/>
      <c r="EK12" s="23"/>
      <c r="EL12" s="23"/>
      <c r="EM12" s="34"/>
      <c r="EN12" s="35"/>
      <c r="EO12" s="23"/>
      <c r="EP12" s="23"/>
      <c r="EQ12" s="23"/>
      <c r="ER12" s="23"/>
      <c r="ES12" s="23"/>
      <c r="ET12" s="23"/>
      <c r="EU12" s="23"/>
      <c r="EV12" s="14"/>
      <c r="EW12" s="15"/>
      <c r="EX12" s="23"/>
      <c r="EY12" s="23"/>
      <c r="EZ12" s="23"/>
      <c r="FA12" s="23"/>
      <c r="FB12" s="23"/>
      <c r="FC12" s="24"/>
      <c r="FD12" s="22"/>
      <c r="FE12" s="23"/>
      <c r="FF12" s="23"/>
      <c r="FG12" s="23"/>
      <c r="FH12" s="23"/>
      <c r="FI12" s="23"/>
      <c r="FJ12" s="24"/>
      <c r="FK12" s="22"/>
      <c r="FL12" s="23"/>
      <c r="FM12" s="23"/>
      <c r="FN12" s="23"/>
      <c r="FO12" s="23"/>
      <c r="FP12" s="23"/>
      <c r="FQ12" s="24"/>
      <c r="FR12" s="22"/>
      <c r="FS12" s="23"/>
      <c r="FT12" s="23"/>
      <c r="FU12" s="23"/>
      <c r="FV12" s="23"/>
      <c r="FW12" s="23"/>
      <c r="FX12" s="24"/>
      <c r="FY12" s="22"/>
      <c r="FZ12" s="23"/>
      <c r="GA12" s="23"/>
      <c r="GB12" s="23"/>
      <c r="GC12" s="23"/>
      <c r="GD12" s="23"/>
      <c r="GE12" s="24"/>
      <c r="GF12" s="22"/>
      <c r="GG12" s="23"/>
      <c r="GH12" s="23"/>
    </row>
    <row r="13" spans="1:190" ht="17.25" customHeight="1">
      <c r="A13" s="332"/>
      <c r="B13" s="101" t="s">
        <v>79</v>
      </c>
      <c r="C13" s="101" t="str">
        <f>C12</f>
        <v>4150</v>
      </c>
      <c r="D13" s="101" t="s">
        <v>103</v>
      </c>
      <c r="E13" s="337"/>
      <c r="F13" s="408"/>
      <c r="G13" s="374"/>
      <c r="H13" s="50" t="s">
        <v>60</v>
      </c>
      <c r="I13" s="46">
        <v>40451</v>
      </c>
      <c r="J13" s="47" t="s">
        <v>38</v>
      </c>
      <c r="K13" s="51"/>
      <c r="L13" s="47">
        <v>40417</v>
      </c>
      <c r="M13" s="47">
        <v>40418</v>
      </c>
      <c r="N13" s="47"/>
      <c r="O13" s="47"/>
      <c r="P13" s="47"/>
      <c r="Q13" s="46">
        <v>40423</v>
      </c>
      <c r="R13" s="46">
        <v>40427</v>
      </c>
      <c r="S13" s="105">
        <v>40423</v>
      </c>
      <c r="T13" s="106">
        <v>40428</v>
      </c>
      <c r="U13" s="13"/>
      <c r="V13" s="13"/>
      <c r="W13" s="13"/>
      <c r="X13" s="13"/>
      <c r="Y13" s="14"/>
      <c r="Z13" s="15"/>
      <c r="AA13" s="13"/>
      <c r="AB13" s="13"/>
      <c r="AC13" s="13"/>
      <c r="AD13" s="13"/>
      <c r="AE13" s="13"/>
      <c r="AF13" s="14"/>
      <c r="AG13" s="15"/>
      <c r="AH13" s="13"/>
      <c r="AI13" s="13"/>
      <c r="AJ13" s="13"/>
      <c r="AK13" s="13"/>
      <c r="AL13" s="13"/>
      <c r="AM13" s="14"/>
      <c r="AN13" s="15"/>
      <c r="AO13" s="13"/>
      <c r="AP13" s="15"/>
      <c r="AQ13" s="13"/>
      <c r="AR13" s="13"/>
      <c r="AS13" s="13"/>
      <c r="AT13" s="14"/>
      <c r="AU13" s="15"/>
      <c r="AV13" s="13"/>
      <c r="AW13" s="13"/>
      <c r="AX13" s="13"/>
      <c r="AY13" s="13"/>
      <c r="AZ13" s="13"/>
      <c r="BA13" s="14"/>
      <c r="BB13" s="15"/>
      <c r="BC13" s="13"/>
      <c r="BD13" s="13"/>
      <c r="BE13" s="13"/>
      <c r="BF13" s="13"/>
      <c r="BG13" s="13"/>
      <c r="BH13" s="14"/>
      <c r="BI13" s="15"/>
      <c r="BJ13" s="13"/>
      <c r="BK13" s="13"/>
      <c r="BL13" s="13"/>
      <c r="BM13" s="13"/>
      <c r="BN13" s="13"/>
      <c r="BO13" s="14"/>
      <c r="BP13" s="15"/>
      <c r="BQ13" s="13"/>
      <c r="BR13" s="13"/>
      <c r="BS13" s="13"/>
      <c r="BT13" s="13"/>
      <c r="BU13" s="13"/>
      <c r="BV13" s="14"/>
      <c r="BW13" s="15"/>
      <c r="BX13" s="13"/>
      <c r="BY13" s="13"/>
      <c r="BZ13" s="13"/>
      <c r="CA13" s="13"/>
      <c r="CB13" s="13"/>
      <c r="CC13" s="14"/>
      <c r="CD13" s="15"/>
      <c r="CE13" s="13"/>
      <c r="CF13" s="13"/>
      <c r="CG13" s="13"/>
      <c r="CH13" s="13"/>
      <c r="CI13" s="13"/>
      <c r="CJ13" s="14"/>
      <c r="CK13" s="15"/>
      <c r="CL13" s="13"/>
      <c r="CM13" s="13"/>
      <c r="CN13" s="13"/>
      <c r="CO13" s="13"/>
      <c r="CP13" s="13"/>
      <c r="CQ13" s="14"/>
      <c r="CR13" s="15"/>
      <c r="CS13" s="13"/>
      <c r="CT13" s="13"/>
      <c r="CU13" s="13"/>
      <c r="CV13" s="13"/>
      <c r="CW13" s="13"/>
      <c r="CX13" s="14"/>
      <c r="CY13" s="13"/>
      <c r="CZ13" s="13"/>
      <c r="DA13" s="14"/>
      <c r="DB13" s="15"/>
      <c r="DC13" s="13"/>
      <c r="DD13" s="13"/>
      <c r="DE13" s="13"/>
      <c r="DF13" s="13"/>
      <c r="DG13" s="13"/>
      <c r="DH13" s="14"/>
      <c r="DI13" s="15"/>
      <c r="DJ13" s="13"/>
      <c r="DK13" s="13"/>
      <c r="DL13" s="15"/>
      <c r="DM13" s="13"/>
      <c r="DN13" s="13"/>
      <c r="DO13" s="13"/>
      <c r="DP13" s="13"/>
      <c r="DQ13" s="13"/>
      <c r="DR13" s="34"/>
      <c r="DS13" s="35"/>
      <c r="DT13" s="23"/>
      <c r="DU13" s="23"/>
      <c r="DV13" s="23"/>
      <c r="DW13" s="23"/>
      <c r="DX13" s="23"/>
      <c r="DY13" s="34"/>
      <c r="DZ13" s="35"/>
      <c r="EA13" s="23"/>
      <c r="EB13" s="23"/>
      <c r="EC13" s="23"/>
      <c r="ED13" s="23"/>
      <c r="EE13" s="23"/>
      <c r="EF13" s="34"/>
      <c r="EG13" s="35"/>
      <c r="EH13" s="23"/>
      <c r="EI13" s="23"/>
      <c r="EJ13" s="23"/>
      <c r="EK13" s="23"/>
      <c r="EL13" s="23"/>
      <c r="EM13" s="34"/>
      <c r="EN13" s="35"/>
      <c r="EO13" s="23"/>
      <c r="EP13" s="23"/>
      <c r="EQ13" s="23"/>
      <c r="ER13" s="23"/>
      <c r="ES13" s="23"/>
      <c r="ET13" s="23"/>
      <c r="EU13" s="23"/>
      <c r="EV13" s="14"/>
      <c r="EW13" s="15"/>
      <c r="EX13" s="23"/>
      <c r="EY13" s="23"/>
      <c r="EZ13" s="23"/>
      <c r="FA13" s="23"/>
      <c r="FB13" s="23"/>
      <c r="FC13" s="24"/>
      <c r="FD13" s="22"/>
      <c r="FE13" s="23"/>
      <c r="FF13" s="23"/>
      <c r="FG13" s="23"/>
      <c r="FH13" s="23"/>
      <c r="FI13" s="23"/>
      <c r="FJ13" s="24"/>
      <c r="FK13" s="22"/>
      <c r="FL13" s="23"/>
      <c r="FM13" s="23"/>
      <c r="FN13" s="23"/>
      <c r="FO13" s="23"/>
      <c r="FP13" s="23"/>
      <c r="FQ13" s="24"/>
      <c r="FR13" s="22"/>
      <c r="FS13" s="23"/>
      <c r="FT13" s="23"/>
      <c r="FU13" s="23"/>
      <c r="FV13" s="23"/>
      <c r="FW13" s="23"/>
      <c r="FX13" s="24"/>
      <c r="FY13" s="22"/>
      <c r="FZ13" s="23"/>
      <c r="GA13" s="23"/>
      <c r="GB13" s="23"/>
      <c r="GC13" s="23"/>
      <c r="GD13" s="23"/>
      <c r="GE13" s="24"/>
      <c r="GF13" s="22"/>
      <c r="GG13" s="23"/>
      <c r="GH13" s="23"/>
    </row>
    <row r="14" spans="1:190" ht="17.25" customHeight="1">
      <c r="A14" s="332" t="s">
        <v>183</v>
      </c>
      <c r="B14" s="333" t="s">
        <v>25</v>
      </c>
      <c r="C14" s="330" t="s">
        <v>46</v>
      </c>
      <c r="D14" s="330" t="s">
        <v>107</v>
      </c>
      <c r="E14" s="336" t="s">
        <v>33</v>
      </c>
      <c r="F14" s="407">
        <v>3</v>
      </c>
      <c r="G14" s="352" t="s">
        <v>52</v>
      </c>
      <c r="H14" s="70" t="s">
        <v>17</v>
      </c>
      <c r="I14" s="46">
        <v>40457</v>
      </c>
      <c r="J14" s="47">
        <v>40428</v>
      </c>
      <c r="K14" s="51"/>
      <c r="L14" s="49" t="s">
        <v>3</v>
      </c>
      <c r="M14" s="49" t="s">
        <v>3</v>
      </c>
      <c r="N14" s="49" t="s">
        <v>3</v>
      </c>
      <c r="O14" s="49" t="s">
        <v>3</v>
      </c>
      <c r="P14" s="49" t="s">
        <v>8</v>
      </c>
      <c r="Q14" s="46">
        <v>40427</v>
      </c>
      <c r="R14" s="46">
        <v>40428</v>
      </c>
      <c r="S14" s="105">
        <v>40427</v>
      </c>
      <c r="T14" s="106">
        <v>40429</v>
      </c>
      <c r="U14" s="13"/>
      <c r="V14" s="13"/>
      <c r="W14" s="13"/>
      <c r="X14" s="13"/>
      <c r="Y14" s="14"/>
      <c r="Z14" s="15"/>
      <c r="AA14" s="13"/>
      <c r="AB14" s="13"/>
      <c r="AC14" s="13"/>
      <c r="AD14" s="13"/>
      <c r="AE14" s="13"/>
      <c r="AF14" s="14"/>
      <c r="AG14" s="15"/>
      <c r="AH14" s="13"/>
      <c r="AI14" s="13"/>
      <c r="AJ14" s="13"/>
      <c r="AK14" s="13"/>
      <c r="AL14" s="13"/>
      <c r="AM14" s="14"/>
      <c r="AN14" s="15"/>
      <c r="AO14" s="13"/>
      <c r="AP14" s="15"/>
      <c r="AQ14" s="13"/>
      <c r="AR14" s="13"/>
      <c r="AS14" s="13"/>
      <c r="AT14" s="14"/>
      <c r="AU14" s="15"/>
      <c r="AV14" s="13"/>
      <c r="AW14" s="13"/>
      <c r="AX14" s="13"/>
      <c r="AY14" s="13"/>
      <c r="AZ14" s="13"/>
      <c r="BA14" s="14"/>
      <c r="BB14" s="15"/>
      <c r="BC14" s="13"/>
      <c r="BD14" s="13"/>
      <c r="BE14" s="13"/>
      <c r="BF14" s="13"/>
      <c r="BG14" s="13"/>
      <c r="BH14" s="14"/>
      <c r="BI14" s="15"/>
      <c r="BJ14" s="13"/>
      <c r="BK14" s="13"/>
      <c r="BL14" s="13"/>
      <c r="BM14" s="13"/>
      <c r="BN14" s="13"/>
      <c r="BO14" s="14"/>
      <c r="BP14" s="15"/>
      <c r="BQ14" s="13"/>
      <c r="BR14" s="13"/>
      <c r="BS14" s="13"/>
      <c r="BT14" s="13"/>
      <c r="BU14" s="13"/>
      <c r="BV14" s="14"/>
      <c r="BW14" s="15"/>
      <c r="BX14" s="13"/>
      <c r="BY14" s="13"/>
      <c r="BZ14" s="13"/>
      <c r="CA14" s="13"/>
      <c r="CB14" s="13"/>
      <c r="CC14" s="14"/>
      <c r="CD14" s="15"/>
      <c r="CE14" s="13"/>
      <c r="CF14" s="13"/>
      <c r="CG14" s="13"/>
      <c r="CH14" s="13"/>
      <c r="CI14" s="13"/>
      <c r="CJ14" s="14"/>
      <c r="CK14" s="15"/>
      <c r="CL14" s="13"/>
      <c r="CM14" s="13"/>
      <c r="CN14" s="13"/>
      <c r="CO14" s="13"/>
      <c r="CP14" s="13"/>
      <c r="CQ14" s="14"/>
      <c r="CR14" s="15"/>
      <c r="CS14" s="13"/>
      <c r="CT14" s="13"/>
      <c r="CU14" s="13"/>
      <c r="CV14" s="13"/>
      <c r="CW14" s="13"/>
      <c r="CX14" s="14"/>
      <c r="CY14" s="13"/>
      <c r="CZ14" s="13"/>
      <c r="DA14" s="14"/>
      <c r="DB14" s="15"/>
      <c r="DC14" s="13"/>
      <c r="DD14" s="13"/>
      <c r="DE14" s="13"/>
      <c r="DF14" s="13"/>
      <c r="DG14" s="13"/>
      <c r="DH14" s="14"/>
      <c r="DI14" s="15"/>
      <c r="DJ14" s="13"/>
      <c r="DK14" s="13"/>
      <c r="DL14" s="15"/>
      <c r="DM14" s="13"/>
      <c r="DN14" s="13"/>
      <c r="DO14" s="13"/>
      <c r="DP14" s="13"/>
      <c r="DQ14" s="13"/>
      <c r="DR14" s="34"/>
      <c r="DS14" s="35"/>
      <c r="DT14" s="23"/>
      <c r="DU14" s="23"/>
      <c r="DV14" s="23"/>
      <c r="DW14" s="23"/>
      <c r="DX14" s="23"/>
      <c r="DY14" s="34"/>
      <c r="DZ14" s="35"/>
      <c r="EA14" s="23"/>
      <c r="EB14" s="23"/>
      <c r="EC14" s="23"/>
      <c r="ED14" s="23"/>
      <c r="EE14" s="23"/>
      <c r="EF14" s="34"/>
      <c r="EG14" s="35"/>
      <c r="EH14" s="23"/>
      <c r="EI14" s="23"/>
      <c r="EJ14" s="23"/>
      <c r="EK14" s="23"/>
      <c r="EL14" s="23"/>
      <c r="EM14" s="34"/>
      <c r="EN14" s="35"/>
      <c r="EO14" s="23"/>
      <c r="EP14" s="23"/>
      <c r="EQ14" s="23"/>
      <c r="ER14" s="23"/>
      <c r="ES14" s="23"/>
      <c r="ET14" s="23"/>
      <c r="EU14" s="23"/>
      <c r="EV14" s="14"/>
      <c r="EW14" s="15"/>
      <c r="EX14" s="23"/>
      <c r="EY14" s="23"/>
      <c r="EZ14" s="23"/>
      <c r="FA14" s="23"/>
      <c r="FB14" s="23"/>
      <c r="FC14" s="24"/>
      <c r="FD14" s="22"/>
      <c r="FE14" s="23"/>
      <c r="FF14" s="23"/>
      <c r="FG14" s="23"/>
      <c r="FH14" s="23"/>
      <c r="FI14" s="23"/>
      <c r="FJ14" s="24"/>
      <c r="FK14" s="22"/>
      <c r="FL14" s="23"/>
      <c r="FM14" s="23"/>
      <c r="FN14" s="23"/>
      <c r="FO14" s="23"/>
      <c r="FP14" s="23"/>
      <c r="FQ14" s="24"/>
      <c r="FR14" s="22"/>
      <c r="FS14" s="23"/>
      <c r="FT14" s="23"/>
      <c r="FU14" s="23"/>
      <c r="FV14" s="23"/>
      <c r="FW14" s="23"/>
      <c r="FX14" s="24"/>
      <c r="FY14" s="22"/>
      <c r="FZ14" s="23"/>
      <c r="GA14" s="23"/>
      <c r="GB14" s="23"/>
      <c r="GC14" s="23"/>
      <c r="GD14" s="23"/>
      <c r="GE14" s="24"/>
      <c r="GF14" s="22"/>
      <c r="GG14" s="23"/>
      <c r="GH14" s="23"/>
    </row>
    <row r="15" spans="1:190" ht="17.25" customHeight="1">
      <c r="A15" s="332"/>
      <c r="B15" s="333"/>
      <c r="C15" s="331"/>
      <c r="D15" s="331"/>
      <c r="E15" s="337"/>
      <c r="F15" s="408"/>
      <c r="G15" s="353"/>
      <c r="H15" s="50" t="s">
        <v>61</v>
      </c>
      <c r="I15" s="46">
        <v>40452</v>
      </c>
      <c r="J15" s="47" t="s">
        <v>288</v>
      </c>
      <c r="K15" s="51"/>
      <c r="L15" s="47">
        <v>40421</v>
      </c>
      <c r="M15" s="47">
        <v>40421</v>
      </c>
      <c r="N15" s="46">
        <v>40421</v>
      </c>
      <c r="O15" s="47">
        <v>40421</v>
      </c>
      <c r="P15" s="47"/>
      <c r="Q15" s="46">
        <v>40427</v>
      </c>
      <c r="R15" s="46">
        <v>40428</v>
      </c>
      <c r="S15" s="105">
        <v>40427</v>
      </c>
      <c r="T15" s="106">
        <v>40429</v>
      </c>
      <c r="U15" s="13"/>
      <c r="V15" s="13"/>
      <c r="W15" s="13"/>
      <c r="X15" s="13"/>
      <c r="Y15" s="14"/>
      <c r="Z15" s="15"/>
      <c r="AA15" s="13"/>
      <c r="AB15" s="13"/>
      <c r="AC15" s="13"/>
      <c r="AD15" s="13"/>
      <c r="AE15" s="13"/>
      <c r="AF15" s="14"/>
      <c r="AG15" s="15"/>
      <c r="AH15" s="13"/>
      <c r="AI15" s="13"/>
      <c r="AJ15" s="13"/>
      <c r="AK15" s="13"/>
      <c r="AL15" s="13"/>
      <c r="AM15" s="14"/>
      <c r="AN15" s="15"/>
      <c r="AO15" s="13"/>
      <c r="AP15" s="15"/>
      <c r="AQ15" s="13"/>
      <c r="AR15" s="13"/>
      <c r="AS15" s="13"/>
      <c r="AT15" s="14"/>
      <c r="AU15" s="15"/>
      <c r="AV15" s="13"/>
      <c r="AW15" s="13"/>
      <c r="AX15" s="13"/>
      <c r="AY15" s="13"/>
      <c r="AZ15" s="13"/>
      <c r="BA15" s="14"/>
      <c r="BB15" s="15"/>
      <c r="BC15" s="13"/>
      <c r="BD15" s="13"/>
      <c r="BE15" s="13"/>
      <c r="BF15" s="13"/>
      <c r="BG15" s="13"/>
      <c r="BH15" s="14"/>
      <c r="BI15" s="15"/>
      <c r="BJ15" s="13"/>
      <c r="BK15" s="13"/>
      <c r="BL15" s="13"/>
      <c r="BM15" s="13"/>
      <c r="BN15" s="13"/>
      <c r="BO15" s="14"/>
      <c r="BP15" s="15"/>
      <c r="BQ15" s="13"/>
      <c r="BR15" s="13"/>
      <c r="BS15" s="13"/>
      <c r="BT15" s="13"/>
      <c r="BU15" s="13"/>
      <c r="BV15" s="14"/>
      <c r="BW15" s="15"/>
      <c r="BX15" s="13"/>
      <c r="BY15" s="13"/>
      <c r="BZ15" s="13"/>
      <c r="CA15" s="13"/>
      <c r="CB15" s="13"/>
      <c r="CC15" s="14"/>
      <c r="CD15" s="15"/>
      <c r="CE15" s="13"/>
      <c r="CF15" s="13"/>
      <c r="CG15" s="13"/>
      <c r="CH15" s="13"/>
      <c r="CI15" s="13"/>
      <c r="CJ15" s="14"/>
      <c r="CK15" s="15"/>
      <c r="CL15" s="13"/>
      <c r="CM15" s="13"/>
      <c r="CN15" s="13"/>
      <c r="CO15" s="13"/>
      <c r="CP15" s="13"/>
      <c r="CQ15" s="14"/>
      <c r="CR15" s="15"/>
      <c r="CS15" s="13"/>
      <c r="CT15" s="13"/>
      <c r="CU15" s="13"/>
      <c r="CV15" s="13"/>
      <c r="CW15" s="13"/>
      <c r="CX15" s="14"/>
      <c r="CY15" s="13"/>
      <c r="CZ15" s="13"/>
      <c r="DA15" s="14"/>
      <c r="DB15" s="15"/>
      <c r="DC15" s="13"/>
      <c r="DD15" s="13"/>
      <c r="DE15" s="13"/>
      <c r="DF15" s="13"/>
      <c r="DG15" s="13"/>
      <c r="DH15" s="14"/>
      <c r="DI15" s="15"/>
      <c r="DJ15" s="13"/>
      <c r="DK15" s="13"/>
      <c r="DL15" s="15"/>
      <c r="DM15" s="13"/>
      <c r="DN15" s="13"/>
      <c r="DO15" s="13"/>
      <c r="DP15" s="13"/>
      <c r="DQ15" s="13"/>
      <c r="DR15" s="34"/>
      <c r="DS15" s="35"/>
      <c r="DT15" s="23"/>
      <c r="DU15" s="23"/>
      <c r="DV15" s="23"/>
      <c r="DW15" s="23"/>
      <c r="DX15" s="23"/>
      <c r="DY15" s="34"/>
      <c r="DZ15" s="35"/>
      <c r="EA15" s="23"/>
      <c r="EB15" s="23"/>
      <c r="EC15" s="23"/>
      <c r="ED15" s="23"/>
      <c r="EE15" s="23"/>
      <c r="EF15" s="34"/>
      <c r="EG15" s="35"/>
      <c r="EH15" s="23"/>
      <c r="EI15" s="23"/>
      <c r="EJ15" s="23"/>
      <c r="EK15" s="23"/>
      <c r="EL15" s="23"/>
      <c r="EM15" s="34"/>
      <c r="EN15" s="35"/>
      <c r="EO15" s="23"/>
      <c r="EP15" s="23"/>
      <c r="EQ15" s="23"/>
      <c r="ER15" s="23"/>
      <c r="ES15" s="23"/>
      <c r="ET15" s="23"/>
      <c r="EU15" s="23"/>
      <c r="EV15" s="14"/>
      <c r="EW15" s="15"/>
      <c r="EX15" s="23"/>
      <c r="EY15" s="23"/>
      <c r="EZ15" s="23"/>
      <c r="FA15" s="23"/>
      <c r="FB15" s="23"/>
      <c r="FC15" s="24"/>
      <c r="FD15" s="22"/>
      <c r="FE15" s="23"/>
      <c r="FF15" s="23"/>
      <c r="FG15" s="23"/>
      <c r="FH15" s="23"/>
      <c r="FI15" s="23"/>
      <c r="FJ15" s="24"/>
      <c r="FK15" s="22"/>
      <c r="FL15" s="23"/>
      <c r="FM15" s="23"/>
      <c r="FN15" s="23"/>
      <c r="FO15" s="23"/>
      <c r="FP15" s="23"/>
      <c r="FQ15" s="24"/>
      <c r="FR15" s="22"/>
      <c r="FS15" s="23"/>
      <c r="FT15" s="23"/>
      <c r="FU15" s="23"/>
      <c r="FV15" s="23"/>
      <c r="FW15" s="23"/>
      <c r="FX15" s="24"/>
      <c r="FY15" s="22"/>
      <c r="FZ15" s="23"/>
      <c r="GA15" s="23"/>
      <c r="GB15" s="23"/>
      <c r="GC15" s="23"/>
      <c r="GD15" s="23"/>
      <c r="GE15" s="24"/>
      <c r="GF15" s="22"/>
      <c r="GG15" s="23"/>
      <c r="GH15" s="23"/>
    </row>
    <row r="16" spans="1:190" ht="17.25" customHeight="1">
      <c r="A16" s="405">
        <v>5</v>
      </c>
      <c r="B16" s="101" t="s">
        <v>86</v>
      </c>
      <c r="C16" s="101" t="s">
        <v>40</v>
      </c>
      <c r="D16" s="101" t="s">
        <v>104</v>
      </c>
      <c r="E16" s="336" t="s">
        <v>33</v>
      </c>
      <c r="F16" s="413">
        <v>269.8</v>
      </c>
      <c r="G16" s="373" t="s">
        <v>106</v>
      </c>
      <c r="H16" s="70" t="s">
        <v>17</v>
      </c>
      <c r="I16" s="46">
        <v>40441</v>
      </c>
      <c r="J16" s="47">
        <v>40423</v>
      </c>
      <c r="K16" s="48"/>
      <c r="L16" s="49" t="s">
        <v>3</v>
      </c>
      <c r="M16" s="49" t="s">
        <v>3</v>
      </c>
      <c r="N16" s="49" t="s">
        <v>3</v>
      </c>
      <c r="O16" s="49" t="s">
        <v>8</v>
      </c>
      <c r="P16" s="49" t="s">
        <v>3</v>
      </c>
      <c r="Q16" s="46">
        <v>40424</v>
      </c>
      <c r="R16" s="46">
        <v>40427</v>
      </c>
      <c r="S16" s="105">
        <v>40422</v>
      </c>
      <c r="T16" s="106">
        <v>40434</v>
      </c>
      <c r="Y16" s="44"/>
      <c r="Z16" s="44"/>
    </row>
    <row r="17" spans="1:190" ht="17.25" customHeight="1">
      <c r="A17" s="406"/>
      <c r="B17" s="101" t="s">
        <v>86</v>
      </c>
      <c r="C17" s="101" t="str">
        <f>C16</f>
        <v>4023</v>
      </c>
      <c r="D17" s="101" t="s">
        <v>105</v>
      </c>
      <c r="E17" s="337"/>
      <c r="F17" s="414"/>
      <c r="G17" s="374"/>
      <c r="H17" s="50" t="s">
        <v>49</v>
      </c>
      <c r="I17" s="46">
        <v>40438</v>
      </c>
      <c r="J17" s="47" t="s">
        <v>41</v>
      </c>
      <c r="K17" s="48"/>
      <c r="L17" s="47">
        <v>40429</v>
      </c>
      <c r="M17" s="47">
        <v>40415</v>
      </c>
      <c r="N17" s="47">
        <v>40417</v>
      </c>
      <c r="O17" s="47"/>
      <c r="P17" s="47">
        <v>40429</v>
      </c>
      <c r="Q17" s="46">
        <v>40425</v>
      </c>
      <c r="R17" s="46">
        <v>40428</v>
      </c>
      <c r="S17" s="105">
        <v>40423</v>
      </c>
      <c r="T17" s="106">
        <v>40434</v>
      </c>
      <c r="Y17" s="44"/>
      <c r="Z17" s="44"/>
    </row>
    <row r="18" spans="1:190" ht="17.25" customHeight="1">
      <c r="A18" s="405">
        <v>6</v>
      </c>
      <c r="B18" s="101" t="s">
        <v>25</v>
      </c>
      <c r="C18" s="101" t="s">
        <v>110</v>
      </c>
      <c r="D18" s="101" t="s">
        <v>108</v>
      </c>
      <c r="E18" s="336" t="s">
        <v>33</v>
      </c>
      <c r="F18" s="407">
        <v>131</v>
      </c>
      <c r="G18" s="373" t="s">
        <v>112</v>
      </c>
      <c r="H18" s="70" t="s">
        <v>17</v>
      </c>
      <c r="I18" s="46">
        <v>40496</v>
      </c>
      <c r="J18" s="47">
        <v>40418</v>
      </c>
      <c r="K18" s="51"/>
      <c r="L18" s="49" t="s">
        <v>3</v>
      </c>
      <c r="M18" s="49" t="s">
        <v>3</v>
      </c>
      <c r="N18" s="49" t="s">
        <v>3</v>
      </c>
      <c r="O18" s="49" t="s">
        <v>8</v>
      </c>
      <c r="P18" s="49" t="s">
        <v>8</v>
      </c>
      <c r="Q18" s="46">
        <v>40427</v>
      </c>
      <c r="R18" s="46">
        <v>40429</v>
      </c>
      <c r="S18" s="105">
        <v>40427</v>
      </c>
      <c r="T18" s="106">
        <v>40434</v>
      </c>
    </row>
    <row r="19" spans="1:190" ht="17.25" customHeight="1">
      <c r="A19" s="406"/>
      <c r="B19" s="101" t="s">
        <v>25</v>
      </c>
      <c r="C19" s="101" t="s">
        <v>111</v>
      </c>
      <c r="D19" s="101" t="s">
        <v>109</v>
      </c>
      <c r="E19" s="337"/>
      <c r="F19" s="408"/>
      <c r="G19" s="374"/>
      <c r="H19" s="50" t="s">
        <v>53</v>
      </c>
      <c r="I19" s="46">
        <v>40444</v>
      </c>
      <c r="J19" s="47" t="s">
        <v>41</v>
      </c>
      <c r="K19" s="51"/>
      <c r="L19" s="47">
        <v>40427</v>
      </c>
      <c r="M19" s="47">
        <v>40420</v>
      </c>
      <c r="N19" s="47">
        <v>40418</v>
      </c>
      <c r="O19" s="47"/>
      <c r="P19" s="47"/>
      <c r="Q19" s="46">
        <v>40427</v>
      </c>
      <c r="R19" s="46">
        <v>40430</v>
      </c>
      <c r="S19" s="105">
        <v>40427</v>
      </c>
      <c r="T19" s="106">
        <v>40434</v>
      </c>
    </row>
    <row r="20" spans="1:190" ht="17.25" customHeight="1">
      <c r="A20" s="404">
        <v>7</v>
      </c>
      <c r="B20" s="101" t="s">
        <v>113</v>
      </c>
      <c r="C20" s="101" t="s">
        <v>116</v>
      </c>
      <c r="D20" s="101" t="s">
        <v>114</v>
      </c>
      <c r="E20" s="336" t="s">
        <v>33</v>
      </c>
      <c r="F20" s="407">
        <v>15</v>
      </c>
      <c r="G20" s="352" t="s">
        <v>26</v>
      </c>
      <c r="H20" s="70" t="s">
        <v>17</v>
      </c>
      <c r="I20" s="46">
        <v>40496</v>
      </c>
      <c r="J20" s="47">
        <v>40435</v>
      </c>
      <c r="K20" s="69"/>
      <c r="L20" s="49" t="s">
        <v>3</v>
      </c>
      <c r="M20" s="49" t="s">
        <v>3</v>
      </c>
      <c r="N20" s="49" t="s">
        <v>3</v>
      </c>
      <c r="O20" s="49" t="s">
        <v>8</v>
      </c>
      <c r="P20" s="49" t="s">
        <v>8</v>
      </c>
      <c r="Q20" s="46">
        <v>40428</v>
      </c>
      <c r="R20" s="46">
        <v>40429</v>
      </c>
      <c r="S20" s="105">
        <v>40429</v>
      </c>
      <c r="T20" s="106">
        <v>40435</v>
      </c>
      <c r="U20" s="13"/>
      <c r="V20" s="13"/>
      <c r="W20" s="13"/>
      <c r="X20" s="13"/>
      <c r="Y20" s="14"/>
      <c r="Z20" s="15"/>
      <c r="AA20" s="13"/>
      <c r="AB20" s="13"/>
      <c r="AC20" s="13"/>
      <c r="AD20" s="13"/>
      <c r="AE20" s="13"/>
      <c r="AF20" s="14"/>
      <c r="AG20" s="15"/>
      <c r="AH20" s="13"/>
      <c r="AI20" s="13"/>
      <c r="AJ20" s="13"/>
      <c r="AK20" s="13"/>
      <c r="AL20" s="13"/>
      <c r="AM20" s="14"/>
      <c r="AN20" s="15"/>
      <c r="AO20" s="13"/>
      <c r="AP20" s="15"/>
      <c r="AQ20" s="13"/>
      <c r="AR20" s="13"/>
      <c r="AS20" s="13"/>
      <c r="AT20" s="14"/>
      <c r="AU20" s="15"/>
      <c r="AV20" s="13"/>
      <c r="AW20" s="13"/>
      <c r="AX20" s="13"/>
      <c r="AY20" s="13"/>
      <c r="AZ20" s="13"/>
      <c r="BA20" s="14"/>
      <c r="BB20" s="15"/>
      <c r="BC20" s="13"/>
      <c r="BD20" s="13"/>
      <c r="BE20" s="13"/>
      <c r="BF20" s="13"/>
      <c r="BG20" s="13"/>
      <c r="BH20" s="14"/>
      <c r="BI20" s="15"/>
      <c r="BJ20" s="13"/>
      <c r="BK20" s="13"/>
      <c r="BL20" s="13"/>
      <c r="BM20" s="13"/>
      <c r="BN20" s="13"/>
      <c r="BO20" s="14"/>
      <c r="BP20" s="15"/>
      <c r="BQ20" s="13"/>
      <c r="BR20" s="13"/>
      <c r="BS20" s="13"/>
      <c r="BT20" s="13"/>
      <c r="BU20" s="13"/>
      <c r="BV20" s="14"/>
      <c r="BW20" s="15"/>
      <c r="BX20" s="13"/>
      <c r="BY20" s="13"/>
      <c r="BZ20" s="13"/>
      <c r="CA20" s="13"/>
      <c r="CB20" s="13"/>
      <c r="CC20" s="14"/>
      <c r="CD20" s="15"/>
      <c r="CE20" s="13"/>
      <c r="CF20" s="13"/>
      <c r="CG20" s="13"/>
      <c r="CH20" s="13"/>
      <c r="CI20" s="13"/>
      <c r="CJ20" s="14"/>
      <c r="CK20" s="15"/>
      <c r="CL20" s="13"/>
      <c r="CM20" s="13"/>
      <c r="CN20" s="13"/>
      <c r="CO20" s="13"/>
      <c r="CP20" s="13"/>
      <c r="CQ20" s="14"/>
      <c r="CR20" s="15"/>
      <c r="CS20" s="13"/>
      <c r="CT20" s="13"/>
      <c r="CU20" s="13"/>
      <c r="CV20" s="13"/>
      <c r="CW20" s="13"/>
      <c r="CX20" s="14"/>
      <c r="CY20" s="13"/>
      <c r="CZ20" s="13"/>
      <c r="DA20" s="14"/>
      <c r="DB20" s="15"/>
      <c r="DC20" s="13"/>
      <c r="DD20" s="13"/>
      <c r="DE20" s="13"/>
      <c r="DF20" s="13"/>
      <c r="DG20" s="13"/>
      <c r="DH20" s="14"/>
      <c r="DI20" s="15"/>
      <c r="DJ20" s="13"/>
      <c r="DK20" s="13"/>
      <c r="DL20" s="15"/>
      <c r="DM20" s="13"/>
      <c r="DN20" s="13"/>
      <c r="DO20" s="13"/>
      <c r="DP20" s="13"/>
      <c r="DQ20" s="13"/>
      <c r="DR20" s="14"/>
      <c r="DS20" s="15"/>
      <c r="DT20" s="13"/>
      <c r="DU20" s="13"/>
      <c r="DV20" s="13"/>
      <c r="DW20" s="13"/>
      <c r="DX20" s="13"/>
      <c r="DY20" s="14"/>
      <c r="DZ20" s="15"/>
      <c r="EA20" s="13"/>
      <c r="EB20" s="13"/>
      <c r="EC20" s="25"/>
      <c r="ED20" s="13"/>
      <c r="EE20" s="13"/>
      <c r="EF20" s="14"/>
      <c r="EG20" s="15"/>
      <c r="EH20" s="13"/>
      <c r="EI20" s="13"/>
      <c r="EJ20" s="13"/>
      <c r="EK20" s="13"/>
      <c r="EL20" s="13"/>
      <c r="EM20" s="14"/>
      <c r="EN20" s="15"/>
      <c r="EO20" s="13"/>
      <c r="EP20" s="13"/>
      <c r="EQ20" s="13"/>
      <c r="ER20" s="13"/>
      <c r="ES20" s="13"/>
      <c r="ET20" s="23"/>
      <c r="EU20" s="23"/>
      <c r="EV20" s="14"/>
      <c r="EW20" s="15"/>
      <c r="EX20" s="23"/>
      <c r="EY20" s="23"/>
      <c r="EZ20" s="23"/>
      <c r="FA20" s="23"/>
      <c r="FB20" s="23"/>
      <c r="FC20" s="24"/>
      <c r="FD20" s="22"/>
      <c r="FE20" s="23"/>
      <c r="FF20" s="23"/>
      <c r="FG20" s="23"/>
      <c r="FH20" s="23"/>
      <c r="FI20" s="23"/>
      <c r="FJ20" s="24"/>
      <c r="FK20" s="22"/>
      <c r="FL20" s="23"/>
      <c r="FM20" s="23"/>
      <c r="FN20" s="23"/>
      <c r="FO20" s="23"/>
      <c r="FP20" s="23"/>
      <c r="FQ20" s="24"/>
      <c r="FR20" s="22"/>
      <c r="FS20" s="23"/>
      <c r="FT20" s="23"/>
      <c r="FU20" s="23"/>
      <c r="FV20" s="23"/>
      <c r="FW20" s="23"/>
      <c r="FX20" s="24"/>
      <c r="FY20" s="22"/>
      <c r="FZ20" s="23"/>
      <c r="GA20" s="23"/>
      <c r="GB20" s="23"/>
      <c r="GC20" s="23"/>
      <c r="GD20" s="23"/>
      <c r="GE20" s="24"/>
      <c r="GF20" s="22"/>
      <c r="GG20" s="23"/>
      <c r="GH20" s="23"/>
    </row>
    <row r="21" spans="1:190" ht="17.25" customHeight="1">
      <c r="A21" s="404"/>
      <c r="B21" s="101" t="s">
        <v>113</v>
      </c>
      <c r="C21" s="101" t="s">
        <v>116</v>
      </c>
      <c r="D21" s="101" t="s">
        <v>115</v>
      </c>
      <c r="E21" s="337"/>
      <c r="F21" s="408"/>
      <c r="G21" s="353"/>
      <c r="H21" s="50" t="s">
        <v>157</v>
      </c>
      <c r="I21" s="46">
        <v>40457</v>
      </c>
      <c r="J21" s="47" t="s">
        <v>118</v>
      </c>
      <c r="K21" s="69"/>
      <c r="L21" s="47">
        <v>40427</v>
      </c>
      <c r="M21" s="47">
        <v>40428</v>
      </c>
      <c r="N21" s="46">
        <v>40422</v>
      </c>
      <c r="O21" s="47"/>
      <c r="P21" s="46"/>
      <c r="Q21" s="46">
        <v>40428</v>
      </c>
      <c r="R21" s="46">
        <v>40429</v>
      </c>
      <c r="S21" s="105">
        <v>40429</v>
      </c>
      <c r="T21" s="106">
        <v>40435</v>
      </c>
      <c r="U21" s="13"/>
      <c r="V21" s="13"/>
      <c r="W21" s="13"/>
      <c r="X21" s="13"/>
      <c r="Y21" s="14"/>
      <c r="Z21" s="15"/>
      <c r="AA21" s="13"/>
      <c r="AB21" s="13"/>
      <c r="AC21" s="13"/>
      <c r="AD21" s="13"/>
      <c r="AE21" s="13"/>
      <c r="AF21" s="14"/>
      <c r="AG21" s="15"/>
      <c r="AH21" s="13"/>
      <c r="AI21" s="13"/>
      <c r="AJ21" s="13"/>
      <c r="AK21" s="13"/>
      <c r="AL21" s="13"/>
      <c r="AM21" s="14"/>
      <c r="AN21" s="15"/>
      <c r="AO21" s="13"/>
      <c r="AP21" s="15"/>
      <c r="AQ21" s="13"/>
      <c r="AR21" s="13"/>
      <c r="AS21" s="13"/>
      <c r="AT21" s="14"/>
      <c r="AU21" s="15"/>
      <c r="AV21" s="13"/>
      <c r="AW21" s="13"/>
      <c r="AX21" s="13"/>
      <c r="AY21" s="13"/>
      <c r="AZ21" s="13"/>
      <c r="BA21" s="14"/>
      <c r="BB21" s="15"/>
      <c r="BC21" s="13"/>
      <c r="BD21" s="13"/>
      <c r="BE21" s="13"/>
      <c r="BF21" s="13"/>
      <c r="BG21" s="13"/>
      <c r="BH21" s="14"/>
      <c r="BI21" s="15"/>
      <c r="BJ21" s="13"/>
      <c r="BK21" s="13"/>
      <c r="BL21" s="13"/>
      <c r="BM21" s="13"/>
      <c r="BN21" s="13"/>
      <c r="BO21" s="14"/>
      <c r="BP21" s="15"/>
      <c r="BQ21" s="13"/>
      <c r="BR21" s="13"/>
      <c r="BS21" s="13"/>
      <c r="BT21" s="13"/>
      <c r="BU21" s="13"/>
      <c r="BV21" s="14"/>
      <c r="BW21" s="15"/>
      <c r="BX21" s="13"/>
      <c r="BY21" s="13"/>
      <c r="BZ21" s="13"/>
      <c r="CA21" s="13"/>
      <c r="CB21" s="13"/>
      <c r="CC21" s="14"/>
      <c r="CD21" s="15"/>
      <c r="CE21" s="13"/>
      <c r="CF21" s="13"/>
      <c r="CG21" s="13"/>
      <c r="CH21" s="13"/>
      <c r="CI21" s="13"/>
      <c r="CJ21" s="14"/>
      <c r="CK21" s="15"/>
      <c r="CL21" s="13"/>
      <c r="CM21" s="13"/>
      <c r="CN21" s="13"/>
      <c r="CO21" s="13"/>
      <c r="CP21" s="13"/>
      <c r="CQ21" s="14"/>
      <c r="CR21" s="15"/>
      <c r="CS21" s="13"/>
      <c r="CT21" s="13"/>
      <c r="CU21" s="13"/>
      <c r="CV21" s="13"/>
      <c r="CW21" s="13"/>
      <c r="CX21" s="14"/>
      <c r="CY21" s="13"/>
      <c r="CZ21" s="13"/>
      <c r="DA21" s="14"/>
      <c r="DB21" s="15"/>
      <c r="DC21" s="13"/>
      <c r="DD21" s="13"/>
      <c r="DE21" s="13"/>
      <c r="DF21" s="13"/>
      <c r="DG21" s="13"/>
      <c r="DH21" s="14"/>
      <c r="DI21" s="15"/>
      <c r="DJ21" s="13"/>
      <c r="DK21" s="13"/>
      <c r="DL21" s="15"/>
      <c r="DM21" s="13"/>
      <c r="DN21" s="13"/>
      <c r="DO21" s="13"/>
      <c r="DP21" s="13"/>
      <c r="DQ21" s="13"/>
      <c r="DR21" s="14"/>
      <c r="DS21" s="15"/>
      <c r="DT21" s="13"/>
      <c r="DU21" s="13"/>
      <c r="DV21" s="13"/>
      <c r="DW21" s="13"/>
      <c r="DX21" s="13"/>
      <c r="DY21" s="14"/>
      <c r="DZ21" s="15"/>
      <c r="EA21" s="13"/>
      <c r="EB21" s="13"/>
      <c r="EC21" s="25"/>
      <c r="ED21" s="13"/>
      <c r="EE21" s="13"/>
      <c r="EF21" s="14"/>
      <c r="EG21" s="15"/>
      <c r="EH21" s="13"/>
      <c r="EI21" s="13"/>
      <c r="EJ21" s="13"/>
      <c r="EK21" s="13"/>
      <c r="EL21" s="13"/>
      <c r="EM21" s="14"/>
      <c r="EN21" s="15"/>
      <c r="EO21" s="13"/>
      <c r="EP21" s="13"/>
      <c r="EQ21" s="13"/>
      <c r="ER21" s="13"/>
      <c r="ES21" s="13"/>
      <c r="ET21" s="23"/>
      <c r="EU21" s="23"/>
      <c r="EV21" s="14"/>
      <c r="EW21" s="15"/>
      <c r="EX21" s="23"/>
      <c r="EY21" s="23"/>
      <c r="EZ21" s="23"/>
      <c r="FA21" s="23"/>
      <c r="FB21" s="23"/>
      <c r="FC21" s="24"/>
      <c r="FD21" s="22"/>
      <c r="FE21" s="23"/>
      <c r="FF21" s="23"/>
      <c r="FG21" s="23"/>
      <c r="FH21" s="23"/>
      <c r="FI21" s="23"/>
      <c r="FJ21" s="24"/>
      <c r="FK21" s="22"/>
      <c r="FL21" s="23"/>
      <c r="FM21" s="23"/>
      <c r="FN21" s="23"/>
      <c r="FO21" s="23"/>
      <c r="FP21" s="23"/>
      <c r="FQ21" s="24"/>
      <c r="FR21" s="22"/>
      <c r="FS21" s="23"/>
      <c r="FT21" s="23"/>
      <c r="FU21" s="23"/>
      <c r="FV21" s="23"/>
      <c r="FW21" s="23"/>
      <c r="FX21" s="24"/>
      <c r="FY21" s="22"/>
      <c r="FZ21" s="23"/>
      <c r="GA21" s="23"/>
      <c r="GB21" s="23"/>
      <c r="GC21" s="23"/>
      <c r="GD21" s="23"/>
      <c r="GE21" s="24"/>
      <c r="GF21" s="22"/>
      <c r="GG21" s="23"/>
      <c r="GH21" s="23"/>
    </row>
    <row r="22" spans="1:190" ht="17.25" customHeight="1">
      <c r="A22" s="332" t="s">
        <v>215</v>
      </c>
      <c r="B22" s="101" t="s">
        <v>128</v>
      </c>
      <c r="C22" s="101" t="s">
        <v>129</v>
      </c>
      <c r="D22" s="101" t="s">
        <v>130</v>
      </c>
      <c r="E22" s="336" t="s">
        <v>132</v>
      </c>
      <c r="F22" s="407">
        <v>330</v>
      </c>
      <c r="G22" s="352" t="s">
        <v>139</v>
      </c>
      <c r="H22" s="70" t="s">
        <v>17</v>
      </c>
      <c r="I22" s="46">
        <v>40505</v>
      </c>
      <c r="J22" s="47">
        <v>40434</v>
      </c>
      <c r="K22" s="51"/>
      <c r="L22" s="49" t="s">
        <v>3</v>
      </c>
      <c r="M22" s="49" t="s">
        <v>3</v>
      </c>
      <c r="N22" s="49" t="s">
        <v>8</v>
      </c>
      <c r="O22" s="49" t="s">
        <v>8</v>
      </c>
      <c r="P22" s="49" t="s">
        <v>8</v>
      </c>
      <c r="Q22" s="46">
        <v>40431</v>
      </c>
      <c r="R22" s="46">
        <v>40434</v>
      </c>
      <c r="S22" s="105">
        <v>40430</v>
      </c>
      <c r="T22" s="106">
        <v>40435</v>
      </c>
      <c r="U22" s="13"/>
      <c r="V22" s="13"/>
      <c r="W22" s="13"/>
      <c r="X22" s="13"/>
      <c r="Y22" s="14"/>
      <c r="Z22" s="15"/>
      <c r="AA22" s="13"/>
      <c r="AB22" s="13"/>
      <c r="AC22" s="13"/>
      <c r="AD22" s="13"/>
      <c r="AE22" s="13"/>
      <c r="AF22" s="14"/>
      <c r="AG22" s="15"/>
      <c r="AH22" s="13"/>
      <c r="AI22" s="13"/>
      <c r="AJ22" s="13"/>
      <c r="AK22" s="13"/>
      <c r="AL22" s="13"/>
      <c r="AM22" s="14"/>
      <c r="AN22" s="15"/>
      <c r="AO22" s="13"/>
      <c r="AP22" s="15"/>
      <c r="AQ22" s="13"/>
      <c r="AR22" s="13"/>
      <c r="AS22" s="13"/>
      <c r="AT22" s="14"/>
      <c r="AU22" s="15"/>
      <c r="AV22" s="13"/>
      <c r="AW22" s="13"/>
      <c r="AX22" s="13"/>
      <c r="AY22" s="13"/>
      <c r="AZ22" s="13"/>
      <c r="BA22" s="14"/>
      <c r="BB22" s="15"/>
      <c r="BC22" s="13"/>
      <c r="BD22" s="13"/>
      <c r="BE22" s="13"/>
      <c r="BF22" s="13"/>
      <c r="BG22" s="13"/>
      <c r="BH22" s="14"/>
      <c r="BI22" s="15"/>
      <c r="BJ22" s="13"/>
      <c r="BK22" s="13"/>
      <c r="BL22" s="13"/>
      <c r="BM22" s="13"/>
      <c r="BN22" s="13"/>
      <c r="BO22" s="14"/>
      <c r="BP22" s="15"/>
      <c r="BQ22" s="13"/>
      <c r="BR22" s="13"/>
      <c r="BS22" s="13"/>
      <c r="BT22" s="13"/>
      <c r="BU22" s="13"/>
      <c r="BV22" s="14"/>
      <c r="BW22" s="15"/>
      <c r="BX22" s="13"/>
      <c r="BY22" s="13"/>
      <c r="BZ22" s="13"/>
      <c r="CA22" s="13"/>
      <c r="CB22" s="13"/>
      <c r="CC22" s="14"/>
      <c r="CD22" s="15"/>
      <c r="CE22" s="13"/>
      <c r="CF22" s="13"/>
      <c r="CG22" s="13"/>
      <c r="CH22" s="13"/>
      <c r="CI22" s="13"/>
      <c r="CJ22" s="14"/>
      <c r="CK22" s="15"/>
      <c r="CL22" s="13"/>
      <c r="CM22" s="13"/>
      <c r="CN22" s="13"/>
      <c r="CO22" s="13"/>
      <c r="CP22" s="13"/>
      <c r="CQ22" s="14"/>
      <c r="CR22" s="15"/>
      <c r="CS22" s="13"/>
      <c r="CT22" s="13"/>
      <c r="CU22" s="13"/>
      <c r="CV22" s="13"/>
      <c r="CW22" s="13"/>
      <c r="CX22" s="14"/>
      <c r="CY22" s="13"/>
      <c r="CZ22" s="13"/>
      <c r="DA22" s="14"/>
      <c r="DB22" s="15"/>
      <c r="DC22" s="13"/>
      <c r="DD22" s="13"/>
      <c r="DE22" s="13"/>
      <c r="DF22" s="13"/>
      <c r="DG22" s="13"/>
      <c r="DH22" s="14"/>
      <c r="DI22" s="15"/>
      <c r="DJ22" s="13"/>
      <c r="DK22" s="13"/>
      <c r="DL22" s="15"/>
      <c r="DM22" s="13"/>
      <c r="DN22" s="13"/>
      <c r="DO22" s="13"/>
      <c r="DP22" s="13"/>
      <c r="DQ22" s="13"/>
      <c r="DR22" s="34"/>
      <c r="DS22" s="35"/>
      <c r="DT22" s="23"/>
      <c r="DU22" s="23"/>
      <c r="DV22" s="23"/>
      <c r="DW22" s="23"/>
      <c r="DX22" s="23"/>
      <c r="DY22" s="34"/>
      <c r="DZ22" s="35"/>
      <c r="EA22" s="23"/>
      <c r="EB22" s="23"/>
      <c r="EC22" s="23"/>
      <c r="ED22" s="23"/>
      <c r="EE22" s="23"/>
      <c r="EF22" s="34"/>
      <c r="EG22" s="35"/>
      <c r="EH22" s="23"/>
      <c r="EI22" s="23"/>
      <c r="EJ22" s="23"/>
      <c r="EK22" s="23"/>
      <c r="EL22" s="23"/>
      <c r="EM22" s="34"/>
      <c r="EN22" s="35"/>
      <c r="EO22" s="23"/>
      <c r="EP22" s="23"/>
      <c r="EQ22" s="23"/>
      <c r="ER22" s="23"/>
      <c r="ES22" s="23"/>
      <c r="ET22" s="23"/>
      <c r="EU22" s="23"/>
      <c r="EV22" s="14"/>
      <c r="EW22" s="15"/>
      <c r="EX22" s="23"/>
      <c r="EY22" s="23"/>
      <c r="EZ22" s="23"/>
      <c r="FA22" s="23"/>
      <c r="FB22" s="23"/>
      <c r="FC22" s="24"/>
      <c r="FD22" s="22"/>
      <c r="FE22" s="23"/>
      <c r="FF22" s="23"/>
      <c r="FG22" s="23"/>
      <c r="FH22" s="23"/>
      <c r="FI22" s="23"/>
      <c r="FJ22" s="24"/>
      <c r="FK22" s="22"/>
      <c r="FL22" s="23"/>
      <c r="FM22" s="23"/>
      <c r="FN22" s="23"/>
      <c r="FO22" s="23"/>
      <c r="FP22" s="23"/>
      <c r="FQ22" s="24"/>
      <c r="FR22" s="22"/>
      <c r="FS22" s="23"/>
      <c r="FT22" s="23"/>
      <c r="FU22" s="23"/>
      <c r="FV22" s="23"/>
      <c r="FW22" s="23"/>
      <c r="FX22" s="24"/>
      <c r="FY22" s="22"/>
      <c r="FZ22" s="23"/>
      <c r="GA22" s="23"/>
      <c r="GB22" s="23"/>
      <c r="GC22" s="23"/>
      <c r="GD22" s="23"/>
      <c r="GE22" s="24"/>
      <c r="GF22" s="22"/>
      <c r="GG22" s="23"/>
      <c r="GH22" s="23"/>
    </row>
    <row r="23" spans="1:190" ht="17.25" customHeight="1">
      <c r="A23" s="332"/>
      <c r="B23" s="101" t="s">
        <v>128</v>
      </c>
      <c r="C23" s="101" t="s">
        <v>129</v>
      </c>
      <c r="D23" s="101" t="s">
        <v>131</v>
      </c>
      <c r="E23" s="337"/>
      <c r="F23" s="408"/>
      <c r="G23" s="353"/>
      <c r="H23" s="50" t="s">
        <v>160</v>
      </c>
      <c r="I23" s="46">
        <v>40455</v>
      </c>
      <c r="J23" s="68" t="s">
        <v>140</v>
      </c>
      <c r="K23" s="51"/>
      <c r="L23" s="47">
        <v>40430</v>
      </c>
      <c r="M23" s="47">
        <v>40429</v>
      </c>
      <c r="N23" s="47">
        <v>40430</v>
      </c>
      <c r="O23" s="47"/>
      <c r="P23" s="47"/>
      <c r="Q23" s="46">
        <v>40432</v>
      </c>
      <c r="R23" s="46">
        <v>40435</v>
      </c>
      <c r="S23" s="105">
        <v>40430</v>
      </c>
      <c r="T23" s="106">
        <v>40435</v>
      </c>
      <c r="U23" s="13"/>
      <c r="V23" s="13"/>
      <c r="W23" s="13"/>
      <c r="X23" s="13"/>
      <c r="Y23" s="14"/>
      <c r="Z23" s="15"/>
      <c r="AA23" s="13"/>
      <c r="AB23" s="13"/>
      <c r="AC23" s="13"/>
      <c r="AD23" s="13"/>
      <c r="AE23" s="13"/>
      <c r="AF23" s="14"/>
      <c r="AG23" s="15"/>
      <c r="AH23" s="13"/>
      <c r="AI23" s="13"/>
      <c r="AJ23" s="13"/>
      <c r="AK23" s="13"/>
      <c r="AL23" s="13"/>
      <c r="AM23" s="14"/>
      <c r="AN23" s="15"/>
      <c r="AO23" s="13"/>
      <c r="AP23" s="15"/>
      <c r="AQ23" s="13"/>
      <c r="AR23" s="13"/>
      <c r="AS23" s="13"/>
      <c r="AT23" s="14"/>
      <c r="AU23" s="15"/>
      <c r="AV23" s="13"/>
      <c r="AW23" s="13"/>
      <c r="AX23" s="13"/>
      <c r="AY23" s="13"/>
      <c r="AZ23" s="13"/>
      <c r="BA23" s="14"/>
      <c r="BB23" s="15"/>
      <c r="BC23" s="13"/>
      <c r="BD23" s="13"/>
      <c r="BE23" s="13"/>
      <c r="BF23" s="13"/>
      <c r="BG23" s="13"/>
      <c r="BH23" s="14"/>
      <c r="BI23" s="15"/>
      <c r="BJ23" s="13"/>
      <c r="BK23" s="13"/>
      <c r="BL23" s="13"/>
      <c r="BM23" s="13"/>
      <c r="BN23" s="13"/>
      <c r="BO23" s="14"/>
      <c r="BP23" s="15"/>
      <c r="BQ23" s="13"/>
      <c r="BR23" s="13"/>
      <c r="BS23" s="13"/>
      <c r="BT23" s="13"/>
      <c r="BU23" s="13"/>
      <c r="BV23" s="14"/>
      <c r="BW23" s="15"/>
      <c r="BX23" s="13"/>
      <c r="BY23" s="13"/>
      <c r="BZ23" s="13"/>
      <c r="CA23" s="13"/>
      <c r="CB23" s="13"/>
      <c r="CC23" s="14"/>
      <c r="CD23" s="15"/>
      <c r="CE23" s="13"/>
      <c r="CF23" s="13"/>
      <c r="CG23" s="13"/>
      <c r="CH23" s="13"/>
      <c r="CI23" s="13"/>
      <c r="CJ23" s="14"/>
      <c r="CK23" s="15"/>
      <c r="CL23" s="13"/>
      <c r="CM23" s="13"/>
      <c r="CN23" s="13"/>
      <c r="CO23" s="13"/>
      <c r="CP23" s="13"/>
      <c r="CQ23" s="14"/>
      <c r="CR23" s="15"/>
      <c r="CS23" s="13"/>
      <c r="CT23" s="13"/>
      <c r="CU23" s="13"/>
      <c r="CV23" s="13"/>
      <c r="CW23" s="13"/>
      <c r="CX23" s="14"/>
      <c r="CY23" s="13"/>
      <c r="CZ23" s="13"/>
      <c r="DA23" s="14"/>
      <c r="DB23" s="15"/>
      <c r="DC23" s="13"/>
      <c r="DD23" s="13"/>
      <c r="DE23" s="13"/>
      <c r="DF23" s="13"/>
      <c r="DG23" s="13"/>
      <c r="DH23" s="14"/>
      <c r="DI23" s="15"/>
      <c r="DJ23" s="13"/>
      <c r="DK23" s="13"/>
      <c r="DL23" s="15"/>
      <c r="DM23" s="13"/>
      <c r="DN23" s="13"/>
      <c r="DO23" s="13"/>
      <c r="DP23" s="13"/>
      <c r="DQ23" s="13"/>
      <c r="DR23" s="34"/>
      <c r="DS23" s="35"/>
      <c r="DT23" s="23"/>
      <c r="DU23" s="23"/>
      <c r="DV23" s="23"/>
      <c r="DW23" s="23"/>
      <c r="DX23" s="23"/>
      <c r="DY23" s="34"/>
      <c r="DZ23" s="35"/>
      <c r="EA23" s="23"/>
      <c r="EB23" s="23"/>
      <c r="EC23" s="23"/>
      <c r="ED23" s="23"/>
      <c r="EE23" s="23"/>
      <c r="EF23" s="34"/>
      <c r="EG23" s="35"/>
      <c r="EH23" s="23"/>
      <c r="EI23" s="23"/>
      <c r="EJ23" s="23"/>
      <c r="EK23" s="23"/>
      <c r="EL23" s="23"/>
      <c r="EM23" s="34"/>
      <c r="EN23" s="35"/>
      <c r="EO23" s="23"/>
      <c r="EP23" s="23"/>
      <c r="EQ23" s="23"/>
      <c r="ER23" s="23"/>
      <c r="ES23" s="23"/>
      <c r="ET23" s="23"/>
      <c r="EU23" s="23"/>
      <c r="EV23" s="14"/>
      <c r="EW23" s="15"/>
      <c r="EX23" s="23"/>
      <c r="EY23" s="23"/>
      <c r="EZ23" s="23"/>
      <c r="FA23" s="23"/>
      <c r="FB23" s="23"/>
      <c r="FC23" s="24"/>
      <c r="FD23" s="22"/>
      <c r="FE23" s="23"/>
      <c r="FF23" s="23"/>
      <c r="FG23" s="23"/>
      <c r="FH23" s="23"/>
      <c r="FI23" s="23"/>
      <c r="FJ23" s="24"/>
      <c r="FK23" s="22"/>
      <c r="FL23" s="23"/>
      <c r="FM23" s="23"/>
      <c r="FN23" s="23"/>
      <c r="FO23" s="23"/>
      <c r="FP23" s="23"/>
      <c r="FQ23" s="24"/>
      <c r="FR23" s="22"/>
      <c r="FS23" s="23"/>
      <c r="FT23" s="23"/>
      <c r="FU23" s="23"/>
      <c r="FV23" s="23"/>
      <c r="FW23" s="23"/>
      <c r="FX23" s="24"/>
      <c r="FY23" s="22"/>
      <c r="FZ23" s="23"/>
      <c r="GA23" s="23"/>
      <c r="GB23" s="23"/>
      <c r="GC23" s="23"/>
      <c r="GD23" s="23"/>
      <c r="GE23" s="24"/>
      <c r="GF23" s="22"/>
      <c r="GG23" s="23"/>
      <c r="GH23" s="23"/>
    </row>
    <row r="24" spans="1:190" ht="17.25" customHeight="1">
      <c r="A24" s="332" t="s">
        <v>216</v>
      </c>
      <c r="B24" s="101" t="s">
        <v>119</v>
      </c>
      <c r="C24" s="101" t="s">
        <v>111</v>
      </c>
      <c r="D24" s="101" t="s">
        <v>120</v>
      </c>
      <c r="E24" s="336" t="s">
        <v>33</v>
      </c>
      <c r="F24" s="407">
        <v>34</v>
      </c>
      <c r="G24" s="352" t="s">
        <v>122</v>
      </c>
      <c r="H24" s="70" t="s">
        <v>17</v>
      </c>
      <c r="I24" s="46">
        <v>40472</v>
      </c>
      <c r="J24" s="47">
        <v>40429</v>
      </c>
      <c r="K24" s="69"/>
      <c r="L24" s="49" t="s">
        <v>3</v>
      </c>
      <c r="M24" s="49" t="s">
        <v>3</v>
      </c>
      <c r="N24" s="49" t="s">
        <v>3</v>
      </c>
      <c r="O24" s="49" t="s">
        <v>8</v>
      </c>
      <c r="P24" s="49" t="s">
        <v>8</v>
      </c>
      <c r="Q24" s="46">
        <v>40428</v>
      </c>
      <c r="R24" s="46">
        <v>40429</v>
      </c>
      <c r="S24" s="105">
        <v>40429</v>
      </c>
      <c r="T24" s="106">
        <v>40436</v>
      </c>
      <c r="U24" s="5"/>
      <c r="V24" s="5"/>
      <c r="W24" s="5"/>
      <c r="X24" s="5"/>
      <c r="Y24" s="6"/>
      <c r="Z24" s="7"/>
      <c r="AA24" s="5"/>
      <c r="AB24" s="5"/>
      <c r="AC24" s="5"/>
      <c r="AD24" s="5"/>
      <c r="AE24" s="5"/>
      <c r="AF24" s="6"/>
      <c r="AG24" s="7"/>
      <c r="AH24" s="5"/>
      <c r="AI24" s="5"/>
      <c r="AJ24" s="5"/>
      <c r="AK24" s="5"/>
      <c r="AL24" s="5"/>
      <c r="AM24" s="6"/>
      <c r="AN24" s="7"/>
      <c r="AO24" s="5"/>
      <c r="AP24" s="7"/>
      <c r="AQ24" s="5"/>
      <c r="AR24" s="5"/>
      <c r="AS24" s="5"/>
      <c r="AT24" s="6"/>
      <c r="AU24" s="7"/>
      <c r="AV24" s="5"/>
      <c r="AW24" s="5"/>
      <c r="AX24" s="5"/>
      <c r="AY24" s="5"/>
      <c r="AZ24" s="5"/>
      <c r="BA24" s="6"/>
      <c r="BB24" s="7"/>
      <c r="BC24" s="5"/>
      <c r="BD24" s="5"/>
      <c r="BE24" s="5"/>
      <c r="BF24" s="5"/>
      <c r="BG24" s="5"/>
      <c r="BH24" s="6"/>
      <c r="BI24" s="7"/>
      <c r="BJ24" s="5"/>
      <c r="BK24" s="5"/>
      <c r="BL24" s="5"/>
      <c r="BM24" s="5"/>
      <c r="BN24" s="5"/>
      <c r="BO24" s="6"/>
      <c r="BP24" s="7"/>
      <c r="BQ24" s="5"/>
      <c r="BR24" s="5"/>
      <c r="BS24" s="5"/>
      <c r="BT24" s="5"/>
      <c r="BU24" s="5"/>
      <c r="BV24" s="6"/>
      <c r="BW24" s="7"/>
      <c r="BX24" s="5"/>
      <c r="BY24" s="5"/>
      <c r="BZ24" s="5"/>
      <c r="CA24" s="5"/>
      <c r="CB24" s="5"/>
      <c r="CC24" s="6"/>
      <c r="CD24" s="7"/>
      <c r="CE24" s="5"/>
      <c r="CF24" s="5"/>
      <c r="CG24" s="5"/>
      <c r="CH24" s="5"/>
      <c r="CI24" s="5"/>
      <c r="CJ24" s="6"/>
      <c r="CK24" s="7"/>
      <c r="CL24" s="5"/>
      <c r="CM24" s="5"/>
      <c r="CN24" s="5"/>
      <c r="CO24" s="5"/>
      <c r="CP24" s="5"/>
      <c r="CQ24" s="6"/>
      <c r="CR24" s="7"/>
      <c r="CS24" s="5"/>
      <c r="CT24" s="5"/>
      <c r="CU24" s="5"/>
      <c r="CV24" s="5"/>
      <c r="CW24" s="13"/>
      <c r="CX24" s="14"/>
      <c r="CY24" s="13"/>
      <c r="CZ24" s="13"/>
      <c r="DA24" s="14"/>
      <c r="DB24" s="15"/>
      <c r="DC24" s="13"/>
      <c r="DD24" s="13"/>
      <c r="DE24" s="13"/>
      <c r="DF24" s="13"/>
      <c r="DG24" s="13"/>
      <c r="DH24" s="14"/>
      <c r="DI24" s="15"/>
      <c r="DJ24" s="13"/>
      <c r="DK24" s="13"/>
      <c r="DL24" s="15"/>
      <c r="DM24" s="13"/>
      <c r="DN24" s="13"/>
      <c r="DO24" s="13"/>
      <c r="DP24" s="13"/>
      <c r="DQ24" s="13"/>
      <c r="DR24" s="34"/>
      <c r="DS24" s="35"/>
      <c r="DT24" s="23"/>
      <c r="DU24" s="23"/>
      <c r="DV24" s="23"/>
      <c r="DW24" s="23"/>
      <c r="DX24" s="23"/>
      <c r="DY24" s="34"/>
      <c r="DZ24" s="35"/>
      <c r="EA24" s="23"/>
      <c r="EB24" s="23"/>
      <c r="EC24" s="23"/>
      <c r="ED24" s="23"/>
      <c r="EE24" s="23"/>
      <c r="EF24" s="34"/>
      <c r="EG24" s="35"/>
      <c r="EH24" s="23"/>
      <c r="EI24" s="23"/>
      <c r="EJ24" s="23"/>
      <c r="EK24" s="23"/>
      <c r="EL24" s="23"/>
      <c r="EM24" s="34"/>
      <c r="EN24" s="35"/>
      <c r="EO24" s="23"/>
      <c r="EP24" s="23"/>
      <c r="EQ24" s="23"/>
      <c r="ER24" s="23"/>
      <c r="ES24" s="23"/>
      <c r="ET24" s="23"/>
      <c r="EU24" s="23"/>
      <c r="EV24" s="14"/>
      <c r="EW24" s="15"/>
      <c r="EX24" s="23"/>
      <c r="EY24" s="23"/>
      <c r="EZ24" s="23"/>
      <c r="FA24" s="23"/>
      <c r="FB24" s="23"/>
      <c r="FC24" s="24"/>
      <c r="FD24" s="22"/>
      <c r="FE24" s="23"/>
      <c r="FF24" s="23"/>
      <c r="FG24" s="23"/>
      <c r="FH24" s="23"/>
      <c r="FI24" s="23"/>
      <c r="FJ24" s="24"/>
      <c r="FK24" s="22"/>
      <c r="FL24" s="23"/>
      <c r="FM24" s="23"/>
      <c r="FN24" s="23"/>
      <c r="FO24" s="23"/>
      <c r="FP24" s="23"/>
      <c r="FQ24" s="24"/>
      <c r="FR24" s="22"/>
      <c r="FS24" s="23"/>
      <c r="FT24" s="23"/>
      <c r="FU24" s="23"/>
      <c r="FV24" s="23"/>
      <c r="FW24" s="23"/>
      <c r="FX24" s="24"/>
      <c r="FY24" s="22"/>
      <c r="FZ24" s="23"/>
      <c r="GA24" s="23"/>
      <c r="GB24" s="23"/>
      <c r="GC24" s="23"/>
      <c r="GD24" s="23"/>
      <c r="GE24" s="24"/>
      <c r="GF24" s="22"/>
      <c r="GG24" s="23"/>
      <c r="GH24" s="23"/>
    </row>
    <row r="25" spans="1:190" ht="17.25" customHeight="1">
      <c r="A25" s="332"/>
      <c r="B25" s="101" t="s">
        <v>119</v>
      </c>
      <c r="C25" s="101" t="s">
        <v>111</v>
      </c>
      <c r="D25" s="101" t="s">
        <v>121</v>
      </c>
      <c r="E25" s="337"/>
      <c r="F25" s="408"/>
      <c r="G25" s="353"/>
      <c r="H25" s="50" t="s">
        <v>117</v>
      </c>
      <c r="I25" s="46">
        <v>40451</v>
      </c>
      <c r="J25" s="47" t="s">
        <v>51</v>
      </c>
      <c r="K25" s="69"/>
      <c r="L25" s="47">
        <v>40431</v>
      </c>
      <c r="M25" s="47">
        <v>40428</v>
      </c>
      <c r="N25" s="47">
        <v>40422</v>
      </c>
      <c r="O25" s="47"/>
      <c r="P25" s="47"/>
      <c r="Q25" s="46">
        <v>40428</v>
      </c>
      <c r="R25" s="46">
        <v>40430</v>
      </c>
      <c r="S25" s="105">
        <v>40429</v>
      </c>
      <c r="T25" s="106">
        <v>40436</v>
      </c>
      <c r="U25" s="5"/>
      <c r="V25" s="5"/>
      <c r="W25" s="5"/>
      <c r="X25" s="5"/>
      <c r="Y25" s="6"/>
      <c r="Z25" s="7"/>
      <c r="AA25" s="5"/>
      <c r="AB25" s="5"/>
      <c r="AC25" s="5"/>
      <c r="AD25" s="5"/>
      <c r="AE25" s="5"/>
      <c r="AF25" s="6"/>
      <c r="AG25" s="7"/>
      <c r="AH25" s="5"/>
      <c r="AI25" s="5"/>
      <c r="AJ25" s="5"/>
      <c r="AK25" s="5"/>
      <c r="AL25" s="5"/>
      <c r="AM25" s="6"/>
      <c r="AN25" s="7"/>
      <c r="AO25" s="5"/>
      <c r="AP25" s="7"/>
      <c r="AQ25" s="5"/>
      <c r="AR25" s="5"/>
      <c r="AS25" s="5"/>
      <c r="AT25" s="6"/>
      <c r="AU25" s="7"/>
      <c r="AV25" s="5"/>
      <c r="AW25" s="5"/>
      <c r="AX25" s="5"/>
      <c r="AY25" s="5"/>
      <c r="AZ25" s="5"/>
      <c r="BA25" s="6"/>
      <c r="BB25" s="7"/>
      <c r="BC25" s="5"/>
      <c r="BD25" s="5"/>
      <c r="BE25" s="5"/>
      <c r="BF25" s="5"/>
      <c r="BG25" s="5"/>
      <c r="BH25" s="6"/>
      <c r="BI25" s="7"/>
      <c r="BJ25" s="5"/>
      <c r="BK25" s="5"/>
      <c r="BL25" s="5"/>
      <c r="BM25" s="5"/>
      <c r="BN25" s="5"/>
      <c r="BO25" s="6"/>
      <c r="BP25" s="7"/>
      <c r="BQ25" s="5"/>
      <c r="BR25" s="5"/>
      <c r="BS25" s="5"/>
      <c r="BT25" s="5"/>
      <c r="BU25" s="5"/>
      <c r="BV25" s="6"/>
      <c r="BW25" s="7"/>
      <c r="BX25" s="5"/>
      <c r="BY25" s="5"/>
      <c r="BZ25" s="5"/>
      <c r="CA25" s="5"/>
      <c r="CB25" s="5"/>
      <c r="CC25" s="6"/>
      <c r="CD25" s="7"/>
      <c r="CE25" s="5"/>
      <c r="CF25" s="5"/>
      <c r="CG25" s="5"/>
      <c r="CH25" s="5"/>
      <c r="CI25" s="5"/>
      <c r="CJ25" s="6"/>
      <c r="CK25" s="7"/>
      <c r="CL25" s="5"/>
      <c r="CM25" s="5"/>
      <c r="CN25" s="5"/>
      <c r="CO25" s="5"/>
      <c r="CP25" s="5"/>
      <c r="CQ25" s="6"/>
      <c r="CR25" s="7"/>
      <c r="CS25" s="5"/>
      <c r="CT25" s="5"/>
      <c r="CU25" s="5"/>
      <c r="CV25" s="5"/>
      <c r="CW25" s="13"/>
      <c r="CX25" s="14"/>
      <c r="CY25" s="13"/>
      <c r="CZ25" s="13"/>
      <c r="DA25" s="14"/>
      <c r="DB25" s="15"/>
      <c r="DC25" s="13"/>
      <c r="DD25" s="13"/>
      <c r="DE25" s="13"/>
      <c r="DF25" s="13"/>
      <c r="DG25" s="13"/>
      <c r="DH25" s="14"/>
      <c r="DI25" s="15"/>
      <c r="DJ25" s="13"/>
      <c r="DK25" s="13"/>
      <c r="DL25" s="15"/>
      <c r="DM25" s="13"/>
      <c r="DN25" s="13"/>
      <c r="DO25" s="13"/>
      <c r="DP25" s="13"/>
      <c r="DQ25" s="13"/>
      <c r="DR25" s="34"/>
      <c r="DS25" s="35"/>
      <c r="DT25" s="23"/>
      <c r="DU25" s="23"/>
      <c r="DV25" s="23"/>
      <c r="DW25" s="23"/>
      <c r="DX25" s="23"/>
      <c r="DY25" s="34"/>
      <c r="DZ25" s="35"/>
      <c r="EA25" s="23"/>
      <c r="EB25" s="23"/>
      <c r="EC25" s="23"/>
      <c r="ED25" s="23"/>
      <c r="EE25" s="23"/>
      <c r="EF25" s="34"/>
      <c r="EG25" s="35"/>
      <c r="EH25" s="23"/>
      <c r="EI25" s="23"/>
      <c r="EJ25" s="23"/>
      <c r="EK25" s="23"/>
      <c r="EL25" s="23"/>
      <c r="EM25" s="34"/>
      <c r="EN25" s="35"/>
      <c r="EO25" s="23"/>
      <c r="EP25" s="23"/>
      <c r="EQ25" s="23"/>
      <c r="ER25" s="23"/>
      <c r="ES25" s="23"/>
      <c r="ET25" s="23"/>
      <c r="EU25" s="23"/>
      <c r="EV25" s="14"/>
      <c r="EW25" s="15"/>
      <c r="EX25" s="23"/>
      <c r="EY25" s="23"/>
      <c r="EZ25" s="23"/>
      <c r="FA25" s="23"/>
      <c r="FB25" s="23"/>
      <c r="FC25" s="24"/>
      <c r="FD25" s="22"/>
      <c r="FE25" s="23"/>
      <c r="FF25" s="23"/>
      <c r="FG25" s="23"/>
      <c r="FH25" s="23"/>
      <c r="FI25" s="23"/>
      <c r="FJ25" s="24"/>
      <c r="FK25" s="22"/>
      <c r="FL25" s="23"/>
      <c r="FM25" s="23"/>
      <c r="FN25" s="23"/>
      <c r="FO25" s="23"/>
      <c r="FP25" s="23"/>
      <c r="FQ25" s="24"/>
      <c r="FR25" s="22"/>
      <c r="FS25" s="23"/>
      <c r="FT25" s="23"/>
      <c r="FU25" s="23"/>
      <c r="FV25" s="23"/>
      <c r="FW25" s="23"/>
      <c r="FX25" s="24"/>
      <c r="FY25" s="22"/>
      <c r="FZ25" s="23"/>
      <c r="GA25" s="23"/>
      <c r="GB25" s="23"/>
      <c r="GC25" s="23"/>
      <c r="GD25" s="23"/>
      <c r="GE25" s="24"/>
      <c r="GF25" s="22"/>
      <c r="GG25" s="23"/>
      <c r="GH25" s="23"/>
    </row>
    <row r="26" spans="1:190" ht="17.25" customHeight="1">
      <c r="A26" s="332" t="s">
        <v>243</v>
      </c>
      <c r="B26" s="330" t="s">
        <v>119</v>
      </c>
      <c r="C26" s="330" t="s">
        <v>111</v>
      </c>
      <c r="D26" s="330" t="s">
        <v>156</v>
      </c>
      <c r="E26" s="336" t="s">
        <v>33</v>
      </c>
      <c r="F26" s="407">
        <v>1</v>
      </c>
      <c r="G26" s="352" t="s">
        <v>52</v>
      </c>
      <c r="H26" s="70" t="s">
        <v>17</v>
      </c>
      <c r="I26" s="46">
        <v>40459</v>
      </c>
      <c r="J26" s="47">
        <v>40431</v>
      </c>
      <c r="K26" s="51"/>
      <c r="L26" s="49" t="s">
        <v>3</v>
      </c>
      <c r="M26" s="49" t="s">
        <v>3</v>
      </c>
      <c r="N26" s="49" t="s">
        <v>3</v>
      </c>
      <c r="O26" s="49" t="s">
        <v>8</v>
      </c>
      <c r="P26" s="49" t="s">
        <v>8</v>
      </c>
      <c r="Q26" s="350">
        <v>40431</v>
      </c>
      <c r="R26" s="350">
        <v>40432</v>
      </c>
      <c r="S26" s="375">
        <v>40434</v>
      </c>
      <c r="T26" s="377">
        <v>40436</v>
      </c>
      <c r="U26" s="13"/>
      <c r="V26" s="13"/>
      <c r="W26" s="13"/>
      <c r="X26" s="13"/>
      <c r="Y26" s="14"/>
      <c r="Z26" s="15"/>
      <c r="AA26" s="13"/>
      <c r="AB26" s="13"/>
      <c r="AC26" s="13"/>
      <c r="AD26" s="13"/>
      <c r="AE26" s="13"/>
      <c r="AF26" s="14"/>
      <c r="AG26" s="15"/>
      <c r="AH26" s="13"/>
      <c r="AI26" s="13"/>
      <c r="AJ26" s="13"/>
      <c r="AK26" s="13"/>
      <c r="AL26" s="13"/>
      <c r="AM26" s="14"/>
      <c r="AN26" s="15"/>
      <c r="AO26" s="13"/>
      <c r="AP26" s="15"/>
      <c r="AQ26" s="13"/>
      <c r="AR26" s="13"/>
      <c r="AS26" s="13"/>
      <c r="AT26" s="14"/>
      <c r="AU26" s="15"/>
      <c r="AV26" s="13"/>
      <c r="AW26" s="13"/>
      <c r="AX26" s="13"/>
      <c r="AY26" s="13"/>
      <c r="AZ26" s="13"/>
      <c r="BA26" s="14"/>
      <c r="BB26" s="15"/>
      <c r="BC26" s="13"/>
      <c r="BD26" s="13"/>
      <c r="BE26" s="13"/>
      <c r="BF26" s="13"/>
      <c r="BG26" s="13"/>
      <c r="BH26" s="14"/>
      <c r="BI26" s="15"/>
      <c r="BJ26" s="13"/>
      <c r="BK26" s="13"/>
      <c r="BL26" s="13"/>
      <c r="BM26" s="13"/>
      <c r="BN26" s="13"/>
      <c r="BO26" s="14"/>
      <c r="BP26" s="15"/>
      <c r="BQ26" s="13"/>
      <c r="BR26" s="13"/>
      <c r="BS26" s="13"/>
      <c r="BT26" s="13"/>
      <c r="BU26" s="13"/>
      <c r="BV26" s="14"/>
      <c r="BW26" s="15"/>
      <c r="BX26" s="13"/>
      <c r="BY26" s="13"/>
      <c r="BZ26" s="13"/>
      <c r="CA26" s="13"/>
      <c r="CB26" s="13"/>
      <c r="CC26" s="14"/>
      <c r="CD26" s="15"/>
      <c r="CE26" s="13"/>
      <c r="CF26" s="13"/>
      <c r="CG26" s="13"/>
      <c r="CH26" s="13"/>
      <c r="CI26" s="13"/>
      <c r="CJ26" s="14"/>
      <c r="CK26" s="15"/>
      <c r="CL26" s="13"/>
      <c r="CM26" s="13"/>
      <c r="CN26" s="13"/>
      <c r="CO26" s="13"/>
      <c r="CP26" s="13"/>
      <c r="CQ26" s="14"/>
      <c r="CR26" s="15"/>
      <c r="CS26" s="13"/>
      <c r="CT26" s="13"/>
      <c r="CU26" s="13"/>
      <c r="CV26" s="13"/>
      <c r="CW26" s="13"/>
      <c r="CX26" s="14"/>
      <c r="CY26" s="13"/>
      <c r="CZ26" s="13"/>
      <c r="DA26" s="14"/>
      <c r="DB26" s="15"/>
      <c r="DC26" s="13"/>
      <c r="DD26" s="13"/>
      <c r="DE26" s="13"/>
      <c r="DF26" s="13"/>
      <c r="DG26" s="13"/>
      <c r="DH26" s="14"/>
      <c r="DI26" s="15"/>
      <c r="DJ26" s="13"/>
      <c r="DK26" s="13"/>
      <c r="DL26" s="15"/>
      <c r="DM26" s="13"/>
      <c r="DN26" s="13"/>
      <c r="DO26" s="13"/>
      <c r="DP26" s="13"/>
      <c r="DQ26" s="13"/>
      <c r="DR26" s="34"/>
      <c r="DS26" s="35"/>
      <c r="DT26" s="23"/>
      <c r="DU26" s="23"/>
      <c r="DV26" s="23"/>
      <c r="DW26" s="23"/>
      <c r="DX26" s="23"/>
      <c r="DY26" s="34"/>
      <c r="DZ26" s="35"/>
      <c r="EA26" s="23"/>
      <c r="EB26" s="23"/>
      <c r="EC26" s="23"/>
      <c r="ED26" s="23"/>
      <c r="EE26" s="23"/>
      <c r="EF26" s="34"/>
      <c r="EG26" s="35"/>
      <c r="EH26" s="23"/>
      <c r="EI26" s="23"/>
      <c r="EJ26" s="23"/>
      <c r="EK26" s="23"/>
      <c r="EL26" s="23"/>
      <c r="EM26" s="34"/>
      <c r="EN26" s="35"/>
      <c r="EO26" s="23"/>
      <c r="EP26" s="23"/>
      <c r="EQ26" s="23"/>
      <c r="ER26" s="23"/>
      <c r="ES26" s="23"/>
      <c r="ET26" s="23"/>
      <c r="EU26" s="23"/>
      <c r="EV26" s="14"/>
      <c r="EW26" s="15"/>
      <c r="EX26" s="23"/>
      <c r="EY26" s="23"/>
      <c r="EZ26" s="23"/>
      <c r="FA26" s="23"/>
      <c r="FB26" s="23"/>
      <c r="FC26" s="24"/>
      <c r="FD26" s="22"/>
      <c r="FE26" s="23"/>
      <c r="FF26" s="23"/>
      <c r="FG26" s="23"/>
      <c r="FH26" s="23"/>
      <c r="FI26" s="23"/>
      <c r="FJ26" s="24"/>
      <c r="FK26" s="22"/>
      <c r="FL26" s="23"/>
      <c r="FM26" s="23"/>
      <c r="FN26" s="23"/>
      <c r="FO26" s="23"/>
      <c r="FP26" s="23"/>
      <c r="FQ26" s="24"/>
      <c r="FR26" s="22"/>
      <c r="FS26" s="23"/>
      <c r="FT26" s="23"/>
      <c r="FU26" s="23"/>
      <c r="FV26" s="23"/>
      <c r="FW26" s="23"/>
      <c r="FX26" s="24"/>
      <c r="FY26" s="22"/>
      <c r="FZ26" s="23"/>
      <c r="GA26" s="23"/>
      <c r="GB26" s="23"/>
      <c r="GC26" s="23"/>
      <c r="GD26" s="23"/>
      <c r="GE26" s="24"/>
      <c r="GF26" s="22"/>
      <c r="GG26" s="23"/>
      <c r="GH26" s="23"/>
    </row>
    <row r="27" spans="1:190" ht="17.25" customHeight="1">
      <c r="A27" s="332"/>
      <c r="B27" s="331"/>
      <c r="C27" s="331"/>
      <c r="D27" s="331"/>
      <c r="E27" s="337"/>
      <c r="F27" s="408"/>
      <c r="G27" s="353"/>
      <c r="H27" s="50" t="s">
        <v>64</v>
      </c>
      <c r="I27" s="46">
        <v>40457</v>
      </c>
      <c r="J27" s="47" t="s">
        <v>288</v>
      </c>
      <c r="K27" s="51"/>
      <c r="L27" s="47">
        <v>40430</v>
      </c>
      <c r="M27" s="47">
        <v>40430</v>
      </c>
      <c r="N27" s="47">
        <v>40429</v>
      </c>
      <c r="O27" s="47"/>
      <c r="P27" s="47"/>
      <c r="Q27" s="351"/>
      <c r="R27" s="351"/>
      <c r="S27" s="376"/>
      <c r="T27" s="378"/>
      <c r="U27" s="13"/>
      <c r="V27" s="13"/>
      <c r="W27" s="13"/>
      <c r="X27" s="13"/>
      <c r="Y27" s="14"/>
      <c r="Z27" s="15"/>
      <c r="AA27" s="13"/>
      <c r="AB27" s="13"/>
      <c r="AC27" s="13"/>
      <c r="AD27" s="13"/>
      <c r="AE27" s="13"/>
      <c r="AF27" s="14"/>
      <c r="AG27" s="15"/>
      <c r="AH27" s="13"/>
      <c r="AI27" s="13"/>
      <c r="AJ27" s="13"/>
      <c r="AK27" s="13"/>
      <c r="AL27" s="13"/>
      <c r="AM27" s="14"/>
      <c r="AN27" s="15"/>
      <c r="AO27" s="13"/>
      <c r="AP27" s="15"/>
      <c r="AQ27" s="13"/>
      <c r="AR27" s="13"/>
      <c r="AS27" s="13"/>
      <c r="AT27" s="14"/>
      <c r="AU27" s="15"/>
      <c r="AV27" s="13"/>
      <c r="AW27" s="13"/>
      <c r="AX27" s="13"/>
      <c r="AY27" s="13"/>
      <c r="AZ27" s="13"/>
      <c r="BA27" s="14"/>
      <c r="BB27" s="15"/>
      <c r="BC27" s="13"/>
      <c r="BD27" s="13"/>
      <c r="BE27" s="13"/>
      <c r="BF27" s="13"/>
      <c r="BG27" s="13"/>
      <c r="BH27" s="14"/>
      <c r="BI27" s="15"/>
      <c r="BJ27" s="13"/>
      <c r="BK27" s="13"/>
      <c r="BL27" s="13"/>
      <c r="BM27" s="13"/>
      <c r="BN27" s="13"/>
      <c r="BO27" s="14"/>
      <c r="BP27" s="15"/>
      <c r="BQ27" s="13"/>
      <c r="BR27" s="13"/>
      <c r="BS27" s="13"/>
      <c r="BT27" s="13"/>
      <c r="BU27" s="13"/>
      <c r="BV27" s="14"/>
      <c r="BW27" s="15"/>
      <c r="BX27" s="13"/>
      <c r="BY27" s="13"/>
      <c r="BZ27" s="13"/>
      <c r="CA27" s="13"/>
      <c r="CB27" s="13"/>
      <c r="CC27" s="14"/>
      <c r="CD27" s="15"/>
      <c r="CE27" s="13"/>
      <c r="CF27" s="13"/>
      <c r="CG27" s="13"/>
      <c r="CH27" s="13"/>
      <c r="CI27" s="13"/>
      <c r="CJ27" s="14"/>
      <c r="CK27" s="15"/>
      <c r="CL27" s="13"/>
      <c r="CM27" s="13"/>
      <c r="CN27" s="13"/>
      <c r="CO27" s="13"/>
      <c r="CP27" s="13"/>
      <c r="CQ27" s="14"/>
      <c r="CR27" s="15"/>
      <c r="CS27" s="13"/>
      <c r="CT27" s="13"/>
      <c r="CU27" s="13"/>
      <c r="CV27" s="13"/>
      <c r="CW27" s="13"/>
      <c r="CX27" s="14"/>
      <c r="CY27" s="13"/>
      <c r="CZ27" s="13"/>
      <c r="DA27" s="14"/>
      <c r="DB27" s="15"/>
      <c r="DC27" s="13"/>
      <c r="DD27" s="13"/>
      <c r="DE27" s="13"/>
      <c r="DF27" s="13"/>
      <c r="DG27" s="13"/>
      <c r="DH27" s="14"/>
      <c r="DI27" s="15"/>
      <c r="DJ27" s="13"/>
      <c r="DK27" s="13"/>
      <c r="DL27" s="15"/>
      <c r="DM27" s="13"/>
      <c r="DN27" s="13"/>
      <c r="DO27" s="13"/>
      <c r="DP27" s="13"/>
      <c r="DQ27" s="13"/>
      <c r="DR27" s="34"/>
      <c r="DS27" s="35"/>
      <c r="DT27" s="23"/>
      <c r="DU27" s="23"/>
      <c r="DV27" s="23"/>
      <c r="DW27" s="23"/>
      <c r="DX27" s="23"/>
      <c r="DY27" s="34"/>
      <c r="DZ27" s="35"/>
      <c r="EA27" s="23"/>
      <c r="EB27" s="23"/>
      <c r="EC27" s="23"/>
      <c r="ED27" s="23"/>
      <c r="EE27" s="23"/>
      <c r="EF27" s="34"/>
      <c r="EG27" s="35"/>
      <c r="EH27" s="23"/>
      <c r="EI27" s="23"/>
      <c r="EJ27" s="23"/>
      <c r="EK27" s="23"/>
      <c r="EL27" s="23"/>
      <c r="EM27" s="34"/>
      <c r="EN27" s="35"/>
      <c r="EO27" s="23"/>
      <c r="EP27" s="23"/>
      <c r="EQ27" s="23"/>
      <c r="ER27" s="23"/>
      <c r="ES27" s="23"/>
      <c r="ET27" s="23"/>
      <c r="EU27" s="23"/>
      <c r="EV27" s="14"/>
      <c r="EW27" s="15"/>
      <c r="EX27" s="23"/>
      <c r="EY27" s="23"/>
      <c r="EZ27" s="23"/>
      <c r="FA27" s="23"/>
      <c r="FB27" s="23"/>
      <c r="FC27" s="24"/>
      <c r="FD27" s="22"/>
      <c r="FE27" s="23"/>
      <c r="FF27" s="23"/>
      <c r="FG27" s="23"/>
      <c r="FH27" s="23"/>
      <c r="FI27" s="23"/>
      <c r="FJ27" s="24"/>
      <c r="FK27" s="22"/>
      <c r="FL27" s="23"/>
      <c r="FM27" s="23"/>
      <c r="FN27" s="23"/>
      <c r="FO27" s="23"/>
      <c r="FP27" s="23"/>
      <c r="FQ27" s="24"/>
      <c r="FR27" s="22"/>
      <c r="FS27" s="23"/>
      <c r="FT27" s="23"/>
      <c r="FU27" s="23"/>
      <c r="FV27" s="23"/>
      <c r="FW27" s="23"/>
      <c r="FX27" s="24"/>
      <c r="FY27" s="22"/>
      <c r="FZ27" s="23"/>
      <c r="GA27" s="23"/>
      <c r="GB27" s="23"/>
      <c r="GC27" s="23"/>
      <c r="GD27" s="23"/>
      <c r="GE27" s="24"/>
      <c r="GF27" s="22"/>
      <c r="GG27" s="23"/>
      <c r="GH27" s="23"/>
    </row>
    <row r="28" spans="1:190" ht="17.25" customHeight="1">
      <c r="A28" s="332" t="s">
        <v>244</v>
      </c>
      <c r="B28" s="101" t="s">
        <v>161</v>
      </c>
      <c r="C28" s="101" t="s">
        <v>169</v>
      </c>
      <c r="D28" s="101" t="s">
        <v>171</v>
      </c>
      <c r="E28" s="336" t="s">
        <v>33</v>
      </c>
      <c r="F28" s="407">
        <v>75</v>
      </c>
      <c r="G28" s="352" t="s">
        <v>52</v>
      </c>
      <c r="H28" s="70" t="s">
        <v>17</v>
      </c>
      <c r="I28" s="46">
        <v>40466</v>
      </c>
      <c r="J28" s="47">
        <v>40434</v>
      </c>
      <c r="K28" s="51"/>
      <c r="L28" s="49" t="s">
        <v>3</v>
      </c>
      <c r="M28" s="49" t="s">
        <v>3</v>
      </c>
      <c r="N28" s="49" t="s">
        <v>3</v>
      </c>
      <c r="O28" s="49" t="s">
        <v>8</v>
      </c>
      <c r="P28" s="49" t="s">
        <v>3</v>
      </c>
      <c r="Q28" s="46">
        <v>40434</v>
      </c>
      <c r="R28" s="46">
        <v>40436</v>
      </c>
      <c r="S28" s="105">
        <v>40434</v>
      </c>
      <c r="T28" s="105">
        <v>40437</v>
      </c>
    </row>
    <row r="29" spans="1:190" ht="17.25" customHeight="1">
      <c r="A29" s="332"/>
      <c r="B29" s="101" t="s">
        <v>161</v>
      </c>
      <c r="C29" s="101" t="s">
        <v>169</v>
      </c>
      <c r="D29" s="101" t="s">
        <v>172</v>
      </c>
      <c r="E29" s="337"/>
      <c r="F29" s="408"/>
      <c r="G29" s="353"/>
      <c r="H29" s="50" t="s">
        <v>64</v>
      </c>
      <c r="I29" s="46">
        <v>40464</v>
      </c>
      <c r="J29" s="47" t="s">
        <v>51</v>
      </c>
      <c r="K29" s="51"/>
      <c r="L29" s="47">
        <v>40430</v>
      </c>
      <c r="M29" s="47">
        <v>40430</v>
      </c>
      <c r="N29" s="46">
        <v>40428</v>
      </c>
      <c r="O29" s="47"/>
      <c r="P29" s="47">
        <v>40435</v>
      </c>
      <c r="Q29" s="46">
        <v>40434</v>
      </c>
      <c r="R29" s="46">
        <v>40436</v>
      </c>
      <c r="S29" s="105">
        <v>40434</v>
      </c>
      <c r="T29" s="105">
        <v>40437</v>
      </c>
    </row>
    <row r="30" spans="1:190" ht="17.25" customHeight="1">
      <c r="A30" s="405" t="s">
        <v>180</v>
      </c>
      <c r="B30" s="101" t="s">
        <v>174</v>
      </c>
      <c r="C30" s="101" t="s">
        <v>175</v>
      </c>
      <c r="D30" s="101" t="s">
        <v>177</v>
      </c>
      <c r="E30" s="336" t="s">
        <v>33</v>
      </c>
      <c r="F30" s="407">
        <v>261</v>
      </c>
      <c r="G30" s="352" t="s">
        <v>179</v>
      </c>
      <c r="H30" s="70" t="s">
        <v>17</v>
      </c>
      <c r="I30" s="46">
        <v>40466</v>
      </c>
      <c r="J30" s="47">
        <v>40466</v>
      </c>
      <c r="K30" s="69"/>
      <c r="L30" s="49" t="s">
        <v>3</v>
      </c>
      <c r="M30" s="49" t="s">
        <v>3</v>
      </c>
      <c r="N30" s="49" t="s">
        <v>3</v>
      </c>
      <c r="O30" s="49" t="s">
        <v>8</v>
      </c>
      <c r="P30" s="49" t="s">
        <v>8</v>
      </c>
      <c r="Q30" s="46">
        <v>40435</v>
      </c>
      <c r="R30" s="46">
        <v>40438</v>
      </c>
      <c r="S30" s="105">
        <v>40435</v>
      </c>
      <c r="T30" s="105">
        <v>40438</v>
      </c>
      <c r="U30" s="13"/>
      <c r="V30" s="13"/>
      <c r="W30" s="13"/>
      <c r="X30" s="13"/>
      <c r="Y30" s="14"/>
      <c r="Z30" s="15"/>
      <c r="AA30" s="13"/>
      <c r="AB30" s="13"/>
      <c r="AC30" s="13"/>
      <c r="AD30" s="13"/>
      <c r="AE30" s="13"/>
      <c r="AF30" s="14"/>
      <c r="AG30" s="15"/>
      <c r="AH30" s="13"/>
      <c r="AI30" s="13"/>
      <c r="AJ30" s="13"/>
      <c r="AK30" s="13"/>
      <c r="AL30" s="13"/>
      <c r="AM30" s="14"/>
      <c r="AN30" s="15"/>
      <c r="AO30" s="13"/>
      <c r="AP30" s="15"/>
      <c r="AQ30" s="13"/>
      <c r="AR30" s="13"/>
      <c r="AS30" s="13"/>
      <c r="AT30" s="14"/>
      <c r="AU30" s="15"/>
      <c r="AV30" s="13"/>
      <c r="AW30" s="13"/>
      <c r="AX30" s="13"/>
      <c r="AY30" s="13"/>
      <c r="AZ30" s="13"/>
      <c r="BA30" s="14"/>
      <c r="BB30" s="15"/>
      <c r="BC30" s="13"/>
      <c r="BD30" s="13"/>
      <c r="BE30" s="13"/>
      <c r="BF30" s="13"/>
      <c r="BG30" s="13"/>
      <c r="BH30" s="14"/>
      <c r="BI30" s="15"/>
      <c r="BJ30" s="13"/>
      <c r="BK30" s="13"/>
      <c r="BL30" s="13"/>
      <c r="BM30" s="13"/>
      <c r="BN30" s="13"/>
      <c r="BO30" s="14"/>
      <c r="BP30" s="15"/>
      <c r="BQ30" s="13"/>
      <c r="BR30" s="13"/>
      <c r="BS30" s="13"/>
      <c r="BT30" s="13"/>
      <c r="BU30" s="13"/>
      <c r="BV30" s="14"/>
      <c r="BW30" s="15"/>
      <c r="BX30" s="13"/>
      <c r="BY30" s="13"/>
      <c r="BZ30" s="13"/>
      <c r="CA30" s="13"/>
      <c r="CB30" s="13"/>
      <c r="CC30" s="14"/>
      <c r="CD30" s="15"/>
      <c r="CE30" s="13"/>
      <c r="CF30" s="13"/>
      <c r="CG30" s="13"/>
      <c r="CH30" s="13"/>
      <c r="CI30" s="13"/>
      <c r="CJ30" s="14"/>
      <c r="CK30" s="15"/>
      <c r="CL30" s="13"/>
      <c r="CM30" s="13"/>
      <c r="CN30" s="13"/>
      <c r="CO30" s="13"/>
      <c r="CP30" s="13"/>
      <c r="CQ30" s="14"/>
      <c r="CR30" s="15"/>
      <c r="CS30" s="13"/>
      <c r="CT30" s="13"/>
      <c r="CU30" s="13"/>
      <c r="CV30" s="13"/>
      <c r="CW30" s="13"/>
      <c r="CX30" s="14"/>
      <c r="CY30" s="13"/>
      <c r="CZ30" s="13"/>
      <c r="DA30" s="14"/>
      <c r="DB30" s="15"/>
      <c r="DC30" s="13"/>
      <c r="DD30" s="13"/>
      <c r="DE30" s="13"/>
      <c r="DF30" s="13"/>
      <c r="DG30" s="13"/>
      <c r="DH30" s="14"/>
      <c r="DI30" s="15"/>
      <c r="DJ30" s="13"/>
      <c r="DK30" s="13"/>
      <c r="DL30" s="15"/>
      <c r="DM30" s="13"/>
      <c r="DN30" s="13"/>
      <c r="DO30" s="13"/>
      <c r="DP30" s="13"/>
      <c r="DQ30" s="13"/>
      <c r="DR30" s="14"/>
      <c r="DS30" s="15"/>
      <c r="DT30" s="13"/>
      <c r="DU30" s="13"/>
      <c r="DV30" s="13"/>
      <c r="DW30" s="13"/>
      <c r="DX30" s="13"/>
      <c r="DY30" s="14"/>
      <c r="DZ30" s="15"/>
      <c r="EA30" s="13"/>
      <c r="EB30" s="13"/>
      <c r="EC30" s="25"/>
      <c r="ED30" s="13"/>
      <c r="EE30" s="13"/>
      <c r="EF30" s="14"/>
      <c r="EG30" s="15"/>
      <c r="EH30" s="13"/>
      <c r="EI30" s="13"/>
      <c r="EJ30" s="13"/>
      <c r="EK30" s="13"/>
      <c r="EL30" s="13"/>
      <c r="EM30" s="14"/>
      <c r="EN30" s="15"/>
      <c r="EO30" s="13"/>
      <c r="EP30" s="13"/>
      <c r="EQ30" s="13"/>
      <c r="ER30" s="13"/>
      <c r="ES30" s="13"/>
      <c r="ET30" s="23"/>
      <c r="EU30" s="23"/>
      <c r="EV30" s="14"/>
      <c r="EW30" s="15"/>
      <c r="EX30" s="23"/>
      <c r="EY30" s="23"/>
      <c r="EZ30" s="23"/>
      <c r="FA30" s="23"/>
      <c r="FB30" s="23"/>
      <c r="FC30" s="24"/>
      <c r="FD30" s="22"/>
      <c r="FE30" s="23"/>
      <c r="FF30" s="23"/>
      <c r="FG30" s="23"/>
      <c r="FH30" s="23"/>
      <c r="FI30" s="23"/>
      <c r="FJ30" s="24"/>
      <c r="FK30" s="22"/>
      <c r="FL30" s="23"/>
      <c r="FM30" s="23"/>
      <c r="FN30" s="23"/>
      <c r="FO30" s="23"/>
      <c r="FP30" s="23"/>
      <c r="FQ30" s="24"/>
      <c r="FR30" s="22"/>
      <c r="FS30" s="23"/>
      <c r="FT30" s="23"/>
      <c r="FU30" s="23"/>
      <c r="FV30" s="23"/>
      <c r="FW30" s="23"/>
      <c r="FX30" s="24"/>
      <c r="FY30" s="22"/>
      <c r="FZ30" s="23"/>
      <c r="GA30" s="23"/>
      <c r="GB30" s="23"/>
      <c r="GC30" s="23"/>
      <c r="GD30" s="23"/>
      <c r="GE30" s="24"/>
      <c r="GF30" s="22"/>
      <c r="GG30" s="23"/>
      <c r="GH30" s="23"/>
    </row>
    <row r="31" spans="1:190" ht="17.25" customHeight="1">
      <c r="A31" s="406"/>
      <c r="B31" s="101" t="s">
        <v>25</v>
      </c>
      <c r="C31" s="101" t="s">
        <v>176</v>
      </c>
      <c r="D31" s="101" t="s">
        <v>178</v>
      </c>
      <c r="E31" s="337"/>
      <c r="F31" s="408"/>
      <c r="G31" s="353"/>
      <c r="H31" s="50" t="s">
        <v>64</v>
      </c>
      <c r="I31" s="46">
        <v>40464</v>
      </c>
      <c r="J31" s="47" t="s">
        <v>42</v>
      </c>
      <c r="K31" s="69"/>
      <c r="L31" s="47">
        <v>40427</v>
      </c>
      <c r="M31" s="47">
        <v>40428</v>
      </c>
      <c r="N31" s="46">
        <v>40428</v>
      </c>
      <c r="O31" s="47"/>
      <c r="P31" s="46"/>
      <c r="Q31" s="46">
        <v>40435</v>
      </c>
      <c r="R31" s="46">
        <v>40439</v>
      </c>
      <c r="S31" s="105">
        <v>40435</v>
      </c>
      <c r="T31" s="105">
        <v>40438</v>
      </c>
      <c r="U31" s="13"/>
      <c r="V31" s="13"/>
      <c r="W31" s="13"/>
      <c r="X31" s="13"/>
      <c r="Y31" s="14"/>
      <c r="Z31" s="15"/>
      <c r="AA31" s="13"/>
      <c r="AB31" s="13"/>
      <c r="AC31" s="13"/>
      <c r="AD31" s="13"/>
      <c r="AE31" s="13"/>
      <c r="AF31" s="14"/>
      <c r="AG31" s="15"/>
      <c r="AH31" s="13"/>
      <c r="AI31" s="13"/>
      <c r="AJ31" s="13"/>
      <c r="AK31" s="13"/>
      <c r="AL31" s="13"/>
      <c r="AM31" s="14"/>
      <c r="AN31" s="15"/>
      <c r="AO31" s="13"/>
      <c r="AP31" s="15"/>
      <c r="AQ31" s="13"/>
      <c r="AR31" s="13"/>
      <c r="AS31" s="13"/>
      <c r="AT31" s="14"/>
      <c r="AU31" s="15"/>
      <c r="AV31" s="13"/>
      <c r="AW31" s="13"/>
      <c r="AX31" s="13"/>
      <c r="AY31" s="13"/>
      <c r="AZ31" s="13"/>
      <c r="BA31" s="14"/>
      <c r="BB31" s="15"/>
      <c r="BC31" s="13"/>
      <c r="BD31" s="13"/>
      <c r="BE31" s="13"/>
      <c r="BF31" s="13"/>
      <c r="BG31" s="13"/>
      <c r="BH31" s="14"/>
      <c r="BI31" s="15"/>
      <c r="BJ31" s="13"/>
      <c r="BK31" s="13"/>
      <c r="BL31" s="13"/>
      <c r="BM31" s="13"/>
      <c r="BN31" s="13"/>
      <c r="BO31" s="14"/>
      <c r="BP31" s="15"/>
      <c r="BQ31" s="13"/>
      <c r="BR31" s="13"/>
      <c r="BS31" s="13"/>
      <c r="BT31" s="13"/>
      <c r="BU31" s="13"/>
      <c r="BV31" s="14"/>
      <c r="BW31" s="15"/>
      <c r="BX31" s="13"/>
      <c r="BY31" s="13"/>
      <c r="BZ31" s="13"/>
      <c r="CA31" s="13"/>
      <c r="CB31" s="13"/>
      <c r="CC31" s="14"/>
      <c r="CD31" s="15"/>
      <c r="CE31" s="13"/>
      <c r="CF31" s="13"/>
      <c r="CG31" s="13"/>
      <c r="CH31" s="13"/>
      <c r="CI31" s="13"/>
      <c r="CJ31" s="14"/>
      <c r="CK31" s="15"/>
      <c r="CL31" s="13"/>
      <c r="CM31" s="13"/>
      <c r="CN31" s="13"/>
      <c r="CO31" s="13"/>
      <c r="CP31" s="13"/>
      <c r="CQ31" s="14"/>
      <c r="CR31" s="15"/>
      <c r="CS31" s="13"/>
      <c r="CT31" s="13"/>
      <c r="CU31" s="13"/>
      <c r="CV31" s="13"/>
      <c r="CW31" s="13"/>
      <c r="CX31" s="14"/>
      <c r="CY31" s="13"/>
      <c r="CZ31" s="13"/>
      <c r="DA31" s="14"/>
      <c r="DB31" s="15"/>
      <c r="DC31" s="13"/>
      <c r="DD31" s="13"/>
      <c r="DE31" s="13"/>
      <c r="DF31" s="13"/>
      <c r="DG31" s="13"/>
      <c r="DH31" s="14"/>
      <c r="DI31" s="15"/>
      <c r="DJ31" s="13"/>
      <c r="DK31" s="13"/>
      <c r="DL31" s="15"/>
      <c r="DM31" s="13"/>
      <c r="DN31" s="13"/>
      <c r="DO31" s="13"/>
      <c r="DP31" s="13"/>
      <c r="DQ31" s="13"/>
      <c r="DR31" s="14"/>
      <c r="DS31" s="15"/>
      <c r="DT31" s="13"/>
      <c r="DU31" s="13"/>
      <c r="DV31" s="13"/>
      <c r="DW31" s="13"/>
      <c r="DX31" s="13"/>
      <c r="DY31" s="14"/>
      <c r="DZ31" s="15"/>
      <c r="EA31" s="13"/>
      <c r="EB31" s="13"/>
      <c r="EC31" s="25"/>
      <c r="ED31" s="13"/>
      <c r="EE31" s="13"/>
      <c r="EF31" s="14"/>
      <c r="EG31" s="15"/>
      <c r="EH31" s="13"/>
      <c r="EI31" s="13"/>
      <c r="EJ31" s="13"/>
      <c r="EK31" s="13"/>
      <c r="EL31" s="13"/>
      <c r="EM31" s="14"/>
      <c r="EN31" s="15"/>
      <c r="EO31" s="13"/>
      <c r="EP31" s="13"/>
      <c r="EQ31" s="13"/>
      <c r="ER31" s="13"/>
      <c r="ES31" s="13"/>
      <c r="ET31" s="23"/>
      <c r="EU31" s="23"/>
      <c r="EV31" s="14"/>
      <c r="EW31" s="15"/>
      <c r="EX31" s="23"/>
      <c r="EY31" s="23"/>
      <c r="EZ31" s="23"/>
      <c r="FA31" s="23"/>
      <c r="FB31" s="23"/>
      <c r="FC31" s="24"/>
      <c r="FD31" s="22"/>
      <c r="FE31" s="23"/>
      <c r="FF31" s="23"/>
      <c r="FG31" s="23"/>
      <c r="FH31" s="23"/>
      <c r="FI31" s="23"/>
      <c r="FJ31" s="24"/>
      <c r="FK31" s="22"/>
      <c r="FL31" s="23"/>
      <c r="FM31" s="23"/>
      <c r="FN31" s="23"/>
      <c r="FO31" s="23"/>
      <c r="FP31" s="23"/>
      <c r="FQ31" s="24"/>
      <c r="FR31" s="22"/>
      <c r="FS31" s="23"/>
      <c r="FT31" s="23"/>
      <c r="FU31" s="23"/>
      <c r="FV31" s="23"/>
      <c r="FW31" s="23"/>
      <c r="FX31" s="24"/>
      <c r="FY31" s="22"/>
      <c r="FZ31" s="23"/>
      <c r="GA31" s="23"/>
      <c r="GB31" s="23"/>
      <c r="GC31" s="23"/>
      <c r="GD31" s="23"/>
      <c r="GE31" s="24"/>
      <c r="GF31" s="22"/>
      <c r="GG31" s="23"/>
      <c r="GH31" s="23"/>
    </row>
    <row r="32" spans="1:190" ht="17.25" customHeight="1">
      <c r="A32" s="332" t="s">
        <v>245</v>
      </c>
      <c r="B32" s="101" t="s">
        <v>123</v>
      </c>
      <c r="C32" s="101" t="s">
        <v>124</v>
      </c>
      <c r="D32" s="101" t="s">
        <v>125</v>
      </c>
      <c r="E32" s="336" t="s">
        <v>33</v>
      </c>
      <c r="F32" s="407">
        <v>386</v>
      </c>
      <c r="G32" s="352" t="s">
        <v>26</v>
      </c>
      <c r="H32" s="70" t="s">
        <v>17</v>
      </c>
      <c r="I32" s="46">
        <v>40518</v>
      </c>
      <c r="J32" s="47">
        <v>40431</v>
      </c>
      <c r="K32" s="51"/>
      <c r="L32" s="49" t="s">
        <v>3</v>
      </c>
      <c r="M32" s="49" t="s">
        <v>3</v>
      </c>
      <c r="N32" s="49" t="s">
        <v>3</v>
      </c>
      <c r="O32" s="49" t="s">
        <v>8</v>
      </c>
      <c r="P32" s="49" t="s">
        <v>3</v>
      </c>
      <c r="Q32" s="46">
        <v>40431</v>
      </c>
      <c r="R32" s="46">
        <v>40434</v>
      </c>
      <c r="S32" s="105">
        <v>40431</v>
      </c>
      <c r="T32" s="106">
        <v>40437</v>
      </c>
    </row>
    <row r="33" spans="1:190" ht="17.25" customHeight="1">
      <c r="A33" s="332"/>
      <c r="B33" s="101" t="s">
        <v>123</v>
      </c>
      <c r="C33" s="101" t="s">
        <v>124</v>
      </c>
      <c r="D33" s="101" t="s">
        <v>126</v>
      </c>
      <c r="E33" s="337"/>
      <c r="F33" s="408"/>
      <c r="G33" s="353"/>
      <c r="H33" s="50" t="s">
        <v>152</v>
      </c>
      <c r="I33" s="46">
        <v>40469</v>
      </c>
      <c r="J33" s="47" t="s">
        <v>127</v>
      </c>
      <c r="K33" s="51"/>
      <c r="L33" s="47">
        <v>40431</v>
      </c>
      <c r="M33" s="47">
        <v>40435</v>
      </c>
      <c r="N33" s="47">
        <v>40431</v>
      </c>
      <c r="O33" s="47"/>
      <c r="P33" s="47">
        <v>40436</v>
      </c>
      <c r="Q33" s="46">
        <v>40431</v>
      </c>
      <c r="R33" s="46">
        <v>40435</v>
      </c>
      <c r="S33" s="105">
        <v>40432</v>
      </c>
      <c r="T33" s="106">
        <v>40437</v>
      </c>
    </row>
    <row r="34" spans="1:190" ht="17.25" customHeight="1">
      <c r="A34" s="405" t="s">
        <v>180</v>
      </c>
      <c r="B34" s="101" t="s">
        <v>87</v>
      </c>
      <c r="C34" s="101" t="s">
        <v>65</v>
      </c>
      <c r="D34" s="101" t="s">
        <v>88</v>
      </c>
      <c r="E34" s="336" t="s">
        <v>74</v>
      </c>
      <c r="F34" s="407">
        <v>390</v>
      </c>
      <c r="G34" s="352" t="s">
        <v>26</v>
      </c>
      <c r="H34" s="371" t="s">
        <v>232</v>
      </c>
      <c r="I34" s="46">
        <v>40505</v>
      </c>
      <c r="J34" s="47">
        <v>40435</v>
      </c>
      <c r="K34" s="51"/>
      <c r="L34" s="49" t="s">
        <v>3</v>
      </c>
      <c r="M34" s="49" t="s">
        <v>3</v>
      </c>
      <c r="N34" s="49" t="s">
        <v>3</v>
      </c>
      <c r="O34" s="49" t="s">
        <v>8</v>
      </c>
      <c r="P34" s="49" t="s">
        <v>3</v>
      </c>
      <c r="Q34" s="110">
        <v>40436</v>
      </c>
      <c r="R34" s="110">
        <v>40439</v>
      </c>
      <c r="S34" s="111">
        <v>40436</v>
      </c>
      <c r="T34" s="112">
        <v>40439</v>
      </c>
    </row>
    <row r="35" spans="1:190" ht="17.25" customHeight="1">
      <c r="A35" s="406"/>
      <c r="B35" s="101" t="s">
        <v>87</v>
      </c>
      <c r="C35" s="101" t="str">
        <f>C34</f>
        <v>S1122</v>
      </c>
      <c r="D35" s="101" t="s">
        <v>89</v>
      </c>
      <c r="E35" s="337"/>
      <c r="F35" s="408"/>
      <c r="G35" s="353"/>
      <c r="H35" s="372"/>
      <c r="I35" s="46">
        <v>40460</v>
      </c>
      <c r="J35" s="47" t="s">
        <v>90</v>
      </c>
      <c r="K35" s="51"/>
      <c r="L35" s="47">
        <v>40435</v>
      </c>
      <c r="M35" s="47">
        <v>40436</v>
      </c>
      <c r="N35" s="47">
        <v>40436</v>
      </c>
      <c r="O35" s="47"/>
      <c r="P35" s="47">
        <v>40436</v>
      </c>
      <c r="Q35" s="110">
        <v>40436</v>
      </c>
      <c r="R35" s="110">
        <v>40440</v>
      </c>
      <c r="S35" s="111">
        <v>40436</v>
      </c>
      <c r="T35" s="112">
        <v>40440</v>
      </c>
    </row>
    <row r="36" spans="1:190" ht="17.25" customHeight="1">
      <c r="A36" s="404">
        <v>15</v>
      </c>
      <c r="B36" s="101" t="s">
        <v>119</v>
      </c>
      <c r="C36" s="101" t="s">
        <v>111</v>
      </c>
      <c r="D36" s="101" t="s">
        <v>145</v>
      </c>
      <c r="E36" s="336" t="s">
        <v>33</v>
      </c>
      <c r="F36" s="407">
        <v>77</v>
      </c>
      <c r="G36" s="352" t="s">
        <v>52</v>
      </c>
      <c r="H36" s="70" t="s">
        <v>17</v>
      </c>
      <c r="I36" s="46">
        <v>40473</v>
      </c>
      <c r="J36" s="47">
        <v>40449</v>
      </c>
      <c r="K36" s="69"/>
      <c r="L36" s="49" t="s">
        <v>3</v>
      </c>
      <c r="M36" s="49" t="s">
        <v>3</v>
      </c>
      <c r="N36" s="49" t="s">
        <v>3</v>
      </c>
      <c r="O36" s="49" t="s">
        <v>8</v>
      </c>
      <c r="P36" s="49" t="s">
        <v>8</v>
      </c>
      <c r="Q36" s="46">
        <v>40437</v>
      </c>
      <c r="R36" s="46">
        <v>40439</v>
      </c>
      <c r="S36" s="105">
        <v>40437</v>
      </c>
      <c r="T36" s="106">
        <v>40446</v>
      </c>
      <c r="U36" s="13"/>
      <c r="V36" s="13"/>
      <c r="W36" s="13"/>
      <c r="X36" s="13"/>
      <c r="Y36" s="14"/>
      <c r="Z36" s="15"/>
      <c r="AA36" s="13"/>
      <c r="AB36" s="13"/>
      <c r="AC36" s="13"/>
      <c r="AD36" s="13"/>
      <c r="AE36" s="13"/>
      <c r="AF36" s="14"/>
      <c r="AG36" s="15"/>
      <c r="AH36" s="13"/>
      <c r="AI36" s="13"/>
      <c r="AJ36" s="13"/>
      <c r="AK36" s="13"/>
      <c r="AL36" s="13"/>
      <c r="AM36" s="14"/>
      <c r="AN36" s="15"/>
      <c r="AO36" s="13"/>
      <c r="AP36" s="15"/>
      <c r="AQ36" s="13"/>
      <c r="AR36" s="13"/>
      <c r="AS36" s="13"/>
      <c r="AT36" s="14"/>
      <c r="AU36" s="15"/>
      <c r="AV36" s="13"/>
      <c r="AW36" s="13"/>
      <c r="AX36" s="13"/>
      <c r="AY36" s="13"/>
      <c r="AZ36" s="13"/>
      <c r="BA36" s="14"/>
      <c r="BB36" s="15"/>
      <c r="BC36" s="13"/>
      <c r="BD36" s="13"/>
      <c r="BE36" s="13"/>
      <c r="BF36" s="13"/>
      <c r="BG36" s="13"/>
      <c r="BH36" s="14"/>
      <c r="BI36" s="15"/>
      <c r="BJ36" s="13"/>
      <c r="BK36" s="13"/>
      <c r="BL36" s="13"/>
      <c r="BM36" s="13"/>
      <c r="BN36" s="13"/>
      <c r="BO36" s="14"/>
      <c r="BP36" s="15"/>
      <c r="BQ36" s="13"/>
      <c r="BR36" s="13"/>
      <c r="BS36" s="13"/>
      <c r="BT36" s="13"/>
      <c r="BU36" s="13"/>
      <c r="BV36" s="14"/>
      <c r="BW36" s="15"/>
      <c r="BX36" s="13"/>
      <c r="BY36" s="13"/>
      <c r="BZ36" s="13"/>
      <c r="CA36" s="13"/>
      <c r="CB36" s="13"/>
      <c r="CC36" s="14"/>
      <c r="CD36" s="15"/>
      <c r="CE36" s="13"/>
      <c r="CF36" s="13"/>
      <c r="CG36" s="13"/>
      <c r="CH36" s="13"/>
      <c r="CI36" s="13"/>
      <c r="CJ36" s="14"/>
      <c r="CK36" s="15"/>
      <c r="CL36" s="13"/>
      <c r="CM36" s="13"/>
      <c r="CN36" s="13"/>
      <c r="CO36" s="13"/>
      <c r="CP36" s="13"/>
      <c r="CQ36" s="14"/>
      <c r="CR36" s="15"/>
      <c r="CS36" s="13"/>
      <c r="CT36" s="13"/>
      <c r="CU36" s="13"/>
      <c r="CV36" s="13"/>
      <c r="CW36" s="13"/>
      <c r="CX36" s="14"/>
      <c r="CY36" s="13"/>
      <c r="CZ36" s="13"/>
      <c r="DA36" s="14"/>
      <c r="DB36" s="15"/>
      <c r="DC36" s="13"/>
      <c r="DD36" s="13"/>
      <c r="DE36" s="13"/>
      <c r="DF36" s="13"/>
      <c r="DG36" s="13"/>
      <c r="DH36" s="14"/>
      <c r="DI36" s="15"/>
      <c r="DJ36" s="13"/>
      <c r="DK36" s="13"/>
      <c r="DL36" s="15"/>
      <c r="DM36" s="13"/>
      <c r="DN36" s="13"/>
      <c r="DO36" s="13"/>
      <c r="DP36" s="13"/>
      <c r="DQ36" s="13"/>
      <c r="DR36" s="14"/>
      <c r="DS36" s="15"/>
      <c r="DT36" s="13"/>
      <c r="DU36" s="13"/>
      <c r="DV36" s="13"/>
      <c r="DW36" s="13"/>
      <c r="DX36" s="13"/>
      <c r="DY36" s="14"/>
      <c r="DZ36" s="15"/>
      <c r="EA36" s="13"/>
      <c r="EB36" s="13"/>
      <c r="EC36" s="25"/>
      <c r="ED36" s="13"/>
      <c r="EE36" s="13"/>
      <c r="EF36" s="14"/>
      <c r="EG36" s="15"/>
      <c r="EH36" s="13"/>
      <c r="EI36" s="13"/>
      <c r="EJ36" s="13"/>
      <c r="EK36" s="13"/>
      <c r="EL36" s="13"/>
      <c r="EM36" s="14"/>
      <c r="EN36" s="15"/>
      <c r="EO36" s="13"/>
      <c r="EP36" s="13"/>
      <c r="EQ36" s="13"/>
      <c r="ER36" s="13"/>
      <c r="ES36" s="13"/>
      <c r="ET36" s="23"/>
      <c r="EU36" s="23"/>
      <c r="EV36" s="14"/>
      <c r="EW36" s="15"/>
      <c r="EX36" s="23"/>
      <c r="EY36" s="23"/>
      <c r="EZ36" s="23"/>
      <c r="FA36" s="23"/>
      <c r="FB36" s="23"/>
      <c r="FC36" s="24"/>
      <c r="FD36" s="22"/>
      <c r="FE36" s="23"/>
      <c r="FF36" s="23"/>
      <c r="FG36" s="23"/>
      <c r="FH36" s="23"/>
      <c r="FI36" s="23"/>
      <c r="FJ36" s="24"/>
      <c r="FK36" s="22"/>
      <c r="FL36" s="23"/>
      <c r="FM36" s="23"/>
      <c r="FN36" s="23"/>
      <c r="FO36" s="23"/>
      <c r="FP36" s="23"/>
      <c r="FQ36" s="24"/>
      <c r="FR36" s="22"/>
      <c r="FS36" s="23"/>
      <c r="FT36" s="23"/>
      <c r="FU36" s="23"/>
      <c r="FV36" s="23"/>
      <c r="FW36" s="23"/>
      <c r="FX36" s="24"/>
      <c r="FY36" s="22"/>
      <c r="FZ36" s="23"/>
      <c r="GA36" s="23"/>
      <c r="GB36" s="23"/>
      <c r="GC36" s="23"/>
      <c r="GD36" s="23"/>
      <c r="GE36" s="24"/>
      <c r="GF36" s="22"/>
      <c r="GG36" s="23"/>
      <c r="GH36" s="23"/>
    </row>
    <row r="37" spans="1:190" ht="17.25" customHeight="1">
      <c r="A37" s="404"/>
      <c r="B37" s="101" t="s">
        <v>119</v>
      </c>
      <c r="C37" s="101" t="str">
        <f>C36</f>
        <v>1755</v>
      </c>
      <c r="D37" s="101" t="s">
        <v>146</v>
      </c>
      <c r="E37" s="337"/>
      <c r="F37" s="408"/>
      <c r="G37" s="353"/>
      <c r="H37" s="50" t="s">
        <v>233</v>
      </c>
      <c r="I37" s="46">
        <v>40464</v>
      </c>
      <c r="J37" s="47" t="s">
        <v>51</v>
      </c>
      <c r="K37" s="69"/>
      <c r="L37" s="47">
        <v>40436</v>
      </c>
      <c r="M37" s="47">
        <v>40437</v>
      </c>
      <c r="N37" s="46">
        <v>40435</v>
      </c>
      <c r="O37" s="47"/>
      <c r="P37" s="46"/>
      <c r="Q37" s="46">
        <v>40437</v>
      </c>
      <c r="R37" s="46">
        <v>40439</v>
      </c>
      <c r="S37" s="105">
        <v>40437</v>
      </c>
      <c r="T37" s="106">
        <v>40446</v>
      </c>
      <c r="U37" s="13"/>
      <c r="V37" s="13"/>
      <c r="W37" s="13"/>
      <c r="X37" s="13"/>
      <c r="Y37" s="14"/>
      <c r="Z37" s="15"/>
      <c r="AA37" s="13"/>
      <c r="AB37" s="13"/>
      <c r="AC37" s="13"/>
      <c r="AD37" s="13"/>
      <c r="AE37" s="13"/>
      <c r="AF37" s="14"/>
      <c r="AG37" s="15"/>
      <c r="AH37" s="13"/>
      <c r="AI37" s="13"/>
      <c r="AJ37" s="13"/>
      <c r="AK37" s="13"/>
      <c r="AL37" s="13"/>
      <c r="AM37" s="14"/>
      <c r="AN37" s="15"/>
      <c r="AO37" s="13"/>
      <c r="AP37" s="15"/>
      <c r="AQ37" s="13"/>
      <c r="AR37" s="13"/>
      <c r="AS37" s="13"/>
      <c r="AT37" s="14"/>
      <c r="AU37" s="15"/>
      <c r="AV37" s="13"/>
      <c r="AW37" s="13"/>
      <c r="AX37" s="13"/>
      <c r="AY37" s="13"/>
      <c r="AZ37" s="13"/>
      <c r="BA37" s="14"/>
      <c r="BB37" s="15"/>
      <c r="BC37" s="13"/>
      <c r="BD37" s="13"/>
      <c r="BE37" s="13"/>
      <c r="BF37" s="13"/>
      <c r="BG37" s="13"/>
      <c r="BH37" s="14"/>
      <c r="BI37" s="15"/>
      <c r="BJ37" s="13"/>
      <c r="BK37" s="13"/>
      <c r="BL37" s="13"/>
      <c r="BM37" s="13"/>
      <c r="BN37" s="13"/>
      <c r="BO37" s="14"/>
      <c r="BP37" s="15"/>
      <c r="BQ37" s="13"/>
      <c r="BR37" s="13"/>
      <c r="BS37" s="13"/>
      <c r="BT37" s="13"/>
      <c r="BU37" s="13"/>
      <c r="BV37" s="14"/>
      <c r="BW37" s="15"/>
      <c r="BX37" s="13"/>
      <c r="BY37" s="13"/>
      <c r="BZ37" s="13"/>
      <c r="CA37" s="13"/>
      <c r="CB37" s="13"/>
      <c r="CC37" s="14"/>
      <c r="CD37" s="15"/>
      <c r="CE37" s="13"/>
      <c r="CF37" s="13"/>
      <c r="CG37" s="13"/>
      <c r="CH37" s="13"/>
      <c r="CI37" s="13"/>
      <c r="CJ37" s="14"/>
      <c r="CK37" s="15"/>
      <c r="CL37" s="13"/>
      <c r="CM37" s="13"/>
      <c r="CN37" s="13"/>
      <c r="CO37" s="13"/>
      <c r="CP37" s="13"/>
      <c r="CQ37" s="14"/>
      <c r="CR37" s="15"/>
      <c r="CS37" s="13"/>
      <c r="CT37" s="13"/>
      <c r="CU37" s="13"/>
      <c r="CV37" s="13"/>
      <c r="CW37" s="13"/>
      <c r="CX37" s="14"/>
      <c r="CY37" s="13"/>
      <c r="CZ37" s="13"/>
      <c r="DA37" s="14"/>
      <c r="DB37" s="15"/>
      <c r="DC37" s="13"/>
      <c r="DD37" s="13"/>
      <c r="DE37" s="13"/>
      <c r="DF37" s="13"/>
      <c r="DG37" s="13"/>
      <c r="DH37" s="14"/>
      <c r="DI37" s="15"/>
      <c r="DJ37" s="13"/>
      <c r="DK37" s="13"/>
      <c r="DL37" s="15"/>
      <c r="DM37" s="13"/>
      <c r="DN37" s="13"/>
      <c r="DO37" s="13"/>
      <c r="DP37" s="13"/>
      <c r="DQ37" s="13"/>
      <c r="DR37" s="14"/>
      <c r="DS37" s="15"/>
      <c r="DT37" s="13"/>
      <c r="DU37" s="13"/>
      <c r="DV37" s="13"/>
      <c r="DW37" s="13"/>
      <c r="DX37" s="13"/>
      <c r="DY37" s="14"/>
      <c r="DZ37" s="15"/>
      <c r="EA37" s="13"/>
      <c r="EB37" s="13"/>
      <c r="EC37" s="25"/>
      <c r="ED37" s="13"/>
      <c r="EE37" s="13"/>
      <c r="EF37" s="14"/>
      <c r="EG37" s="15"/>
      <c r="EH37" s="13"/>
      <c r="EI37" s="13"/>
      <c r="EJ37" s="13"/>
      <c r="EK37" s="13"/>
      <c r="EL37" s="13"/>
      <c r="EM37" s="14"/>
      <c r="EN37" s="15"/>
      <c r="EO37" s="13"/>
      <c r="EP37" s="13"/>
      <c r="EQ37" s="13"/>
      <c r="ER37" s="13"/>
      <c r="ES37" s="13"/>
      <c r="ET37" s="23"/>
      <c r="EU37" s="23"/>
      <c r="EV37" s="14"/>
      <c r="EW37" s="15"/>
      <c r="EX37" s="23"/>
      <c r="EY37" s="23"/>
      <c r="EZ37" s="23"/>
      <c r="FA37" s="23"/>
      <c r="FB37" s="23"/>
      <c r="FC37" s="24"/>
      <c r="FD37" s="22"/>
      <c r="FE37" s="23"/>
      <c r="FF37" s="23"/>
      <c r="FG37" s="23"/>
      <c r="FH37" s="23"/>
      <c r="FI37" s="23"/>
      <c r="FJ37" s="24"/>
      <c r="FK37" s="22"/>
      <c r="FL37" s="23"/>
      <c r="FM37" s="23"/>
      <c r="FN37" s="23"/>
      <c r="FO37" s="23"/>
      <c r="FP37" s="23"/>
      <c r="FQ37" s="24"/>
      <c r="FR37" s="22"/>
      <c r="FS37" s="23"/>
      <c r="FT37" s="23"/>
      <c r="FU37" s="23"/>
      <c r="FV37" s="23"/>
      <c r="FW37" s="23"/>
      <c r="FX37" s="24"/>
      <c r="FY37" s="22"/>
      <c r="FZ37" s="23"/>
      <c r="GA37" s="23"/>
      <c r="GB37" s="23"/>
      <c r="GC37" s="23"/>
      <c r="GD37" s="23"/>
      <c r="GE37" s="24"/>
      <c r="GF37" s="22"/>
      <c r="GG37" s="23"/>
      <c r="GH37" s="23"/>
    </row>
    <row r="38" spans="1:190" ht="17.25" customHeight="1">
      <c r="A38" s="404">
        <v>16</v>
      </c>
      <c r="B38" s="101" t="s">
        <v>128</v>
      </c>
      <c r="C38" s="101" t="s">
        <v>147</v>
      </c>
      <c r="D38" s="101" t="s">
        <v>148</v>
      </c>
      <c r="E38" s="336" t="s">
        <v>151</v>
      </c>
      <c r="F38" s="407">
        <v>148</v>
      </c>
      <c r="G38" s="352" t="s">
        <v>150</v>
      </c>
      <c r="H38" s="70" t="s">
        <v>17</v>
      </c>
      <c r="I38" s="46">
        <v>40486</v>
      </c>
      <c r="J38" s="47">
        <v>40450</v>
      </c>
      <c r="K38" s="69"/>
      <c r="L38" s="49" t="s">
        <v>3</v>
      </c>
      <c r="M38" s="49" t="s">
        <v>3</v>
      </c>
      <c r="N38" s="49" t="s">
        <v>8</v>
      </c>
      <c r="O38" s="49" t="s">
        <v>8</v>
      </c>
      <c r="P38" s="49" t="s">
        <v>8</v>
      </c>
      <c r="Q38" s="46">
        <v>40438</v>
      </c>
      <c r="R38" s="46">
        <v>40440</v>
      </c>
      <c r="S38" s="105">
        <v>40438</v>
      </c>
      <c r="T38" s="106">
        <v>40448</v>
      </c>
      <c r="U38" s="13"/>
      <c r="V38" s="13"/>
      <c r="W38" s="13"/>
      <c r="X38" s="13"/>
      <c r="Y38" s="14"/>
      <c r="Z38" s="15"/>
      <c r="AA38" s="13"/>
      <c r="AB38" s="13"/>
      <c r="AC38" s="13"/>
      <c r="AD38" s="13"/>
      <c r="AE38" s="13"/>
      <c r="AF38" s="14"/>
      <c r="AG38" s="15"/>
      <c r="AH38" s="13"/>
      <c r="AI38" s="13"/>
      <c r="AJ38" s="13"/>
      <c r="AK38" s="13"/>
      <c r="AL38" s="13"/>
      <c r="AM38" s="14"/>
      <c r="AN38" s="15"/>
      <c r="AO38" s="13"/>
      <c r="AP38" s="15"/>
      <c r="AQ38" s="13"/>
      <c r="AR38" s="13"/>
      <c r="AS38" s="13"/>
      <c r="AT38" s="14"/>
      <c r="AU38" s="15"/>
      <c r="AV38" s="13"/>
      <c r="AW38" s="13"/>
      <c r="AX38" s="13"/>
      <c r="AY38" s="13"/>
      <c r="AZ38" s="13"/>
      <c r="BA38" s="14"/>
      <c r="BB38" s="15"/>
      <c r="BC38" s="13"/>
      <c r="BD38" s="13"/>
      <c r="BE38" s="13"/>
      <c r="BF38" s="13"/>
      <c r="BG38" s="13"/>
      <c r="BH38" s="14"/>
      <c r="BI38" s="15"/>
      <c r="BJ38" s="13"/>
      <c r="BK38" s="13"/>
      <c r="BL38" s="13"/>
      <c r="BM38" s="13"/>
      <c r="BN38" s="13"/>
      <c r="BO38" s="14"/>
      <c r="BP38" s="15"/>
      <c r="BQ38" s="13"/>
      <c r="BR38" s="13"/>
      <c r="BS38" s="13"/>
      <c r="BT38" s="13"/>
      <c r="BU38" s="13"/>
      <c r="BV38" s="14"/>
      <c r="BW38" s="15"/>
      <c r="BX38" s="13"/>
      <c r="BY38" s="13"/>
      <c r="BZ38" s="13"/>
      <c r="CA38" s="13"/>
      <c r="CB38" s="13"/>
      <c r="CC38" s="14"/>
      <c r="CD38" s="15"/>
      <c r="CE38" s="13"/>
      <c r="CF38" s="13"/>
      <c r="CG38" s="13"/>
      <c r="CH38" s="13"/>
      <c r="CI38" s="13"/>
      <c r="CJ38" s="14"/>
      <c r="CK38" s="15"/>
      <c r="CL38" s="13"/>
      <c r="CM38" s="13"/>
      <c r="CN38" s="13"/>
      <c r="CO38" s="13"/>
      <c r="CP38" s="13"/>
      <c r="CQ38" s="14"/>
      <c r="CR38" s="15"/>
      <c r="CS38" s="13"/>
      <c r="CT38" s="13"/>
      <c r="CU38" s="13"/>
      <c r="CV38" s="13"/>
      <c r="CW38" s="13"/>
      <c r="CX38" s="14"/>
      <c r="CY38" s="13"/>
      <c r="CZ38" s="13"/>
      <c r="DA38" s="14"/>
      <c r="DB38" s="15"/>
      <c r="DC38" s="13"/>
      <c r="DD38" s="13"/>
      <c r="DE38" s="13"/>
      <c r="DF38" s="13"/>
      <c r="DG38" s="13"/>
      <c r="DH38" s="14"/>
      <c r="DI38" s="15"/>
      <c r="DJ38" s="13"/>
      <c r="DK38" s="13"/>
      <c r="DL38" s="15"/>
      <c r="DM38" s="13"/>
      <c r="DN38" s="13"/>
      <c r="DO38" s="13"/>
      <c r="DP38" s="13"/>
      <c r="DQ38" s="13"/>
      <c r="DR38" s="14"/>
      <c r="DS38" s="15"/>
      <c r="DT38" s="13"/>
      <c r="DU38" s="13"/>
      <c r="DV38" s="13"/>
      <c r="DW38" s="13"/>
      <c r="DX38" s="13"/>
      <c r="DY38" s="14"/>
      <c r="DZ38" s="15"/>
      <c r="EA38" s="13"/>
      <c r="EB38" s="13"/>
      <c r="EC38" s="25"/>
      <c r="ED38" s="13"/>
      <c r="EE38" s="13"/>
      <c r="EF38" s="14"/>
      <c r="EG38" s="15"/>
      <c r="EH38" s="13"/>
      <c r="EI38" s="13"/>
      <c r="EJ38" s="13"/>
      <c r="EK38" s="13"/>
      <c r="EL38" s="13"/>
      <c r="EM38" s="14"/>
      <c r="EN38" s="15"/>
      <c r="EO38" s="13"/>
      <c r="EP38" s="13"/>
      <c r="EQ38" s="13"/>
      <c r="ER38" s="13"/>
      <c r="ES38" s="13"/>
      <c r="ET38" s="23"/>
      <c r="EU38" s="23"/>
      <c r="EV38" s="14"/>
      <c r="EW38" s="15"/>
      <c r="EX38" s="23"/>
      <c r="EY38" s="23"/>
      <c r="EZ38" s="23"/>
      <c r="FA38" s="23"/>
      <c r="FB38" s="23"/>
      <c r="FC38" s="24"/>
      <c r="FD38" s="22"/>
      <c r="FE38" s="23"/>
      <c r="FF38" s="23"/>
      <c r="FG38" s="23"/>
      <c r="FH38" s="23"/>
      <c r="FI38" s="23"/>
      <c r="FJ38" s="24"/>
      <c r="FK38" s="22"/>
      <c r="FL38" s="23"/>
      <c r="FM38" s="23"/>
      <c r="FN38" s="23"/>
      <c r="FO38" s="23"/>
      <c r="FP38" s="23"/>
      <c r="FQ38" s="24"/>
      <c r="FR38" s="22"/>
      <c r="FS38" s="23"/>
      <c r="FT38" s="23"/>
      <c r="FU38" s="23"/>
      <c r="FV38" s="23"/>
      <c r="FW38" s="23"/>
      <c r="FX38" s="24"/>
      <c r="FY38" s="22"/>
      <c r="FZ38" s="23"/>
      <c r="GA38" s="23"/>
      <c r="GB38" s="23"/>
      <c r="GC38" s="23"/>
      <c r="GD38" s="23"/>
      <c r="GE38" s="24"/>
      <c r="GF38" s="22"/>
      <c r="GG38" s="23"/>
      <c r="GH38" s="23"/>
    </row>
    <row r="39" spans="1:190" ht="17.25" customHeight="1">
      <c r="A39" s="404"/>
      <c r="B39" s="101" t="s">
        <v>128</v>
      </c>
      <c r="C39" s="101" t="s">
        <v>147</v>
      </c>
      <c r="D39" s="101" t="s">
        <v>149</v>
      </c>
      <c r="E39" s="337"/>
      <c r="F39" s="408"/>
      <c r="G39" s="353"/>
      <c r="H39" s="50" t="s">
        <v>233</v>
      </c>
      <c r="I39" s="46">
        <v>40466</v>
      </c>
      <c r="J39" s="47" t="s">
        <v>118</v>
      </c>
      <c r="K39" s="69"/>
      <c r="L39" s="47">
        <v>40436</v>
      </c>
      <c r="M39" s="47">
        <v>40436</v>
      </c>
      <c r="N39" s="46"/>
      <c r="O39" s="47"/>
      <c r="P39" s="46"/>
      <c r="Q39" s="46">
        <v>40438</v>
      </c>
      <c r="R39" s="46">
        <v>40441</v>
      </c>
      <c r="S39" s="105">
        <v>40438</v>
      </c>
      <c r="T39" s="106">
        <v>40448</v>
      </c>
      <c r="U39" s="13"/>
      <c r="V39" s="13"/>
      <c r="W39" s="13"/>
      <c r="X39" s="13"/>
      <c r="Y39" s="14"/>
      <c r="Z39" s="15"/>
      <c r="AA39" s="13"/>
      <c r="AB39" s="13"/>
      <c r="AC39" s="13"/>
      <c r="AD39" s="13"/>
      <c r="AE39" s="13"/>
      <c r="AF39" s="14"/>
      <c r="AG39" s="15"/>
      <c r="AH39" s="13"/>
      <c r="AI39" s="13"/>
      <c r="AJ39" s="13"/>
      <c r="AK39" s="13"/>
      <c r="AL39" s="13"/>
      <c r="AM39" s="14"/>
      <c r="AN39" s="15"/>
      <c r="AO39" s="13"/>
      <c r="AP39" s="15"/>
      <c r="AQ39" s="13"/>
      <c r="AR39" s="13"/>
      <c r="AS39" s="13"/>
      <c r="AT39" s="14"/>
      <c r="AU39" s="15"/>
      <c r="AV39" s="13"/>
      <c r="AW39" s="13"/>
      <c r="AX39" s="13"/>
      <c r="AY39" s="13"/>
      <c r="AZ39" s="13"/>
      <c r="BA39" s="14"/>
      <c r="BB39" s="15"/>
      <c r="BC39" s="13"/>
      <c r="BD39" s="13"/>
      <c r="BE39" s="13"/>
      <c r="BF39" s="13"/>
      <c r="BG39" s="13"/>
      <c r="BH39" s="14"/>
      <c r="BI39" s="15"/>
      <c r="BJ39" s="13"/>
      <c r="BK39" s="13"/>
      <c r="BL39" s="13"/>
      <c r="BM39" s="13"/>
      <c r="BN39" s="13"/>
      <c r="BO39" s="14"/>
      <c r="BP39" s="15"/>
      <c r="BQ39" s="13"/>
      <c r="BR39" s="13"/>
      <c r="BS39" s="13"/>
      <c r="BT39" s="13"/>
      <c r="BU39" s="13"/>
      <c r="BV39" s="14"/>
      <c r="BW39" s="15"/>
      <c r="BX39" s="13"/>
      <c r="BY39" s="13"/>
      <c r="BZ39" s="13"/>
      <c r="CA39" s="13"/>
      <c r="CB39" s="13"/>
      <c r="CC39" s="14"/>
      <c r="CD39" s="15"/>
      <c r="CE39" s="13"/>
      <c r="CF39" s="13"/>
      <c r="CG39" s="13"/>
      <c r="CH39" s="13"/>
      <c r="CI39" s="13"/>
      <c r="CJ39" s="14"/>
      <c r="CK39" s="15"/>
      <c r="CL39" s="13"/>
      <c r="CM39" s="13"/>
      <c r="CN39" s="13"/>
      <c r="CO39" s="13"/>
      <c r="CP39" s="13"/>
      <c r="CQ39" s="14"/>
      <c r="CR39" s="15"/>
      <c r="CS39" s="13"/>
      <c r="CT39" s="13"/>
      <c r="CU39" s="13"/>
      <c r="CV39" s="13"/>
      <c r="CW39" s="13"/>
      <c r="CX39" s="14"/>
      <c r="CY39" s="13"/>
      <c r="CZ39" s="13"/>
      <c r="DA39" s="14"/>
      <c r="DB39" s="15"/>
      <c r="DC39" s="13"/>
      <c r="DD39" s="13"/>
      <c r="DE39" s="13"/>
      <c r="DF39" s="13"/>
      <c r="DG39" s="13"/>
      <c r="DH39" s="14"/>
      <c r="DI39" s="15"/>
      <c r="DJ39" s="13"/>
      <c r="DK39" s="13"/>
      <c r="DL39" s="15"/>
      <c r="DM39" s="13"/>
      <c r="DN39" s="13"/>
      <c r="DO39" s="13"/>
      <c r="DP39" s="13"/>
      <c r="DQ39" s="13"/>
      <c r="DR39" s="14"/>
      <c r="DS39" s="15"/>
      <c r="DT39" s="13"/>
      <c r="DU39" s="13"/>
      <c r="DV39" s="13"/>
      <c r="DW39" s="13"/>
      <c r="DX39" s="13"/>
      <c r="DY39" s="14"/>
      <c r="DZ39" s="15"/>
      <c r="EA39" s="13"/>
      <c r="EB39" s="13"/>
      <c r="EC39" s="25"/>
      <c r="ED39" s="13"/>
      <c r="EE39" s="13"/>
      <c r="EF39" s="14"/>
      <c r="EG39" s="15"/>
      <c r="EH39" s="13"/>
      <c r="EI39" s="13"/>
      <c r="EJ39" s="13"/>
      <c r="EK39" s="13"/>
      <c r="EL39" s="13"/>
      <c r="EM39" s="14"/>
      <c r="EN39" s="15"/>
      <c r="EO39" s="13"/>
      <c r="EP39" s="13"/>
      <c r="EQ39" s="13"/>
      <c r="ER39" s="13"/>
      <c r="ES39" s="13"/>
      <c r="ET39" s="23"/>
      <c r="EU39" s="23"/>
      <c r="EV39" s="14"/>
      <c r="EW39" s="15"/>
      <c r="EX39" s="23"/>
      <c r="EY39" s="23"/>
      <c r="EZ39" s="23"/>
      <c r="FA39" s="23"/>
      <c r="FB39" s="23"/>
      <c r="FC39" s="24"/>
      <c r="FD39" s="22"/>
      <c r="FE39" s="23"/>
      <c r="FF39" s="23"/>
      <c r="FG39" s="23"/>
      <c r="FH39" s="23"/>
      <c r="FI39" s="23"/>
      <c r="FJ39" s="24"/>
      <c r="FK39" s="22"/>
      <c r="FL39" s="23"/>
      <c r="FM39" s="23"/>
      <c r="FN39" s="23"/>
      <c r="FO39" s="23"/>
      <c r="FP39" s="23"/>
      <c r="FQ39" s="24"/>
      <c r="FR39" s="22"/>
      <c r="FS39" s="23"/>
      <c r="FT39" s="23"/>
      <c r="FU39" s="23"/>
      <c r="FV39" s="23"/>
      <c r="FW39" s="23"/>
      <c r="FX39" s="24"/>
      <c r="FY39" s="22"/>
      <c r="FZ39" s="23"/>
      <c r="GA39" s="23"/>
      <c r="GB39" s="23"/>
      <c r="GC39" s="23"/>
      <c r="GD39" s="23"/>
      <c r="GE39" s="24"/>
      <c r="GF39" s="22"/>
      <c r="GG39" s="23"/>
      <c r="GH39" s="23"/>
    </row>
    <row r="40" spans="1:190" ht="17.25" customHeight="1">
      <c r="A40" s="404">
        <v>17</v>
      </c>
      <c r="B40" s="101" t="s">
        <v>25</v>
      </c>
      <c r="C40" s="101" t="s">
        <v>188</v>
      </c>
      <c r="D40" s="101" t="s">
        <v>190</v>
      </c>
      <c r="E40" s="336" t="s">
        <v>33</v>
      </c>
      <c r="F40" s="407">
        <v>81</v>
      </c>
      <c r="G40" s="352" t="s">
        <v>52</v>
      </c>
      <c r="H40" s="70" t="s">
        <v>17</v>
      </c>
      <c r="I40" s="46">
        <v>40469</v>
      </c>
      <c r="J40" s="47">
        <v>40441</v>
      </c>
      <c r="K40" s="69"/>
      <c r="L40" s="49" t="s">
        <v>3</v>
      </c>
      <c r="M40" s="49" t="s">
        <v>3</v>
      </c>
      <c r="N40" s="49" t="s">
        <v>3</v>
      </c>
      <c r="O40" s="49" t="s">
        <v>8</v>
      </c>
      <c r="P40" s="49" t="s">
        <v>3</v>
      </c>
      <c r="Q40" s="46">
        <v>40439</v>
      </c>
      <c r="R40" s="46">
        <v>40441</v>
      </c>
      <c r="S40" s="111">
        <v>40439</v>
      </c>
      <c r="T40" s="112">
        <v>40447</v>
      </c>
      <c r="U40" s="13"/>
      <c r="V40" s="13"/>
      <c r="W40" s="13"/>
      <c r="X40" s="13"/>
      <c r="Y40" s="14"/>
      <c r="Z40" s="15"/>
      <c r="AA40" s="13"/>
      <c r="AB40" s="13"/>
      <c r="AC40" s="13"/>
      <c r="AD40" s="13"/>
      <c r="AE40" s="13"/>
      <c r="AF40" s="14"/>
      <c r="AG40" s="15"/>
      <c r="AH40" s="13"/>
      <c r="AI40" s="13"/>
      <c r="AJ40" s="13"/>
      <c r="AK40" s="13"/>
      <c r="AL40" s="13"/>
      <c r="AM40" s="14"/>
      <c r="AN40" s="15"/>
      <c r="AO40" s="13"/>
      <c r="AP40" s="15"/>
      <c r="AQ40" s="13"/>
      <c r="AR40" s="13"/>
      <c r="AS40" s="13"/>
      <c r="AT40" s="14"/>
      <c r="AU40" s="15"/>
      <c r="AV40" s="13"/>
      <c r="AW40" s="13"/>
      <c r="AX40" s="13"/>
      <c r="AY40" s="13"/>
      <c r="AZ40" s="13"/>
      <c r="BA40" s="14"/>
      <c r="BB40" s="15"/>
      <c r="BC40" s="13"/>
      <c r="BD40" s="13"/>
      <c r="BE40" s="13"/>
      <c r="BF40" s="13"/>
      <c r="BG40" s="13"/>
      <c r="BH40" s="14"/>
      <c r="BI40" s="15"/>
      <c r="BJ40" s="13"/>
      <c r="BK40" s="13"/>
      <c r="BL40" s="13"/>
      <c r="BM40" s="13"/>
      <c r="BN40" s="13"/>
      <c r="BO40" s="14"/>
      <c r="BP40" s="15"/>
      <c r="BQ40" s="13"/>
      <c r="BR40" s="13"/>
      <c r="BS40" s="13"/>
      <c r="BT40" s="13"/>
      <c r="BU40" s="13"/>
      <c r="BV40" s="14"/>
      <c r="BW40" s="15"/>
      <c r="BX40" s="13"/>
      <c r="BY40" s="13"/>
      <c r="BZ40" s="13"/>
      <c r="CA40" s="13"/>
      <c r="CB40" s="13"/>
      <c r="CC40" s="14"/>
      <c r="CD40" s="15"/>
      <c r="CE40" s="13"/>
      <c r="CF40" s="13"/>
      <c r="CG40" s="13"/>
      <c r="CH40" s="13"/>
      <c r="CI40" s="13"/>
      <c r="CJ40" s="14"/>
      <c r="CK40" s="15"/>
      <c r="CL40" s="13"/>
      <c r="CM40" s="13"/>
      <c r="CN40" s="13"/>
      <c r="CO40" s="13"/>
      <c r="CP40" s="13"/>
      <c r="CQ40" s="14"/>
      <c r="CR40" s="15"/>
      <c r="CS40" s="13"/>
      <c r="CT40" s="13"/>
      <c r="CU40" s="13"/>
      <c r="CV40" s="13"/>
      <c r="CW40" s="13"/>
      <c r="CX40" s="14"/>
      <c r="CY40" s="13"/>
      <c r="CZ40" s="13"/>
      <c r="DA40" s="14"/>
      <c r="DB40" s="15"/>
      <c r="DC40" s="13"/>
      <c r="DD40" s="13"/>
      <c r="DE40" s="13"/>
      <c r="DF40" s="13"/>
      <c r="DG40" s="13"/>
      <c r="DH40" s="14"/>
      <c r="DI40" s="15"/>
      <c r="DJ40" s="13"/>
      <c r="DK40" s="13"/>
      <c r="DL40" s="15"/>
      <c r="DM40" s="13"/>
      <c r="DN40" s="13"/>
      <c r="DO40" s="13"/>
      <c r="DP40" s="13"/>
      <c r="DQ40" s="13"/>
      <c r="DR40" s="14"/>
      <c r="DS40" s="15"/>
      <c r="DT40" s="13"/>
      <c r="DU40" s="13"/>
      <c r="DV40" s="13"/>
      <c r="DW40" s="13"/>
      <c r="DX40" s="13"/>
      <c r="DY40" s="14"/>
      <c r="DZ40" s="15"/>
      <c r="EA40" s="13"/>
      <c r="EB40" s="13"/>
      <c r="EC40" s="25"/>
      <c r="ED40" s="13"/>
      <c r="EE40" s="13"/>
      <c r="EF40" s="14"/>
      <c r="EG40" s="15"/>
      <c r="EH40" s="13"/>
      <c r="EI40" s="13"/>
      <c r="EJ40" s="13"/>
      <c r="EK40" s="13"/>
      <c r="EL40" s="13"/>
      <c r="EM40" s="14"/>
      <c r="EN40" s="15"/>
      <c r="EO40" s="13"/>
      <c r="EP40" s="13"/>
      <c r="EQ40" s="13"/>
      <c r="ER40" s="13"/>
      <c r="ES40" s="13"/>
      <c r="ET40" s="23"/>
      <c r="EU40" s="23"/>
      <c r="EV40" s="14"/>
      <c r="EW40" s="15"/>
      <c r="EX40" s="23"/>
      <c r="EY40" s="23"/>
      <c r="EZ40" s="23"/>
      <c r="FA40" s="23"/>
      <c r="FB40" s="23"/>
      <c r="FC40" s="24"/>
      <c r="FD40" s="22"/>
      <c r="FE40" s="23"/>
      <c r="FF40" s="23"/>
      <c r="FG40" s="23"/>
      <c r="FH40" s="23"/>
      <c r="FI40" s="23"/>
      <c r="FJ40" s="24"/>
      <c r="FK40" s="22"/>
      <c r="FL40" s="23"/>
      <c r="FM40" s="23"/>
      <c r="FN40" s="23"/>
      <c r="FO40" s="23"/>
      <c r="FP40" s="23"/>
      <c r="FQ40" s="24"/>
      <c r="FR40" s="22"/>
      <c r="FS40" s="23"/>
      <c r="FT40" s="23"/>
      <c r="FU40" s="23"/>
      <c r="FV40" s="23"/>
      <c r="FW40" s="23"/>
      <c r="FX40" s="24"/>
      <c r="FY40" s="22"/>
      <c r="FZ40" s="23"/>
      <c r="GA40" s="23"/>
      <c r="GB40" s="23"/>
      <c r="GC40" s="23"/>
      <c r="GD40" s="23"/>
      <c r="GE40" s="24"/>
      <c r="GF40" s="22"/>
      <c r="GG40" s="23"/>
      <c r="GH40" s="23"/>
    </row>
    <row r="41" spans="1:190" ht="17.25" customHeight="1">
      <c r="A41" s="404"/>
      <c r="B41" s="101" t="s">
        <v>25</v>
      </c>
      <c r="C41" s="101" t="s">
        <v>188</v>
      </c>
      <c r="D41" s="101" t="s">
        <v>189</v>
      </c>
      <c r="E41" s="337"/>
      <c r="F41" s="408"/>
      <c r="G41" s="353"/>
      <c r="H41" s="50" t="s">
        <v>246</v>
      </c>
      <c r="I41" s="46">
        <v>40466</v>
      </c>
      <c r="J41" s="47" t="s">
        <v>51</v>
      </c>
      <c r="K41" s="69"/>
      <c r="L41" s="47">
        <v>40435</v>
      </c>
      <c r="M41" s="47">
        <v>40439</v>
      </c>
      <c r="N41" s="46">
        <v>40437</v>
      </c>
      <c r="O41" s="47"/>
      <c r="P41" s="46">
        <v>40448</v>
      </c>
      <c r="Q41" s="46">
        <v>40439</v>
      </c>
      <c r="R41" s="46">
        <v>40446</v>
      </c>
      <c r="S41" s="111">
        <v>40439</v>
      </c>
      <c r="T41" s="112">
        <v>40447</v>
      </c>
      <c r="U41" s="13"/>
      <c r="V41" s="13"/>
      <c r="W41" s="13"/>
      <c r="X41" s="13"/>
      <c r="Y41" s="14"/>
      <c r="Z41" s="15"/>
      <c r="AA41" s="13"/>
      <c r="AB41" s="13"/>
      <c r="AC41" s="13"/>
      <c r="AD41" s="13"/>
      <c r="AE41" s="13"/>
      <c r="AF41" s="14"/>
      <c r="AG41" s="15"/>
      <c r="AH41" s="13"/>
      <c r="AI41" s="13"/>
      <c r="AJ41" s="13"/>
      <c r="AK41" s="13"/>
      <c r="AL41" s="13"/>
      <c r="AM41" s="14"/>
      <c r="AN41" s="15"/>
      <c r="AO41" s="13"/>
      <c r="AP41" s="15"/>
      <c r="AQ41" s="13"/>
      <c r="AR41" s="13"/>
      <c r="AS41" s="13"/>
      <c r="AT41" s="14"/>
      <c r="AU41" s="15"/>
      <c r="AV41" s="13"/>
      <c r="AW41" s="13"/>
      <c r="AX41" s="13"/>
      <c r="AY41" s="13"/>
      <c r="AZ41" s="13"/>
      <c r="BA41" s="14"/>
      <c r="BB41" s="15"/>
      <c r="BC41" s="13"/>
      <c r="BD41" s="13"/>
      <c r="BE41" s="13"/>
      <c r="BF41" s="13"/>
      <c r="BG41" s="13"/>
      <c r="BH41" s="14"/>
      <c r="BI41" s="15"/>
      <c r="BJ41" s="13"/>
      <c r="BK41" s="13"/>
      <c r="BL41" s="13"/>
      <c r="BM41" s="13"/>
      <c r="BN41" s="13"/>
      <c r="BO41" s="14"/>
      <c r="BP41" s="15"/>
      <c r="BQ41" s="13"/>
      <c r="BR41" s="13"/>
      <c r="BS41" s="13"/>
      <c r="BT41" s="13"/>
      <c r="BU41" s="13"/>
      <c r="BV41" s="14"/>
      <c r="BW41" s="15"/>
      <c r="BX41" s="13"/>
      <c r="BY41" s="13"/>
      <c r="BZ41" s="13"/>
      <c r="CA41" s="13"/>
      <c r="CB41" s="13"/>
      <c r="CC41" s="14"/>
      <c r="CD41" s="15"/>
      <c r="CE41" s="13"/>
      <c r="CF41" s="13"/>
      <c r="CG41" s="13"/>
      <c r="CH41" s="13"/>
      <c r="CI41" s="13"/>
      <c r="CJ41" s="14"/>
      <c r="CK41" s="15"/>
      <c r="CL41" s="13"/>
      <c r="CM41" s="13"/>
      <c r="CN41" s="13"/>
      <c r="CO41" s="13"/>
      <c r="CP41" s="13"/>
      <c r="CQ41" s="14"/>
      <c r="CR41" s="15"/>
      <c r="CS41" s="13"/>
      <c r="CT41" s="13"/>
      <c r="CU41" s="13"/>
      <c r="CV41" s="13"/>
      <c r="CW41" s="13"/>
      <c r="CX41" s="14"/>
      <c r="CY41" s="13"/>
      <c r="CZ41" s="13"/>
      <c r="DA41" s="14"/>
      <c r="DB41" s="15"/>
      <c r="DC41" s="13"/>
      <c r="DD41" s="13"/>
      <c r="DE41" s="13"/>
      <c r="DF41" s="13"/>
      <c r="DG41" s="13"/>
      <c r="DH41" s="14"/>
      <c r="DI41" s="15"/>
      <c r="DJ41" s="13"/>
      <c r="DK41" s="13"/>
      <c r="DL41" s="15"/>
      <c r="DM41" s="13"/>
      <c r="DN41" s="13"/>
      <c r="DO41" s="13"/>
      <c r="DP41" s="13"/>
      <c r="DQ41" s="13"/>
      <c r="DR41" s="14"/>
      <c r="DS41" s="15"/>
      <c r="DT41" s="13"/>
      <c r="DU41" s="13"/>
      <c r="DV41" s="13"/>
      <c r="DW41" s="13"/>
      <c r="DX41" s="13"/>
      <c r="DY41" s="14"/>
      <c r="DZ41" s="15"/>
      <c r="EA41" s="13"/>
      <c r="EB41" s="13"/>
      <c r="EC41" s="25"/>
      <c r="ED41" s="13"/>
      <c r="EE41" s="13"/>
      <c r="EF41" s="14"/>
      <c r="EG41" s="15"/>
      <c r="EH41" s="13"/>
      <c r="EI41" s="13"/>
      <c r="EJ41" s="13"/>
      <c r="EK41" s="13"/>
      <c r="EL41" s="13"/>
      <c r="EM41" s="14"/>
      <c r="EN41" s="15"/>
      <c r="EO41" s="13"/>
      <c r="EP41" s="13"/>
      <c r="EQ41" s="13"/>
      <c r="ER41" s="13"/>
      <c r="ES41" s="13"/>
      <c r="ET41" s="23"/>
      <c r="EU41" s="23"/>
      <c r="EV41" s="14"/>
      <c r="EW41" s="15"/>
      <c r="EX41" s="23"/>
      <c r="EY41" s="23"/>
      <c r="EZ41" s="23"/>
      <c r="FA41" s="23"/>
      <c r="FB41" s="23"/>
      <c r="FC41" s="24"/>
      <c r="FD41" s="22"/>
      <c r="FE41" s="23"/>
      <c r="FF41" s="23"/>
      <c r="FG41" s="23"/>
      <c r="FH41" s="23"/>
      <c r="FI41" s="23"/>
      <c r="FJ41" s="24"/>
      <c r="FK41" s="22"/>
      <c r="FL41" s="23"/>
      <c r="FM41" s="23"/>
      <c r="FN41" s="23"/>
      <c r="FO41" s="23"/>
      <c r="FP41" s="23"/>
      <c r="FQ41" s="24"/>
      <c r="FR41" s="22"/>
      <c r="FS41" s="23"/>
      <c r="FT41" s="23"/>
      <c r="FU41" s="23"/>
      <c r="FV41" s="23"/>
      <c r="FW41" s="23"/>
      <c r="FX41" s="24"/>
      <c r="FY41" s="22"/>
      <c r="FZ41" s="23"/>
      <c r="GA41" s="23"/>
      <c r="GB41" s="23"/>
      <c r="GC41" s="23"/>
      <c r="GD41" s="23"/>
      <c r="GE41" s="24"/>
      <c r="GF41" s="22"/>
      <c r="GG41" s="23"/>
      <c r="GH41" s="23"/>
    </row>
    <row r="42" spans="1:190" ht="17.25" customHeight="1">
      <c r="A42" s="404">
        <v>18</v>
      </c>
      <c r="B42" s="101" t="s">
        <v>26</v>
      </c>
      <c r="C42" s="101" t="s">
        <v>212</v>
      </c>
      <c r="D42" s="101" t="s">
        <v>213</v>
      </c>
      <c r="E42" s="336" t="s">
        <v>37</v>
      </c>
      <c r="F42" s="407">
        <v>320</v>
      </c>
      <c r="G42" s="352" t="s">
        <v>56</v>
      </c>
      <c r="H42" s="70" t="s">
        <v>17</v>
      </c>
      <c r="I42" s="46">
        <v>40520</v>
      </c>
      <c r="J42" s="47">
        <v>40448</v>
      </c>
      <c r="K42" s="69"/>
      <c r="L42" s="49" t="s">
        <v>3</v>
      </c>
      <c r="M42" s="49" t="s">
        <v>3</v>
      </c>
      <c r="N42" s="49" t="s">
        <v>8</v>
      </c>
      <c r="O42" s="49" t="s">
        <v>8</v>
      </c>
      <c r="P42" s="49" t="s">
        <v>8</v>
      </c>
      <c r="Q42" s="110">
        <v>40440</v>
      </c>
      <c r="R42" s="110">
        <v>40448</v>
      </c>
      <c r="S42" s="111">
        <v>40440</v>
      </c>
      <c r="T42" s="112">
        <v>40448</v>
      </c>
      <c r="U42" s="13"/>
      <c r="V42" s="13"/>
      <c r="W42" s="13"/>
      <c r="X42" s="13"/>
      <c r="Y42" s="14"/>
      <c r="Z42" s="15"/>
      <c r="AA42" s="13"/>
      <c r="AB42" s="13"/>
      <c r="AC42" s="13"/>
      <c r="AD42" s="13"/>
      <c r="AE42" s="13"/>
      <c r="AF42" s="14"/>
      <c r="AG42" s="15"/>
      <c r="AH42" s="13"/>
      <c r="AI42" s="13"/>
      <c r="AJ42" s="13"/>
      <c r="AK42" s="13"/>
      <c r="AL42" s="13"/>
      <c r="AM42" s="14"/>
      <c r="AN42" s="15"/>
      <c r="AO42" s="13"/>
      <c r="AP42" s="15"/>
      <c r="AQ42" s="13"/>
      <c r="AR42" s="13"/>
      <c r="AS42" s="13"/>
      <c r="AT42" s="14"/>
      <c r="AU42" s="15"/>
      <c r="AV42" s="13"/>
      <c r="AW42" s="13"/>
      <c r="AX42" s="13"/>
      <c r="AY42" s="13"/>
      <c r="AZ42" s="13"/>
      <c r="BA42" s="14"/>
      <c r="BB42" s="15"/>
      <c r="BC42" s="13"/>
      <c r="BD42" s="13"/>
      <c r="BE42" s="13"/>
      <c r="BF42" s="13"/>
      <c r="BG42" s="13"/>
      <c r="BH42" s="14"/>
      <c r="BI42" s="15"/>
      <c r="BJ42" s="13"/>
      <c r="BK42" s="13"/>
      <c r="BL42" s="13"/>
      <c r="BM42" s="13"/>
      <c r="BN42" s="13"/>
      <c r="BO42" s="14"/>
      <c r="BP42" s="15"/>
      <c r="BQ42" s="13"/>
      <c r="BR42" s="13"/>
      <c r="BS42" s="13"/>
      <c r="BT42" s="13"/>
      <c r="BU42" s="13"/>
      <c r="BV42" s="14"/>
      <c r="BW42" s="15"/>
      <c r="BX42" s="13"/>
      <c r="BY42" s="13"/>
      <c r="BZ42" s="13"/>
      <c r="CA42" s="13"/>
      <c r="CB42" s="13"/>
      <c r="CC42" s="14"/>
      <c r="CD42" s="15"/>
      <c r="CE42" s="13"/>
      <c r="CF42" s="13"/>
      <c r="CG42" s="13"/>
      <c r="CH42" s="13"/>
      <c r="CI42" s="13"/>
      <c r="CJ42" s="14"/>
      <c r="CK42" s="15"/>
      <c r="CL42" s="13"/>
      <c r="CM42" s="13"/>
      <c r="CN42" s="13"/>
      <c r="CO42" s="13"/>
      <c r="CP42" s="13"/>
      <c r="CQ42" s="14"/>
      <c r="CR42" s="15"/>
      <c r="CS42" s="13"/>
      <c r="CT42" s="13"/>
      <c r="CU42" s="13"/>
      <c r="CV42" s="13"/>
      <c r="CW42" s="13"/>
      <c r="CX42" s="14"/>
      <c r="CY42" s="13"/>
      <c r="CZ42" s="13"/>
      <c r="DA42" s="14"/>
      <c r="DB42" s="15"/>
      <c r="DC42" s="13"/>
      <c r="DD42" s="13"/>
      <c r="DE42" s="13"/>
      <c r="DF42" s="13"/>
      <c r="DG42" s="13"/>
      <c r="DH42" s="14"/>
      <c r="DI42" s="15"/>
      <c r="DJ42" s="13"/>
      <c r="DK42" s="13"/>
      <c r="DL42" s="15"/>
      <c r="DM42" s="13"/>
      <c r="DN42" s="13"/>
      <c r="DO42" s="13"/>
      <c r="DP42" s="13"/>
      <c r="DQ42" s="13"/>
      <c r="DR42" s="14"/>
      <c r="DS42" s="15"/>
      <c r="DT42" s="13"/>
      <c r="DU42" s="13"/>
      <c r="DV42" s="13"/>
      <c r="DW42" s="13"/>
      <c r="DX42" s="13"/>
      <c r="DY42" s="14"/>
      <c r="DZ42" s="15"/>
      <c r="EA42" s="13"/>
      <c r="EB42" s="13"/>
      <c r="EC42" s="25"/>
      <c r="ED42" s="13"/>
      <c r="EE42" s="13"/>
      <c r="EF42" s="14"/>
      <c r="EG42" s="15"/>
      <c r="EH42" s="13"/>
      <c r="EI42" s="13"/>
      <c r="EJ42" s="13"/>
      <c r="EK42" s="13"/>
      <c r="EL42" s="13"/>
      <c r="EM42" s="14"/>
      <c r="EN42" s="15"/>
      <c r="EO42" s="13"/>
      <c r="EP42" s="13"/>
      <c r="EQ42" s="13"/>
      <c r="ER42" s="13"/>
      <c r="ES42" s="13"/>
      <c r="ET42" s="23"/>
      <c r="EU42" s="23"/>
      <c r="EV42" s="14"/>
      <c r="EW42" s="15"/>
      <c r="EX42" s="23"/>
      <c r="EY42" s="23"/>
      <c r="EZ42" s="23"/>
      <c r="FA42" s="23"/>
      <c r="FB42" s="23"/>
      <c r="FC42" s="24"/>
      <c r="FD42" s="22"/>
      <c r="FE42" s="23"/>
      <c r="FF42" s="23"/>
      <c r="FG42" s="23"/>
      <c r="FH42" s="23"/>
      <c r="FI42" s="23"/>
      <c r="FJ42" s="24"/>
      <c r="FK42" s="22"/>
      <c r="FL42" s="23"/>
      <c r="FM42" s="23"/>
      <c r="FN42" s="23"/>
      <c r="FO42" s="23"/>
      <c r="FP42" s="23"/>
      <c r="FQ42" s="24"/>
      <c r="FR42" s="22"/>
      <c r="FS42" s="23"/>
      <c r="FT42" s="23"/>
      <c r="FU42" s="23"/>
      <c r="FV42" s="23"/>
      <c r="FW42" s="23"/>
      <c r="FX42" s="24"/>
      <c r="FY42" s="22"/>
      <c r="FZ42" s="23"/>
      <c r="GA42" s="23"/>
      <c r="GB42" s="23"/>
      <c r="GC42" s="23"/>
      <c r="GD42" s="23"/>
      <c r="GE42" s="24"/>
      <c r="GF42" s="22"/>
      <c r="GG42" s="23"/>
      <c r="GH42" s="23"/>
    </row>
    <row r="43" spans="1:190" ht="17.25" customHeight="1">
      <c r="A43" s="404"/>
      <c r="B43" s="101" t="s">
        <v>26</v>
      </c>
      <c r="C43" s="101" t="s">
        <v>212</v>
      </c>
      <c r="D43" s="101" t="s">
        <v>214</v>
      </c>
      <c r="E43" s="337"/>
      <c r="F43" s="408"/>
      <c r="G43" s="353"/>
      <c r="H43" s="50" t="s">
        <v>252</v>
      </c>
      <c r="I43" s="46">
        <v>40476</v>
      </c>
      <c r="J43" s="47" t="s">
        <v>42</v>
      </c>
      <c r="K43" s="69"/>
      <c r="L43" s="47">
        <v>40439</v>
      </c>
      <c r="M43" s="47">
        <v>40439</v>
      </c>
      <c r="N43" s="46"/>
      <c r="O43" s="47"/>
      <c r="P43" s="46"/>
      <c r="Q43" s="110">
        <v>40441</v>
      </c>
      <c r="R43" s="110">
        <v>40449</v>
      </c>
      <c r="S43" s="111">
        <v>40441</v>
      </c>
      <c r="T43" s="112">
        <v>40448</v>
      </c>
      <c r="U43" s="13"/>
      <c r="V43" s="13"/>
      <c r="W43" s="13"/>
      <c r="X43" s="13"/>
      <c r="Y43" s="14"/>
      <c r="Z43" s="15"/>
      <c r="AA43" s="13"/>
      <c r="AB43" s="13"/>
      <c r="AC43" s="13"/>
      <c r="AD43" s="13"/>
      <c r="AE43" s="13"/>
      <c r="AF43" s="14"/>
      <c r="AG43" s="15"/>
      <c r="AH43" s="13"/>
      <c r="AI43" s="13"/>
      <c r="AJ43" s="13"/>
      <c r="AK43" s="13"/>
      <c r="AL43" s="13"/>
      <c r="AM43" s="14"/>
      <c r="AN43" s="15"/>
      <c r="AO43" s="13"/>
      <c r="AP43" s="15"/>
      <c r="AQ43" s="13"/>
      <c r="AR43" s="13"/>
      <c r="AS43" s="13"/>
      <c r="AT43" s="14"/>
      <c r="AU43" s="15"/>
      <c r="AV43" s="13"/>
      <c r="AW43" s="13"/>
      <c r="AX43" s="13"/>
      <c r="AY43" s="13"/>
      <c r="AZ43" s="13"/>
      <c r="BA43" s="14"/>
      <c r="BB43" s="15"/>
      <c r="BC43" s="13"/>
      <c r="BD43" s="13"/>
      <c r="BE43" s="13"/>
      <c r="BF43" s="13"/>
      <c r="BG43" s="13"/>
      <c r="BH43" s="14"/>
      <c r="BI43" s="15"/>
      <c r="BJ43" s="13"/>
      <c r="BK43" s="13"/>
      <c r="BL43" s="13"/>
      <c r="BM43" s="13"/>
      <c r="BN43" s="13"/>
      <c r="BO43" s="14"/>
      <c r="BP43" s="15"/>
      <c r="BQ43" s="13"/>
      <c r="BR43" s="13"/>
      <c r="BS43" s="13"/>
      <c r="BT43" s="13"/>
      <c r="BU43" s="13"/>
      <c r="BV43" s="14"/>
      <c r="BW43" s="15"/>
      <c r="BX43" s="13"/>
      <c r="BY43" s="13"/>
      <c r="BZ43" s="13"/>
      <c r="CA43" s="13"/>
      <c r="CB43" s="13"/>
      <c r="CC43" s="14"/>
      <c r="CD43" s="15"/>
      <c r="CE43" s="13"/>
      <c r="CF43" s="13"/>
      <c r="CG43" s="13"/>
      <c r="CH43" s="13"/>
      <c r="CI43" s="13"/>
      <c r="CJ43" s="14"/>
      <c r="CK43" s="15"/>
      <c r="CL43" s="13"/>
      <c r="CM43" s="13"/>
      <c r="CN43" s="13"/>
      <c r="CO43" s="13"/>
      <c r="CP43" s="13"/>
      <c r="CQ43" s="14"/>
      <c r="CR43" s="15"/>
      <c r="CS43" s="13"/>
      <c r="CT43" s="13"/>
      <c r="CU43" s="13"/>
      <c r="CV43" s="13"/>
      <c r="CW43" s="13"/>
      <c r="CX43" s="14"/>
      <c r="CY43" s="13"/>
      <c r="CZ43" s="13"/>
      <c r="DA43" s="14"/>
      <c r="DB43" s="15"/>
      <c r="DC43" s="13"/>
      <c r="DD43" s="13"/>
      <c r="DE43" s="13"/>
      <c r="DF43" s="13"/>
      <c r="DG43" s="13"/>
      <c r="DH43" s="14"/>
      <c r="DI43" s="15"/>
      <c r="DJ43" s="13"/>
      <c r="DK43" s="13"/>
      <c r="DL43" s="15"/>
      <c r="DM43" s="13"/>
      <c r="DN43" s="13"/>
      <c r="DO43" s="13"/>
      <c r="DP43" s="13"/>
      <c r="DQ43" s="13"/>
      <c r="DR43" s="14"/>
      <c r="DS43" s="15"/>
      <c r="DT43" s="13"/>
      <c r="DU43" s="13"/>
      <c r="DV43" s="13"/>
      <c r="DW43" s="13"/>
      <c r="DX43" s="13"/>
      <c r="DY43" s="14"/>
      <c r="DZ43" s="15"/>
      <c r="EA43" s="13"/>
      <c r="EB43" s="13"/>
      <c r="EC43" s="25"/>
      <c r="ED43" s="13"/>
      <c r="EE43" s="13"/>
      <c r="EF43" s="14"/>
      <c r="EG43" s="15"/>
      <c r="EH43" s="13"/>
      <c r="EI43" s="13"/>
      <c r="EJ43" s="13"/>
      <c r="EK43" s="13"/>
      <c r="EL43" s="13"/>
      <c r="EM43" s="14"/>
      <c r="EN43" s="15"/>
      <c r="EO43" s="13"/>
      <c r="EP43" s="13"/>
      <c r="EQ43" s="13"/>
      <c r="ER43" s="13"/>
      <c r="ES43" s="13"/>
      <c r="ET43" s="23"/>
      <c r="EU43" s="23"/>
      <c r="EV43" s="14"/>
      <c r="EW43" s="15"/>
      <c r="EX43" s="23"/>
      <c r="EY43" s="23"/>
      <c r="EZ43" s="23"/>
      <c r="FA43" s="23"/>
      <c r="FB43" s="23"/>
      <c r="FC43" s="24"/>
      <c r="FD43" s="22"/>
      <c r="FE43" s="23"/>
      <c r="FF43" s="23"/>
      <c r="FG43" s="23"/>
      <c r="FH43" s="23"/>
      <c r="FI43" s="23"/>
      <c r="FJ43" s="24"/>
      <c r="FK43" s="22"/>
      <c r="FL43" s="23"/>
      <c r="FM43" s="23"/>
      <c r="FN43" s="23"/>
      <c r="FO43" s="23"/>
      <c r="FP43" s="23"/>
      <c r="FQ43" s="24"/>
      <c r="FR43" s="22"/>
      <c r="FS43" s="23"/>
      <c r="FT43" s="23"/>
      <c r="FU43" s="23"/>
      <c r="FV43" s="23"/>
      <c r="FW43" s="23"/>
      <c r="FX43" s="24"/>
      <c r="FY43" s="22"/>
      <c r="FZ43" s="23"/>
      <c r="GA43" s="23"/>
      <c r="GB43" s="23"/>
      <c r="GC43" s="23"/>
      <c r="GD43" s="23"/>
      <c r="GE43" s="24"/>
      <c r="GF43" s="22"/>
      <c r="GG43" s="23"/>
      <c r="GH43" s="23"/>
    </row>
    <row r="44" spans="1:190" ht="17.25" customHeight="1">
      <c r="A44" s="404">
        <v>19</v>
      </c>
      <c r="B44" s="101" t="s">
        <v>217</v>
      </c>
      <c r="C44" s="101" t="s">
        <v>218</v>
      </c>
      <c r="D44" s="101" t="s">
        <v>219</v>
      </c>
      <c r="E44" s="336" t="s">
        <v>33</v>
      </c>
      <c r="F44" s="407">
        <v>228.8</v>
      </c>
      <c r="G44" s="352" t="s">
        <v>221</v>
      </c>
      <c r="H44" s="70" t="s">
        <v>17</v>
      </c>
      <c r="I44" s="46">
        <v>40525</v>
      </c>
      <c r="J44" s="47">
        <v>40449</v>
      </c>
      <c r="K44" s="69"/>
      <c r="L44" s="49" t="s">
        <v>3</v>
      </c>
      <c r="M44" s="49" t="s">
        <v>3</v>
      </c>
      <c r="N44" s="49" t="s">
        <v>3</v>
      </c>
      <c r="O44" s="49" t="s">
        <v>8</v>
      </c>
      <c r="P44" s="49" t="s">
        <v>3</v>
      </c>
      <c r="Q44" s="110">
        <v>40446</v>
      </c>
      <c r="R44" s="110">
        <v>40449</v>
      </c>
      <c r="S44" s="111">
        <v>40446</v>
      </c>
      <c r="T44" s="112">
        <v>40452</v>
      </c>
      <c r="U44" s="13"/>
      <c r="V44" s="13"/>
      <c r="W44" s="13"/>
      <c r="X44" s="13"/>
      <c r="Y44" s="14"/>
      <c r="Z44" s="15"/>
      <c r="AA44" s="13"/>
      <c r="AB44" s="13"/>
      <c r="AC44" s="13"/>
      <c r="AD44" s="13"/>
      <c r="AE44" s="13"/>
      <c r="AF44" s="14"/>
      <c r="AG44" s="15"/>
      <c r="AH44" s="13"/>
      <c r="AI44" s="13"/>
      <c r="AJ44" s="13"/>
      <c r="AK44" s="13"/>
      <c r="AL44" s="13"/>
      <c r="AM44" s="14"/>
      <c r="AN44" s="15"/>
      <c r="AO44" s="13"/>
      <c r="AP44" s="15"/>
      <c r="AQ44" s="13"/>
      <c r="AR44" s="13"/>
      <c r="AS44" s="13"/>
      <c r="AT44" s="14"/>
      <c r="AU44" s="15"/>
      <c r="AV44" s="13"/>
      <c r="AW44" s="13"/>
      <c r="AX44" s="13"/>
      <c r="AY44" s="13"/>
      <c r="AZ44" s="13"/>
      <c r="BA44" s="14"/>
      <c r="BB44" s="15"/>
      <c r="BC44" s="13"/>
      <c r="BD44" s="13"/>
      <c r="BE44" s="13"/>
      <c r="BF44" s="13"/>
      <c r="BG44" s="13"/>
      <c r="BH44" s="14"/>
      <c r="BI44" s="15"/>
      <c r="BJ44" s="13"/>
      <c r="BK44" s="13"/>
      <c r="BL44" s="13"/>
      <c r="BM44" s="13"/>
      <c r="BN44" s="13"/>
      <c r="BO44" s="14"/>
      <c r="BP44" s="15"/>
      <c r="BQ44" s="13"/>
      <c r="BR44" s="13"/>
      <c r="BS44" s="13"/>
      <c r="BT44" s="13"/>
      <c r="BU44" s="13"/>
      <c r="BV44" s="14"/>
      <c r="BW44" s="15"/>
      <c r="BX44" s="13"/>
      <c r="BY44" s="13"/>
      <c r="BZ44" s="13"/>
      <c r="CA44" s="13"/>
      <c r="CB44" s="13"/>
      <c r="CC44" s="14"/>
      <c r="CD44" s="15"/>
      <c r="CE44" s="13"/>
      <c r="CF44" s="13"/>
      <c r="CG44" s="13"/>
      <c r="CH44" s="13"/>
      <c r="CI44" s="13"/>
      <c r="CJ44" s="14"/>
      <c r="CK44" s="15"/>
      <c r="CL44" s="13"/>
      <c r="CM44" s="13"/>
      <c r="CN44" s="13"/>
      <c r="CO44" s="13"/>
      <c r="CP44" s="13"/>
      <c r="CQ44" s="14"/>
      <c r="CR44" s="15"/>
      <c r="CS44" s="13"/>
      <c r="CT44" s="13"/>
      <c r="CU44" s="13"/>
      <c r="CV44" s="13"/>
      <c r="CW44" s="13"/>
      <c r="CX44" s="14"/>
      <c r="CY44" s="13"/>
      <c r="CZ44" s="13"/>
      <c r="DA44" s="14"/>
      <c r="DB44" s="15"/>
      <c r="DC44" s="13"/>
      <c r="DD44" s="13"/>
      <c r="DE44" s="13"/>
      <c r="DF44" s="13"/>
      <c r="DG44" s="13"/>
      <c r="DH44" s="14"/>
      <c r="DI44" s="15"/>
      <c r="DJ44" s="13"/>
      <c r="DK44" s="13"/>
      <c r="DL44" s="15"/>
      <c r="DM44" s="13"/>
      <c r="DN44" s="13"/>
      <c r="DO44" s="13"/>
      <c r="DP44" s="13"/>
      <c r="DQ44" s="13"/>
      <c r="DR44" s="14"/>
      <c r="DS44" s="15"/>
      <c r="DT44" s="13"/>
      <c r="DU44" s="13"/>
      <c r="DV44" s="13"/>
      <c r="DW44" s="13"/>
      <c r="DX44" s="13"/>
      <c r="DY44" s="14"/>
      <c r="DZ44" s="15"/>
      <c r="EA44" s="13"/>
      <c r="EB44" s="13"/>
      <c r="EC44" s="25"/>
      <c r="ED44" s="13"/>
      <c r="EE44" s="13"/>
      <c r="EF44" s="14"/>
      <c r="EG44" s="15"/>
      <c r="EH44" s="13"/>
      <c r="EI44" s="13"/>
      <c r="EJ44" s="13"/>
      <c r="EK44" s="13"/>
      <c r="EL44" s="13"/>
      <c r="EM44" s="14"/>
      <c r="EN44" s="15"/>
      <c r="EO44" s="13"/>
      <c r="EP44" s="13"/>
      <c r="EQ44" s="13"/>
      <c r="ER44" s="13"/>
      <c r="ES44" s="13"/>
      <c r="ET44" s="23"/>
      <c r="EU44" s="23"/>
      <c r="EV44" s="14"/>
      <c r="EW44" s="15"/>
      <c r="EX44" s="23"/>
      <c r="EY44" s="23"/>
      <c r="EZ44" s="23"/>
      <c r="FA44" s="23"/>
      <c r="FB44" s="23"/>
      <c r="FC44" s="24"/>
      <c r="FD44" s="22"/>
      <c r="FE44" s="23"/>
      <c r="FF44" s="23"/>
      <c r="FG44" s="23"/>
      <c r="FH44" s="23"/>
      <c r="FI44" s="23"/>
      <c r="FJ44" s="24"/>
      <c r="FK44" s="22"/>
      <c r="FL44" s="23"/>
      <c r="FM44" s="23"/>
      <c r="FN44" s="23"/>
      <c r="FO44" s="23"/>
      <c r="FP44" s="23"/>
      <c r="FQ44" s="24"/>
      <c r="FR44" s="22"/>
      <c r="FS44" s="23"/>
      <c r="FT44" s="23"/>
      <c r="FU44" s="23"/>
      <c r="FV44" s="23"/>
      <c r="FW44" s="23"/>
      <c r="FX44" s="24"/>
      <c r="FY44" s="22"/>
      <c r="FZ44" s="23"/>
      <c r="GA44" s="23"/>
      <c r="GB44" s="23"/>
      <c r="GC44" s="23"/>
      <c r="GD44" s="23"/>
      <c r="GE44" s="24"/>
      <c r="GF44" s="22"/>
      <c r="GG44" s="23"/>
      <c r="GH44" s="23"/>
    </row>
    <row r="45" spans="1:190" ht="17.25" customHeight="1">
      <c r="A45" s="404"/>
      <c r="B45" s="101" t="s">
        <v>217</v>
      </c>
      <c r="C45" s="101" t="s">
        <v>218</v>
      </c>
      <c r="D45" s="101" t="s">
        <v>220</v>
      </c>
      <c r="E45" s="337"/>
      <c r="F45" s="408"/>
      <c r="G45" s="353"/>
      <c r="H45" s="50" t="s">
        <v>252</v>
      </c>
      <c r="I45" s="46">
        <v>40466</v>
      </c>
      <c r="J45" s="47" t="s">
        <v>55</v>
      </c>
      <c r="K45" s="69"/>
      <c r="L45" s="47">
        <v>40450</v>
      </c>
      <c r="M45" s="47">
        <v>40437</v>
      </c>
      <c r="N45" s="47">
        <v>40450</v>
      </c>
      <c r="O45" s="47"/>
      <c r="P45" s="47">
        <v>40450</v>
      </c>
      <c r="Q45" s="110">
        <v>40446</v>
      </c>
      <c r="R45" s="110">
        <v>40450</v>
      </c>
      <c r="S45" s="111">
        <v>40446</v>
      </c>
      <c r="T45" s="112">
        <v>40452</v>
      </c>
      <c r="U45" s="13"/>
      <c r="V45" s="13"/>
      <c r="W45" s="13"/>
      <c r="X45" s="13"/>
      <c r="Y45" s="14"/>
      <c r="Z45" s="15"/>
      <c r="AA45" s="13"/>
      <c r="AB45" s="13"/>
      <c r="AC45" s="13"/>
      <c r="AD45" s="13"/>
      <c r="AE45" s="13"/>
      <c r="AF45" s="14"/>
      <c r="AG45" s="15"/>
      <c r="AH45" s="13"/>
      <c r="AI45" s="13"/>
      <c r="AJ45" s="13"/>
      <c r="AK45" s="13"/>
      <c r="AL45" s="13"/>
      <c r="AM45" s="14"/>
      <c r="AN45" s="15"/>
      <c r="AO45" s="13"/>
      <c r="AP45" s="15"/>
      <c r="AQ45" s="13"/>
      <c r="AR45" s="13"/>
      <c r="AS45" s="13"/>
      <c r="AT45" s="14"/>
      <c r="AU45" s="15"/>
      <c r="AV45" s="13"/>
      <c r="AW45" s="13"/>
      <c r="AX45" s="13"/>
      <c r="AY45" s="13"/>
      <c r="AZ45" s="13"/>
      <c r="BA45" s="14"/>
      <c r="BB45" s="15"/>
      <c r="BC45" s="13"/>
      <c r="BD45" s="13"/>
      <c r="BE45" s="13"/>
      <c r="BF45" s="13"/>
      <c r="BG45" s="13"/>
      <c r="BH45" s="14"/>
      <c r="BI45" s="15"/>
      <c r="BJ45" s="13"/>
      <c r="BK45" s="13"/>
      <c r="BL45" s="13"/>
      <c r="BM45" s="13"/>
      <c r="BN45" s="13"/>
      <c r="BO45" s="14"/>
      <c r="BP45" s="15"/>
      <c r="BQ45" s="13"/>
      <c r="BR45" s="13"/>
      <c r="BS45" s="13"/>
      <c r="BT45" s="13"/>
      <c r="BU45" s="13"/>
      <c r="BV45" s="14"/>
      <c r="BW45" s="15"/>
      <c r="BX45" s="13"/>
      <c r="BY45" s="13"/>
      <c r="BZ45" s="13"/>
      <c r="CA45" s="13"/>
      <c r="CB45" s="13"/>
      <c r="CC45" s="14"/>
      <c r="CD45" s="15"/>
      <c r="CE45" s="13"/>
      <c r="CF45" s="13"/>
      <c r="CG45" s="13"/>
      <c r="CH45" s="13"/>
      <c r="CI45" s="13"/>
      <c r="CJ45" s="14"/>
      <c r="CK45" s="15"/>
      <c r="CL45" s="13"/>
      <c r="CM45" s="13"/>
      <c r="CN45" s="13"/>
      <c r="CO45" s="13"/>
      <c r="CP45" s="13"/>
      <c r="CQ45" s="14"/>
      <c r="CR45" s="15"/>
      <c r="CS45" s="13"/>
      <c r="CT45" s="13"/>
      <c r="CU45" s="13"/>
      <c r="CV45" s="13"/>
      <c r="CW45" s="13"/>
      <c r="CX45" s="14"/>
      <c r="CY45" s="13"/>
      <c r="CZ45" s="13"/>
      <c r="DA45" s="14"/>
      <c r="DB45" s="15"/>
      <c r="DC45" s="13"/>
      <c r="DD45" s="13"/>
      <c r="DE45" s="13"/>
      <c r="DF45" s="13"/>
      <c r="DG45" s="13"/>
      <c r="DH45" s="14"/>
      <c r="DI45" s="15"/>
      <c r="DJ45" s="13"/>
      <c r="DK45" s="13"/>
      <c r="DL45" s="15"/>
      <c r="DM45" s="13"/>
      <c r="DN45" s="13"/>
      <c r="DO45" s="13"/>
      <c r="DP45" s="13"/>
      <c r="DQ45" s="13"/>
      <c r="DR45" s="14"/>
      <c r="DS45" s="15"/>
      <c r="DT45" s="13"/>
      <c r="DU45" s="13"/>
      <c r="DV45" s="13"/>
      <c r="DW45" s="13"/>
      <c r="DX45" s="13"/>
      <c r="DY45" s="14"/>
      <c r="DZ45" s="15"/>
      <c r="EA45" s="13"/>
      <c r="EB45" s="13"/>
      <c r="EC45" s="25"/>
      <c r="ED45" s="13"/>
      <c r="EE45" s="13"/>
      <c r="EF45" s="14"/>
      <c r="EG45" s="15"/>
      <c r="EH45" s="13"/>
      <c r="EI45" s="13"/>
      <c r="EJ45" s="13"/>
      <c r="EK45" s="13"/>
      <c r="EL45" s="13"/>
      <c r="EM45" s="14"/>
      <c r="EN45" s="15"/>
      <c r="EO45" s="13"/>
      <c r="EP45" s="13"/>
      <c r="EQ45" s="13"/>
      <c r="ER45" s="13"/>
      <c r="ES45" s="13"/>
      <c r="ET45" s="23"/>
      <c r="EU45" s="23"/>
      <c r="EV45" s="14"/>
      <c r="EW45" s="15"/>
      <c r="EX45" s="23"/>
      <c r="EY45" s="23"/>
      <c r="EZ45" s="23"/>
      <c r="FA45" s="23"/>
      <c r="FB45" s="23"/>
      <c r="FC45" s="24"/>
      <c r="FD45" s="22"/>
      <c r="FE45" s="23"/>
      <c r="FF45" s="23"/>
      <c r="FG45" s="23"/>
      <c r="FH45" s="23"/>
      <c r="FI45" s="23"/>
      <c r="FJ45" s="24"/>
      <c r="FK45" s="22"/>
      <c r="FL45" s="23"/>
      <c r="FM45" s="23"/>
      <c r="FN45" s="23"/>
      <c r="FO45" s="23"/>
      <c r="FP45" s="23"/>
      <c r="FQ45" s="24"/>
      <c r="FR45" s="22"/>
      <c r="FS45" s="23"/>
      <c r="FT45" s="23"/>
      <c r="FU45" s="23"/>
      <c r="FV45" s="23"/>
      <c r="FW45" s="23"/>
      <c r="FX45" s="24"/>
      <c r="FY45" s="22"/>
      <c r="FZ45" s="23"/>
      <c r="GA45" s="23"/>
      <c r="GB45" s="23"/>
      <c r="GC45" s="23"/>
      <c r="GD45" s="23"/>
      <c r="GE45" s="24"/>
      <c r="GF45" s="22"/>
      <c r="GG45" s="23"/>
      <c r="GH45" s="23"/>
    </row>
    <row r="46" spans="1:190" ht="17.25" customHeight="1">
      <c r="A46" s="404">
        <v>20</v>
      </c>
      <c r="B46" s="101" t="s">
        <v>25</v>
      </c>
      <c r="C46" s="117" t="s">
        <v>206</v>
      </c>
      <c r="D46" s="117" t="s">
        <v>207</v>
      </c>
      <c r="E46" s="336" t="s">
        <v>33</v>
      </c>
      <c r="F46" s="407">
        <v>8</v>
      </c>
      <c r="G46" s="352" t="s">
        <v>52</v>
      </c>
      <c r="H46" s="70" t="s">
        <v>17</v>
      </c>
      <c r="I46" s="46">
        <v>40477</v>
      </c>
      <c r="J46" s="47">
        <v>40449</v>
      </c>
      <c r="K46" s="69"/>
      <c r="L46" s="49" t="s">
        <v>3</v>
      </c>
      <c r="M46" s="49" t="s">
        <v>3</v>
      </c>
      <c r="N46" s="49" t="s">
        <v>3</v>
      </c>
      <c r="O46" s="49" t="s">
        <v>8</v>
      </c>
      <c r="P46" s="49" t="s">
        <v>8</v>
      </c>
      <c r="Q46" s="110">
        <v>40447</v>
      </c>
      <c r="R46" s="110">
        <v>40448</v>
      </c>
      <c r="S46" s="111">
        <v>40447</v>
      </c>
      <c r="T46" s="112">
        <v>40449</v>
      </c>
      <c r="U46" s="13"/>
      <c r="V46" s="13"/>
      <c r="W46" s="13"/>
      <c r="X46" s="13"/>
      <c r="Y46" s="14"/>
      <c r="Z46" s="15"/>
      <c r="AA46" s="13"/>
      <c r="AB46" s="13"/>
      <c r="AC46" s="13"/>
      <c r="AD46" s="13"/>
      <c r="AE46" s="13"/>
      <c r="AF46" s="14"/>
      <c r="AG46" s="15"/>
      <c r="AH46" s="13"/>
      <c r="AI46" s="13"/>
      <c r="AJ46" s="13"/>
      <c r="AK46" s="13"/>
      <c r="AL46" s="13"/>
      <c r="AM46" s="14"/>
      <c r="AN46" s="15"/>
      <c r="AO46" s="13"/>
      <c r="AP46" s="15"/>
      <c r="AQ46" s="13"/>
      <c r="AR46" s="13"/>
      <c r="AS46" s="13"/>
      <c r="AT46" s="14"/>
      <c r="AU46" s="15"/>
      <c r="AV46" s="13"/>
      <c r="AW46" s="13"/>
      <c r="AX46" s="13"/>
      <c r="AY46" s="13"/>
      <c r="AZ46" s="13"/>
      <c r="BA46" s="14"/>
      <c r="BB46" s="15"/>
      <c r="BC46" s="13"/>
      <c r="BD46" s="13"/>
      <c r="BE46" s="13"/>
      <c r="BF46" s="13"/>
      <c r="BG46" s="13"/>
      <c r="BH46" s="14"/>
      <c r="BI46" s="15"/>
      <c r="BJ46" s="13"/>
      <c r="BK46" s="13"/>
      <c r="BL46" s="13"/>
      <c r="BM46" s="13"/>
      <c r="BN46" s="13"/>
      <c r="BO46" s="14"/>
      <c r="BP46" s="15"/>
      <c r="BQ46" s="13"/>
      <c r="BR46" s="13"/>
      <c r="BS46" s="13"/>
      <c r="BT46" s="13"/>
      <c r="BU46" s="13"/>
      <c r="BV46" s="14"/>
      <c r="BW46" s="15"/>
      <c r="BX46" s="13"/>
      <c r="BY46" s="13"/>
      <c r="BZ46" s="13"/>
      <c r="CA46" s="13"/>
      <c r="CB46" s="13"/>
      <c r="CC46" s="14"/>
      <c r="CD46" s="15"/>
      <c r="CE46" s="13"/>
      <c r="CF46" s="13"/>
      <c r="CG46" s="13"/>
      <c r="CH46" s="13"/>
      <c r="CI46" s="13"/>
      <c r="CJ46" s="14"/>
      <c r="CK46" s="15"/>
      <c r="CL46" s="13"/>
      <c r="CM46" s="13"/>
      <c r="CN46" s="13"/>
      <c r="CO46" s="13"/>
      <c r="CP46" s="13"/>
      <c r="CQ46" s="14"/>
      <c r="CR46" s="15"/>
      <c r="CS46" s="13"/>
      <c r="CT46" s="13"/>
      <c r="CU46" s="13"/>
      <c r="CV46" s="13"/>
      <c r="CW46" s="13"/>
      <c r="CX46" s="14"/>
      <c r="CY46" s="13"/>
      <c r="CZ46" s="13"/>
      <c r="DA46" s="14"/>
      <c r="DB46" s="15"/>
      <c r="DC46" s="13"/>
      <c r="DD46" s="13"/>
      <c r="DE46" s="13"/>
      <c r="DF46" s="13"/>
      <c r="DG46" s="13"/>
      <c r="DH46" s="14"/>
      <c r="DI46" s="15"/>
      <c r="DJ46" s="13"/>
      <c r="DK46" s="13"/>
      <c r="DL46" s="15"/>
      <c r="DM46" s="13"/>
      <c r="DN46" s="13"/>
      <c r="DO46" s="13"/>
      <c r="DP46" s="13"/>
      <c r="DQ46" s="13"/>
      <c r="DR46" s="14"/>
      <c r="DS46" s="15"/>
      <c r="DT46" s="13"/>
      <c r="DU46" s="13"/>
      <c r="DV46" s="13"/>
      <c r="DW46" s="13"/>
      <c r="DX46" s="13"/>
      <c r="DY46" s="14"/>
      <c r="DZ46" s="15"/>
      <c r="EA46" s="13"/>
      <c r="EB46" s="13"/>
      <c r="EC46" s="25"/>
      <c r="ED46" s="13"/>
      <c r="EE46" s="13"/>
      <c r="EF46" s="14"/>
      <c r="EG46" s="15"/>
      <c r="EH46" s="13"/>
      <c r="EI46" s="13"/>
      <c r="EJ46" s="13"/>
      <c r="EK46" s="13"/>
      <c r="EL46" s="13"/>
      <c r="EM46" s="14"/>
      <c r="EN46" s="15"/>
      <c r="EO46" s="13"/>
      <c r="EP46" s="13"/>
      <c r="EQ46" s="13"/>
      <c r="ER46" s="13"/>
      <c r="ES46" s="13"/>
      <c r="ET46" s="23"/>
      <c r="EU46" s="23"/>
      <c r="EV46" s="14"/>
      <c r="EW46" s="15"/>
      <c r="EX46" s="23"/>
      <c r="EY46" s="23"/>
      <c r="EZ46" s="23"/>
      <c r="FA46" s="23"/>
      <c r="FB46" s="23"/>
      <c r="FC46" s="24"/>
      <c r="FD46" s="22"/>
      <c r="FE46" s="23"/>
      <c r="FF46" s="23"/>
      <c r="FG46" s="23"/>
      <c r="FH46" s="23"/>
      <c r="FI46" s="23"/>
      <c r="FJ46" s="24"/>
      <c r="FK46" s="22"/>
      <c r="FL46" s="23"/>
      <c r="FM46" s="23"/>
      <c r="FN46" s="23"/>
      <c r="FO46" s="23"/>
      <c r="FP46" s="23"/>
      <c r="FQ46" s="24"/>
      <c r="FR46" s="22"/>
      <c r="FS46" s="23"/>
      <c r="FT46" s="23"/>
      <c r="FU46" s="23"/>
      <c r="FV46" s="23"/>
      <c r="FW46" s="23"/>
      <c r="FX46" s="24"/>
      <c r="FY46" s="22"/>
      <c r="FZ46" s="23"/>
      <c r="GA46" s="23"/>
      <c r="GB46" s="23"/>
      <c r="GC46" s="23"/>
      <c r="GD46" s="23"/>
      <c r="GE46" s="24"/>
      <c r="GF46" s="22"/>
      <c r="GG46" s="23"/>
      <c r="GH46" s="23"/>
    </row>
    <row r="47" spans="1:190" ht="17.25" customHeight="1">
      <c r="A47" s="404"/>
      <c r="B47" s="101" t="s">
        <v>25</v>
      </c>
      <c r="C47" s="117" t="s">
        <v>206</v>
      </c>
      <c r="D47" s="117" t="s">
        <v>208</v>
      </c>
      <c r="E47" s="337"/>
      <c r="F47" s="408"/>
      <c r="G47" s="353"/>
      <c r="H47" s="50" t="s">
        <v>242</v>
      </c>
      <c r="I47" s="46">
        <v>40471</v>
      </c>
      <c r="J47" s="47" t="s">
        <v>51</v>
      </c>
      <c r="K47" s="69"/>
      <c r="L47" s="47">
        <v>40436</v>
      </c>
      <c r="M47" s="47">
        <v>40439</v>
      </c>
      <c r="N47" s="46">
        <v>40438</v>
      </c>
      <c r="O47" s="47"/>
      <c r="P47" s="46"/>
      <c r="Q47" s="110">
        <v>40447</v>
      </c>
      <c r="R47" s="110">
        <v>40449</v>
      </c>
      <c r="S47" s="111">
        <v>40447</v>
      </c>
      <c r="T47" s="112">
        <v>40449</v>
      </c>
      <c r="U47" s="13"/>
      <c r="V47" s="13"/>
      <c r="W47" s="13"/>
      <c r="X47" s="13"/>
      <c r="Y47" s="14"/>
      <c r="Z47" s="15"/>
      <c r="AA47" s="13"/>
      <c r="AB47" s="13"/>
      <c r="AC47" s="13"/>
      <c r="AD47" s="13"/>
      <c r="AE47" s="13"/>
      <c r="AF47" s="14"/>
      <c r="AG47" s="15"/>
      <c r="AH47" s="13"/>
      <c r="AI47" s="13"/>
      <c r="AJ47" s="13"/>
      <c r="AK47" s="13"/>
      <c r="AL47" s="13"/>
      <c r="AM47" s="14"/>
      <c r="AN47" s="15"/>
      <c r="AO47" s="13"/>
      <c r="AP47" s="15"/>
      <c r="AQ47" s="13"/>
      <c r="AR47" s="13"/>
      <c r="AS47" s="13"/>
      <c r="AT47" s="14"/>
      <c r="AU47" s="15"/>
      <c r="AV47" s="13"/>
      <c r="AW47" s="13"/>
      <c r="AX47" s="13"/>
      <c r="AY47" s="13"/>
      <c r="AZ47" s="13"/>
      <c r="BA47" s="14"/>
      <c r="BB47" s="15"/>
      <c r="BC47" s="13"/>
      <c r="BD47" s="13"/>
      <c r="BE47" s="13"/>
      <c r="BF47" s="13"/>
      <c r="BG47" s="13"/>
      <c r="BH47" s="14"/>
      <c r="BI47" s="15"/>
      <c r="BJ47" s="13"/>
      <c r="BK47" s="13"/>
      <c r="BL47" s="13"/>
      <c r="BM47" s="13"/>
      <c r="BN47" s="13"/>
      <c r="BO47" s="14"/>
      <c r="BP47" s="15"/>
      <c r="BQ47" s="13"/>
      <c r="BR47" s="13"/>
      <c r="BS47" s="13"/>
      <c r="BT47" s="13"/>
      <c r="BU47" s="13"/>
      <c r="BV47" s="14"/>
      <c r="BW47" s="15"/>
      <c r="BX47" s="13"/>
      <c r="BY47" s="13"/>
      <c r="BZ47" s="13"/>
      <c r="CA47" s="13"/>
      <c r="CB47" s="13"/>
      <c r="CC47" s="14"/>
      <c r="CD47" s="15"/>
      <c r="CE47" s="13"/>
      <c r="CF47" s="13"/>
      <c r="CG47" s="13"/>
      <c r="CH47" s="13"/>
      <c r="CI47" s="13"/>
      <c r="CJ47" s="14"/>
      <c r="CK47" s="15"/>
      <c r="CL47" s="13"/>
      <c r="CM47" s="13"/>
      <c r="CN47" s="13"/>
      <c r="CO47" s="13"/>
      <c r="CP47" s="13"/>
      <c r="CQ47" s="14"/>
      <c r="CR47" s="15"/>
      <c r="CS47" s="13"/>
      <c r="CT47" s="13"/>
      <c r="CU47" s="13"/>
      <c r="CV47" s="13"/>
      <c r="CW47" s="13"/>
      <c r="CX47" s="14"/>
      <c r="CY47" s="13"/>
      <c r="CZ47" s="13"/>
      <c r="DA47" s="14"/>
      <c r="DB47" s="15"/>
      <c r="DC47" s="13"/>
      <c r="DD47" s="13"/>
      <c r="DE47" s="13"/>
      <c r="DF47" s="13"/>
      <c r="DG47" s="13"/>
      <c r="DH47" s="14"/>
      <c r="DI47" s="15"/>
      <c r="DJ47" s="13"/>
      <c r="DK47" s="13"/>
      <c r="DL47" s="15"/>
      <c r="DM47" s="13"/>
      <c r="DN47" s="13"/>
      <c r="DO47" s="13"/>
      <c r="DP47" s="13"/>
      <c r="DQ47" s="13"/>
      <c r="DR47" s="14"/>
      <c r="DS47" s="15"/>
      <c r="DT47" s="13"/>
      <c r="DU47" s="13"/>
      <c r="DV47" s="13"/>
      <c r="DW47" s="13"/>
      <c r="DX47" s="13"/>
      <c r="DY47" s="14"/>
      <c r="DZ47" s="15"/>
      <c r="EA47" s="13"/>
      <c r="EB47" s="13"/>
      <c r="EC47" s="25"/>
      <c r="ED47" s="13"/>
      <c r="EE47" s="13"/>
      <c r="EF47" s="14"/>
      <c r="EG47" s="15"/>
      <c r="EH47" s="13"/>
      <c r="EI47" s="13"/>
      <c r="EJ47" s="13"/>
      <c r="EK47" s="13"/>
      <c r="EL47" s="13"/>
      <c r="EM47" s="14"/>
      <c r="EN47" s="15"/>
      <c r="EO47" s="13"/>
      <c r="EP47" s="13"/>
      <c r="EQ47" s="13"/>
      <c r="ER47" s="13"/>
      <c r="ES47" s="13"/>
      <c r="ET47" s="23"/>
      <c r="EU47" s="23"/>
      <c r="EV47" s="14"/>
      <c r="EW47" s="15"/>
      <c r="EX47" s="23"/>
      <c r="EY47" s="23"/>
      <c r="EZ47" s="23"/>
      <c r="FA47" s="23"/>
      <c r="FB47" s="23"/>
      <c r="FC47" s="24"/>
      <c r="FD47" s="22"/>
      <c r="FE47" s="23"/>
      <c r="FF47" s="23"/>
      <c r="FG47" s="23"/>
      <c r="FH47" s="23"/>
      <c r="FI47" s="23"/>
      <c r="FJ47" s="24"/>
      <c r="FK47" s="22"/>
      <c r="FL47" s="23"/>
      <c r="FM47" s="23"/>
      <c r="FN47" s="23"/>
      <c r="FO47" s="23"/>
      <c r="FP47" s="23"/>
      <c r="FQ47" s="24"/>
      <c r="FR47" s="22"/>
      <c r="FS47" s="23"/>
      <c r="FT47" s="23"/>
      <c r="FU47" s="23"/>
      <c r="FV47" s="23"/>
      <c r="FW47" s="23"/>
      <c r="FX47" s="24"/>
      <c r="FY47" s="22"/>
      <c r="FZ47" s="23"/>
      <c r="GA47" s="23"/>
      <c r="GB47" s="23"/>
      <c r="GC47" s="23"/>
      <c r="GD47" s="23"/>
      <c r="GE47" s="24"/>
      <c r="GF47" s="22"/>
      <c r="GG47" s="23"/>
      <c r="GH47" s="23"/>
    </row>
    <row r="48" spans="1:190" ht="17.25" customHeight="1">
      <c r="A48" s="404">
        <v>21</v>
      </c>
      <c r="B48" s="330" t="s">
        <v>25</v>
      </c>
      <c r="C48" s="330" t="s">
        <v>239</v>
      </c>
      <c r="D48" s="330" t="s">
        <v>240</v>
      </c>
      <c r="E48" s="336" t="s">
        <v>33</v>
      </c>
      <c r="F48" s="407">
        <v>62</v>
      </c>
      <c r="G48" s="352" t="s">
        <v>241</v>
      </c>
      <c r="H48" s="70" t="s">
        <v>17</v>
      </c>
      <c r="I48" s="46">
        <v>40500</v>
      </c>
      <c r="J48" s="47">
        <v>40450</v>
      </c>
      <c r="K48" s="69"/>
      <c r="L48" s="49" t="s">
        <v>3</v>
      </c>
      <c r="M48" s="49" t="s">
        <v>3</v>
      </c>
      <c r="N48" s="49" t="s">
        <v>3</v>
      </c>
      <c r="O48" s="49" t="s">
        <v>3</v>
      </c>
      <c r="P48" s="49" t="s">
        <v>8</v>
      </c>
      <c r="Q48" s="110">
        <v>40447</v>
      </c>
      <c r="R48" s="110">
        <v>40449</v>
      </c>
      <c r="S48" s="111">
        <v>40448</v>
      </c>
      <c r="T48" s="112">
        <v>40450</v>
      </c>
      <c r="U48" s="13"/>
      <c r="V48" s="13"/>
      <c r="W48" s="13"/>
      <c r="X48" s="13"/>
      <c r="Y48" s="14"/>
      <c r="Z48" s="15"/>
      <c r="AA48" s="13"/>
      <c r="AB48" s="13"/>
      <c r="AC48" s="13"/>
      <c r="AD48" s="13"/>
      <c r="AE48" s="13"/>
      <c r="AF48" s="14"/>
      <c r="AG48" s="15"/>
      <c r="AH48" s="13"/>
      <c r="AI48" s="13"/>
      <c r="AJ48" s="13"/>
      <c r="AK48" s="13"/>
      <c r="AL48" s="13"/>
      <c r="AM48" s="14"/>
      <c r="AN48" s="15"/>
      <c r="AO48" s="13"/>
      <c r="AP48" s="15"/>
      <c r="AQ48" s="13"/>
      <c r="AR48" s="13"/>
      <c r="AS48" s="13"/>
      <c r="AT48" s="14"/>
      <c r="AU48" s="15"/>
      <c r="AV48" s="13"/>
      <c r="AW48" s="13"/>
      <c r="AX48" s="13"/>
      <c r="AY48" s="13"/>
      <c r="AZ48" s="13"/>
      <c r="BA48" s="14"/>
      <c r="BB48" s="15"/>
      <c r="BC48" s="13"/>
      <c r="BD48" s="13"/>
      <c r="BE48" s="13"/>
      <c r="BF48" s="13"/>
      <c r="BG48" s="13"/>
      <c r="BH48" s="14"/>
      <c r="BI48" s="15"/>
      <c r="BJ48" s="13"/>
      <c r="BK48" s="13"/>
      <c r="BL48" s="13"/>
      <c r="BM48" s="13"/>
      <c r="BN48" s="13"/>
      <c r="BO48" s="14"/>
      <c r="BP48" s="15"/>
      <c r="BQ48" s="13"/>
      <c r="BR48" s="13"/>
      <c r="BS48" s="13"/>
      <c r="BT48" s="13"/>
      <c r="BU48" s="13"/>
      <c r="BV48" s="14"/>
      <c r="BW48" s="15"/>
      <c r="BX48" s="13"/>
      <c r="BY48" s="13"/>
      <c r="BZ48" s="13"/>
      <c r="CA48" s="13"/>
      <c r="CB48" s="13"/>
      <c r="CC48" s="14"/>
      <c r="CD48" s="15"/>
      <c r="CE48" s="13"/>
      <c r="CF48" s="13"/>
      <c r="CG48" s="13"/>
      <c r="CH48" s="13"/>
      <c r="CI48" s="13"/>
      <c r="CJ48" s="14"/>
      <c r="CK48" s="15"/>
      <c r="CL48" s="13"/>
      <c r="CM48" s="13"/>
      <c r="CN48" s="13"/>
      <c r="CO48" s="13"/>
      <c r="CP48" s="13"/>
      <c r="CQ48" s="14"/>
      <c r="CR48" s="15"/>
      <c r="CS48" s="13"/>
      <c r="CT48" s="13"/>
      <c r="CU48" s="13"/>
      <c r="CV48" s="13"/>
      <c r="CW48" s="13"/>
      <c r="CX48" s="14"/>
      <c r="CY48" s="13"/>
      <c r="CZ48" s="13"/>
      <c r="DA48" s="14"/>
      <c r="DB48" s="15"/>
      <c r="DC48" s="13"/>
      <c r="DD48" s="13"/>
      <c r="DE48" s="13"/>
      <c r="DF48" s="13"/>
      <c r="DG48" s="13"/>
      <c r="DH48" s="14"/>
      <c r="DI48" s="15"/>
      <c r="DJ48" s="13"/>
      <c r="DK48" s="13"/>
      <c r="DL48" s="15"/>
      <c r="DM48" s="13"/>
      <c r="DN48" s="13"/>
      <c r="DO48" s="13"/>
      <c r="DP48" s="13"/>
      <c r="DQ48" s="13"/>
      <c r="DR48" s="14"/>
      <c r="DS48" s="15"/>
      <c r="DT48" s="13"/>
      <c r="DU48" s="13"/>
      <c r="DV48" s="13"/>
      <c r="DW48" s="13"/>
      <c r="DX48" s="13"/>
      <c r="DY48" s="14"/>
      <c r="DZ48" s="15"/>
      <c r="EA48" s="13"/>
      <c r="EB48" s="13"/>
      <c r="EC48" s="25"/>
      <c r="ED48" s="13"/>
      <c r="EE48" s="13"/>
      <c r="EF48" s="14"/>
      <c r="EG48" s="15"/>
      <c r="EH48" s="13"/>
      <c r="EI48" s="13"/>
      <c r="EJ48" s="13"/>
      <c r="EK48" s="13"/>
      <c r="EL48" s="13"/>
      <c r="EM48" s="14"/>
      <c r="EN48" s="15"/>
      <c r="EO48" s="13"/>
      <c r="EP48" s="13"/>
      <c r="EQ48" s="13"/>
      <c r="ER48" s="13"/>
      <c r="ES48" s="13"/>
      <c r="ET48" s="23"/>
      <c r="EU48" s="23"/>
      <c r="EV48" s="14"/>
      <c r="EW48" s="15"/>
      <c r="EX48" s="23"/>
      <c r="EY48" s="23"/>
      <c r="EZ48" s="23"/>
      <c r="FA48" s="23"/>
      <c r="FB48" s="23"/>
      <c r="FC48" s="24"/>
      <c r="FD48" s="22"/>
      <c r="FE48" s="23"/>
      <c r="FF48" s="23"/>
      <c r="FG48" s="23"/>
      <c r="FH48" s="23"/>
      <c r="FI48" s="23"/>
      <c r="FJ48" s="24"/>
      <c r="FK48" s="22"/>
      <c r="FL48" s="23"/>
      <c r="FM48" s="23"/>
      <c r="FN48" s="23"/>
      <c r="FO48" s="23"/>
      <c r="FP48" s="23"/>
      <c r="FQ48" s="24"/>
      <c r="FR48" s="22"/>
      <c r="FS48" s="23"/>
      <c r="FT48" s="23"/>
      <c r="FU48" s="23"/>
      <c r="FV48" s="23"/>
      <c r="FW48" s="23"/>
      <c r="FX48" s="24"/>
      <c r="FY48" s="22"/>
      <c r="FZ48" s="23"/>
      <c r="GA48" s="23"/>
      <c r="GB48" s="23"/>
      <c r="GC48" s="23"/>
      <c r="GD48" s="23"/>
      <c r="GE48" s="24"/>
      <c r="GF48" s="22"/>
      <c r="GG48" s="23"/>
      <c r="GH48" s="23"/>
    </row>
    <row r="49" spans="1:190" ht="17.25" customHeight="1">
      <c r="A49" s="404"/>
      <c r="B49" s="331"/>
      <c r="C49" s="331"/>
      <c r="D49" s="331"/>
      <c r="E49" s="337"/>
      <c r="F49" s="408"/>
      <c r="G49" s="353"/>
      <c r="H49" s="50" t="s">
        <v>242</v>
      </c>
      <c r="I49" s="46">
        <v>40480</v>
      </c>
      <c r="J49" s="47" t="s">
        <v>42</v>
      </c>
      <c r="K49" s="69"/>
      <c r="L49" s="47">
        <v>40437</v>
      </c>
      <c r="M49" s="47">
        <v>40439</v>
      </c>
      <c r="N49" s="46">
        <v>40437</v>
      </c>
      <c r="O49" s="47">
        <v>40436</v>
      </c>
      <c r="P49" s="46"/>
      <c r="Q49" s="110">
        <v>40447</v>
      </c>
      <c r="R49" s="110">
        <v>40449</v>
      </c>
      <c r="S49" s="111">
        <v>40448</v>
      </c>
      <c r="T49" s="112">
        <v>40450</v>
      </c>
      <c r="U49" s="13"/>
      <c r="V49" s="13"/>
      <c r="W49" s="13"/>
      <c r="X49" s="13"/>
      <c r="Y49" s="14"/>
      <c r="Z49" s="15"/>
      <c r="AA49" s="13"/>
      <c r="AB49" s="13"/>
      <c r="AC49" s="13"/>
      <c r="AD49" s="13"/>
      <c r="AE49" s="13"/>
      <c r="AF49" s="14"/>
      <c r="AG49" s="15"/>
      <c r="AH49" s="13"/>
      <c r="AI49" s="13"/>
      <c r="AJ49" s="13"/>
      <c r="AK49" s="13"/>
      <c r="AL49" s="13"/>
      <c r="AM49" s="14"/>
      <c r="AN49" s="15"/>
      <c r="AO49" s="13"/>
      <c r="AP49" s="15"/>
      <c r="AQ49" s="13"/>
      <c r="AR49" s="13"/>
      <c r="AS49" s="13"/>
      <c r="AT49" s="14"/>
      <c r="AU49" s="15"/>
      <c r="AV49" s="13"/>
      <c r="AW49" s="13"/>
      <c r="AX49" s="13"/>
      <c r="AY49" s="13"/>
      <c r="AZ49" s="13"/>
      <c r="BA49" s="14"/>
      <c r="BB49" s="15"/>
      <c r="BC49" s="13"/>
      <c r="BD49" s="13"/>
      <c r="BE49" s="13"/>
      <c r="BF49" s="13"/>
      <c r="BG49" s="13"/>
      <c r="BH49" s="14"/>
      <c r="BI49" s="15"/>
      <c r="BJ49" s="13"/>
      <c r="BK49" s="13"/>
      <c r="BL49" s="13"/>
      <c r="BM49" s="13"/>
      <c r="BN49" s="13"/>
      <c r="BO49" s="14"/>
      <c r="BP49" s="15"/>
      <c r="BQ49" s="13"/>
      <c r="BR49" s="13"/>
      <c r="BS49" s="13"/>
      <c r="BT49" s="13"/>
      <c r="BU49" s="13"/>
      <c r="BV49" s="14"/>
      <c r="BW49" s="15"/>
      <c r="BX49" s="13"/>
      <c r="BY49" s="13"/>
      <c r="BZ49" s="13"/>
      <c r="CA49" s="13"/>
      <c r="CB49" s="13"/>
      <c r="CC49" s="14"/>
      <c r="CD49" s="15"/>
      <c r="CE49" s="13"/>
      <c r="CF49" s="13"/>
      <c r="CG49" s="13"/>
      <c r="CH49" s="13"/>
      <c r="CI49" s="13"/>
      <c r="CJ49" s="14"/>
      <c r="CK49" s="15"/>
      <c r="CL49" s="13"/>
      <c r="CM49" s="13"/>
      <c r="CN49" s="13"/>
      <c r="CO49" s="13"/>
      <c r="CP49" s="13"/>
      <c r="CQ49" s="14"/>
      <c r="CR49" s="15"/>
      <c r="CS49" s="13"/>
      <c r="CT49" s="13"/>
      <c r="CU49" s="13"/>
      <c r="CV49" s="13"/>
      <c r="CW49" s="13"/>
      <c r="CX49" s="14"/>
      <c r="CY49" s="13"/>
      <c r="CZ49" s="13"/>
      <c r="DA49" s="14"/>
      <c r="DB49" s="15"/>
      <c r="DC49" s="13"/>
      <c r="DD49" s="13"/>
      <c r="DE49" s="13"/>
      <c r="DF49" s="13"/>
      <c r="DG49" s="13"/>
      <c r="DH49" s="14"/>
      <c r="DI49" s="15"/>
      <c r="DJ49" s="13"/>
      <c r="DK49" s="13"/>
      <c r="DL49" s="15"/>
      <c r="DM49" s="13"/>
      <c r="DN49" s="13"/>
      <c r="DO49" s="13"/>
      <c r="DP49" s="13"/>
      <c r="DQ49" s="13"/>
      <c r="DR49" s="14"/>
      <c r="DS49" s="15"/>
      <c r="DT49" s="13"/>
      <c r="DU49" s="13"/>
      <c r="DV49" s="13"/>
      <c r="DW49" s="13"/>
      <c r="DX49" s="13"/>
      <c r="DY49" s="14"/>
      <c r="DZ49" s="15"/>
      <c r="EA49" s="13"/>
      <c r="EB49" s="13"/>
      <c r="EC49" s="25"/>
      <c r="ED49" s="13"/>
      <c r="EE49" s="13"/>
      <c r="EF49" s="14"/>
      <c r="EG49" s="15"/>
      <c r="EH49" s="13"/>
      <c r="EI49" s="13"/>
      <c r="EJ49" s="13"/>
      <c r="EK49" s="13"/>
      <c r="EL49" s="13"/>
      <c r="EM49" s="14"/>
      <c r="EN49" s="15"/>
      <c r="EO49" s="13"/>
      <c r="EP49" s="13"/>
      <c r="EQ49" s="13"/>
      <c r="ER49" s="13"/>
      <c r="ES49" s="13"/>
      <c r="ET49" s="23"/>
      <c r="EU49" s="23"/>
      <c r="EV49" s="14"/>
      <c r="EW49" s="15"/>
      <c r="EX49" s="23"/>
      <c r="EY49" s="23"/>
      <c r="EZ49" s="23"/>
      <c r="FA49" s="23"/>
      <c r="FB49" s="23"/>
      <c r="FC49" s="24"/>
      <c r="FD49" s="22"/>
      <c r="FE49" s="23"/>
      <c r="FF49" s="23"/>
      <c r="FG49" s="23"/>
      <c r="FH49" s="23"/>
      <c r="FI49" s="23"/>
      <c r="FJ49" s="24"/>
      <c r="FK49" s="22"/>
      <c r="FL49" s="23"/>
      <c r="FM49" s="23"/>
      <c r="FN49" s="23"/>
      <c r="FO49" s="23"/>
      <c r="FP49" s="23"/>
      <c r="FQ49" s="24"/>
      <c r="FR49" s="22"/>
      <c r="FS49" s="23"/>
      <c r="FT49" s="23"/>
      <c r="FU49" s="23"/>
      <c r="FV49" s="23"/>
      <c r="FW49" s="23"/>
      <c r="FX49" s="24"/>
      <c r="FY49" s="22"/>
      <c r="FZ49" s="23"/>
      <c r="GA49" s="23"/>
      <c r="GB49" s="23"/>
      <c r="GC49" s="23"/>
      <c r="GD49" s="23"/>
      <c r="GE49" s="24"/>
      <c r="GF49" s="22"/>
      <c r="GG49" s="23"/>
      <c r="GH49" s="23"/>
    </row>
    <row r="50" spans="1:190" ht="17.25" customHeight="1">
      <c r="A50" s="404">
        <v>22</v>
      </c>
      <c r="B50" s="101" t="s">
        <v>25</v>
      </c>
      <c r="C50" s="101" t="s">
        <v>209</v>
      </c>
      <c r="D50" s="117" t="s">
        <v>210</v>
      </c>
      <c r="E50" s="336" t="s">
        <v>33</v>
      </c>
      <c r="F50" s="407">
        <v>120</v>
      </c>
      <c r="G50" s="352" t="s">
        <v>56</v>
      </c>
      <c r="H50" s="70" t="s">
        <v>17</v>
      </c>
      <c r="I50" s="46">
        <v>40504</v>
      </c>
      <c r="J50" s="47">
        <v>40450</v>
      </c>
      <c r="K50" s="69"/>
      <c r="L50" s="49" t="s">
        <v>3</v>
      </c>
      <c r="M50" s="49" t="s">
        <v>3</v>
      </c>
      <c r="N50" s="49" t="s">
        <v>3</v>
      </c>
      <c r="O50" s="49" t="s">
        <v>3</v>
      </c>
      <c r="P50" s="49" t="s">
        <v>3</v>
      </c>
      <c r="Q50" s="110">
        <v>40448</v>
      </c>
      <c r="R50" s="110">
        <v>40450</v>
      </c>
      <c r="S50" s="111">
        <v>40448</v>
      </c>
      <c r="T50" s="112">
        <v>40451</v>
      </c>
      <c r="U50" s="13"/>
      <c r="V50" s="13"/>
      <c r="W50" s="13"/>
      <c r="X50" s="13"/>
      <c r="Y50" s="14"/>
      <c r="Z50" s="15"/>
      <c r="AA50" s="13"/>
      <c r="AB50" s="13"/>
      <c r="AC50" s="13"/>
      <c r="AD50" s="13"/>
      <c r="AE50" s="13"/>
      <c r="AF50" s="14"/>
      <c r="AG50" s="15"/>
      <c r="AH50" s="13"/>
      <c r="AI50" s="13"/>
      <c r="AJ50" s="13"/>
      <c r="AK50" s="13"/>
      <c r="AL50" s="13"/>
      <c r="AM50" s="14"/>
      <c r="AN50" s="15"/>
      <c r="AO50" s="13"/>
      <c r="AP50" s="15"/>
      <c r="AQ50" s="13"/>
      <c r="AR50" s="13"/>
      <c r="AS50" s="13"/>
      <c r="AT50" s="14"/>
      <c r="AU50" s="15"/>
      <c r="AV50" s="13"/>
      <c r="AW50" s="13"/>
      <c r="AX50" s="13"/>
      <c r="AY50" s="13"/>
      <c r="AZ50" s="13"/>
      <c r="BA50" s="14"/>
      <c r="BB50" s="15"/>
      <c r="BC50" s="13"/>
      <c r="BD50" s="13"/>
      <c r="BE50" s="13"/>
      <c r="BF50" s="13"/>
      <c r="BG50" s="13"/>
      <c r="BH50" s="14"/>
      <c r="BI50" s="15"/>
      <c r="BJ50" s="13"/>
      <c r="BK50" s="13"/>
      <c r="BL50" s="13"/>
      <c r="BM50" s="13"/>
      <c r="BN50" s="13"/>
      <c r="BO50" s="14"/>
      <c r="BP50" s="15"/>
      <c r="BQ50" s="13"/>
      <c r="BR50" s="13"/>
      <c r="BS50" s="13"/>
      <c r="BT50" s="13"/>
      <c r="BU50" s="13"/>
      <c r="BV50" s="14"/>
      <c r="BW50" s="15"/>
      <c r="BX50" s="13"/>
      <c r="BY50" s="13"/>
      <c r="BZ50" s="13"/>
      <c r="CA50" s="13"/>
      <c r="CB50" s="13"/>
      <c r="CC50" s="14"/>
      <c r="CD50" s="15"/>
      <c r="CE50" s="13"/>
      <c r="CF50" s="13"/>
      <c r="CG50" s="13"/>
      <c r="CH50" s="13"/>
      <c r="CI50" s="13"/>
      <c r="CJ50" s="14"/>
      <c r="CK50" s="15"/>
      <c r="CL50" s="13"/>
      <c r="CM50" s="13"/>
      <c r="CN50" s="13"/>
      <c r="CO50" s="13"/>
      <c r="CP50" s="13"/>
      <c r="CQ50" s="14"/>
      <c r="CR50" s="15"/>
      <c r="CS50" s="13"/>
      <c r="CT50" s="13"/>
      <c r="CU50" s="13"/>
      <c r="CV50" s="13"/>
      <c r="CW50" s="13"/>
      <c r="CX50" s="14"/>
      <c r="CY50" s="13"/>
      <c r="CZ50" s="13"/>
      <c r="DA50" s="14"/>
      <c r="DB50" s="15"/>
      <c r="DC50" s="13"/>
      <c r="DD50" s="13"/>
      <c r="DE50" s="13"/>
      <c r="DF50" s="13"/>
      <c r="DG50" s="13"/>
      <c r="DH50" s="14"/>
      <c r="DI50" s="15"/>
      <c r="DJ50" s="13"/>
      <c r="DK50" s="13"/>
      <c r="DL50" s="15"/>
      <c r="DM50" s="13"/>
      <c r="DN50" s="13"/>
      <c r="DO50" s="13"/>
      <c r="DP50" s="13"/>
      <c r="DQ50" s="13"/>
      <c r="DR50" s="14"/>
      <c r="DS50" s="15"/>
      <c r="DT50" s="13"/>
      <c r="DU50" s="13"/>
      <c r="DV50" s="13"/>
      <c r="DW50" s="13"/>
      <c r="DX50" s="13"/>
      <c r="DY50" s="14"/>
      <c r="DZ50" s="15"/>
      <c r="EA50" s="13"/>
      <c r="EB50" s="13"/>
      <c r="EC50" s="25"/>
      <c r="ED50" s="13"/>
      <c r="EE50" s="13"/>
      <c r="EF50" s="14"/>
      <c r="EG50" s="15"/>
      <c r="EH50" s="13"/>
      <c r="EI50" s="13"/>
      <c r="EJ50" s="13"/>
      <c r="EK50" s="13"/>
      <c r="EL50" s="13"/>
      <c r="EM50" s="14"/>
      <c r="EN50" s="15"/>
      <c r="EO50" s="13"/>
      <c r="EP50" s="13"/>
      <c r="EQ50" s="13"/>
      <c r="ER50" s="13"/>
      <c r="ES50" s="13"/>
      <c r="ET50" s="23"/>
      <c r="EU50" s="23"/>
      <c r="EV50" s="14"/>
      <c r="EW50" s="15"/>
      <c r="EX50" s="23"/>
      <c r="EY50" s="23"/>
      <c r="EZ50" s="23"/>
      <c r="FA50" s="23"/>
      <c r="FB50" s="23"/>
      <c r="FC50" s="24"/>
      <c r="FD50" s="22"/>
      <c r="FE50" s="23"/>
      <c r="FF50" s="23"/>
      <c r="FG50" s="23"/>
      <c r="FH50" s="23"/>
      <c r="FI50" s="23"/>
      <c r="FJ50" s="24"/>
      <c r="FK50" s="22"/>
      <c r="FL50" s="23"/>
      <c r="FM50" s="23"/>
      <c r="FN50" s="23"/>
      <c r="FO50" s="23"/>
      <c r="FP50" s="23"/>
      <c r="FQ50" s="24"/>
      <c r="FR50" s="22"/>
      <c r="FS50" s="23"/>
      <c r="FT50" s="23"/>
      <c r="FU50" s="23"/>
      <c r="FV50" s="23"/>
      <c r="FW50" s="23"/>
      <c r="FX50" s="24"/>
      <c r="FY50" s="22"/>
      <c r="FZ50" s="23"/>
      <c r="GA50" s="23"/>
      <c r="GB50" s="23"/>
      <c r="GC50" s="23"/>
      <c r="GD50" s="23"/>
      <c r="GE50" s="24"/>
      <c r="GF50" s="22"/>
      <c r="GG50" s="23"/>
      <c r="GH50" s="23"/>
    </row>
    <row r="51" spans="1:190" ht="17.25" customHeight="1">
      <c r="A51" s="404"/>
      <c r="B51" s="101" t="s">
        <v>25</v>
      </c>
      <c r="C51" s="117" t="s">
        <v>209</v>
      </c>
      <c r="D51" s="117" t="s">
        <v>211</v>
      </c>
      <c r="E51" s="337"/>
      <c r="F51" s="408"/>
      <c r="G51" s="353"/>
      <c r="H51" s="50" t="s">
        <v>254</v>
      </c>
      <c r="I51" s="46">
        <v>40480</v>
      </c>
      <c r="J51" s="47" t="s">
        <v>42</v>
      </c>
      <c r="K51" s="69"/>
      <c r="L51" s="47">
        <v>40437</v>
      </c>
      <c r="M51" s="47">
        <v>40441</v>
      </c>
      <c r="N51" s="46">
        <v>40453</v>
      </c>
      <c r="O51" s="47">
        <v>40436</v>
      </c>
      <c r="P51" s="47">
        <v>40450</v>
      </c>
      <c r="Q51" s="110">
        <v>40448</v>
      </c>
      <c r="R51" s="110">
        <v>40451</v>
      </c>
      <c r="S51" s="111">
        <v>40448</v>
      </c>
      <c r="T51" s="112">
        <v>40451</v>
      </c>
      <c r="U51" s="13"/>
      <c r="V51" s="13"/>
      <c r="W51" s="13"/>
      <c r="X51" s="13"/>
      <c r="Y51" s="14"/>
      <c r="Z51" s="15"/>
      <c r="AA51" s="13"/>
      <c r="AB51" s="13"/>
      <c r="AC51" s="13"/>
      <c r="AD51" s="13"/>
      <c r="AE51" s="13"/>
      <c r="AF51" s="14"/>
      <c r="AG51" s="15"/>
      <c r="AH51" s="13"/>
      <c r="AI51" s="13"/>
      <c r="AJ51" s="13"/>
      <c r="AK51" s="13"/>
      <c r="AL51" s="13"/>
      <c r="AM51" s="14"/>
      <c r="AN51" s="15"/>
      <c r="AO51" s="13"/>
      <c r="AP51" s="15"/>
      <c r="AQ51" s="13"/>
      <c r="AR51" s="13"/>
      <c r="AS51" s="13"/>
      <c r="AT51" s="14"/>
      <c r="AU51" s="15"/>
      <c r="AV51" s="13"/>
      <c r="AW51" s="13"/>
      <c r="AX51" s="13"/>
      <c r="AY51" s="13"/>
      <c r="AZ51" s="13"/>
      <c r="BA51" s="14"/>
      <c r="BB51" s="15"/>
      <c r="BC51" s="13"/>
      <c r="BD51" s="13"/>
      <c r="BE51" s="13"/>
      <c r="BF51" s="13"/>
      <c r="BG51" s="13"/>
      <c r="BH51" s="14"/>
      <c r="BI51" s="15"/>
      <c r="BJ51" s="13"/>
      <c r="BK51" s="13"/>
      <c r="BL51" s="13"/>
      <c r="BM51" s="13"/>
      <c r="BN51" s="13"/>
      <c r="BO51" s="14"/>
      <c r="BP51" s="15"/>
      <c r="BQ51" s="13"/>
      <c r="BR51" s="13"/>
      <c r="BS51" s="13"/>
      <c r="BT51" s="13"/>
      <c r="BU51" s="13"/>
      <c r="BV51" s="14"/>
      <c r="BW51" s="15"/>
      <c r="BX51" s="13"/>
      <c r="BY51" s="13"/>
      <c r="BZ51" s="13"/>
      <c r="CA51" s="13"/>
      <c r="CB51" s="13"/>
      <c r="CC51" s="14"/>
      <c r="CD51" s="15"/>
      <c r="CE51" s="13"/>
      <c r="CF51" s="13"/>
      <c r="CG51" s="13"/>
      <c r="CH51" s="13"/>
      <c r="CI51" s="13"/>
      <c r="CJ51" s="14"/>
      <c r="CK51" s="15"/>
      <c r="CL51" s="13"/>
      <c r="CM51" s="13"/>
      <c r="CN51" s="13"/>
      <c r="CO51" s="13"/>
      <c r="CP51" s="13"/>
      <c r="CQ51" s="14"/>
      <c r="CR51" s="15"/>
      <c r="CS51" s="13"/>
      <c r="CT51" s="13"/>
      <c r="CU51" s="13"/>
      <c r="CV51" s="13"/>
      <c r="CW51" s="13"/>
      <c r="CX51" s="14"/>
      <c r="CY51" s="13"/>
      <c r="CZ51" s="13"/>
      <c r="DA51" s="14"/>
      <c r="DB51" s="15"/>
      <c r="DC51" s="13"/>
      <c r="DD51" s="13"/>
      <c r="DE51" s="13"/>
      <c r="DF51" s="13"/>
      <c r="DG51" s="13"/>
      <c r="DH51" s="14"/>
      <c r="DI51" s="15"/>
      <c r="DJ51" s="13"/>
      <c r="DK51" s="13"/>
      <c r="DL51" s="15"/>
      <c r="DM51" s="13"/>
      <c r="DN51" s="13"/>
      <c r="DO51" s="13"/>
      <c r="DP51" s="13"/>
      <c r="DQ51" s="13"/>
      <c r="DR51" s="14"/>
      <c r="DS51" s="15"/>
      <c r="DT51" s="13"/>
      <c r="DU51" s="13"/>
      <c r="DV51" s="13"/>
      <c r="DW51" s="13"/>
      <c r="DX51" s="13"/>
      <c r="DY51" s="14"/>
      <c r="DZ51" s="15"/>
      <c r="EA51" s="13"/>
      <c r="EB51" s="13"/>
      <c r="EC51" s="25"/>
      <c r="ED51" s="13"/>
      <c r="EE51" s="13"/>
      <c r="EF51" s="14"/>
      <c r="EG51" s="15"/>
      <c r="EH51" s="13"/>
      <c r="EI51" s="13"/>
      <c r="EJ51" s="13"/>
      <c r="EK51" s="13"/>
      <c r="EL51" s="13"/>
      <c r="EM51" s="14"/>
      <c r="EN51" s="15"/>
      <c r="EO51" s="13"/>
      <c r="EP51" s="13"/>
      <c r="EQ51" s="13"/>
      <c r="ER51" s="13"/>
      <c r="ES51" s="13"/>
      <c r="ET51" s="23"/>
      <c r="EU51" s="23"/>
      <c r="EV51" s="14"/>
      <c r="EW51" s="15"/>
      <c r="EX51" s="23"/>
      <c r="EY51" s="23"/>
      <c r="EZ51" s="23"/>
      <c r="FA51" s="23"/>
      <c r="FB51" s="23"/>
      <c r="FC51" s="24"/>
      <c r="FD51" s="22"/>
      <c r="FE51" s="23"/>
      <c r="FF51" s="23"/>
      <c r="FG51" s="23"/>
      <c r="FH51" s="23"/>
      <c r="FI51" s="23"/>
      <c r="FJ51" s="24"/>
      <c r="FK51" s="22"/>
      <c r="FL51" s="23"/>
      <c r="FM51" s="23"/>
      <c r="FN51" s="23"/>
      <c r="FO51" s="23"/>
      <c r="FP51" s="23"/>
      <c r="FQ51" s="24"/>
      <c r="FR51" s="22"/>
      <c r="FS51" s="23"/>
      <c r="FT51" s="23"/>
      <c r="FU51" s="23"/>
      <c r="FV51" s="23"/>
      <c r="FW51" s="23"/>
      <c r="FX51" s="24"/>
      <c r="FY51" s="22"/>
      <c r="FZ51" s="23"/>
      <c r="GA51" s="23"/>
      <c r="GB51" s="23"/>
      <c r="GC51" s="23"/>
      <c r="GD51" s="23"/>
      <c r="GE51" s="24"/>
      <c r="GF51" s="22"/>
      <c r="GG51" s="23"/>
      <c r="GH51" s="23"/>
    </row>
    <row r="52" spans="1:190" ht="17.25" customHeight="1">
      <c r="A52" s="357">
        <v>1</v>
      </c>
      <c r="B52" s="330" t="s">
        <v>255</v>
      </c>
      <c r="C52" s="418" t="s">
        <v>290</v>
      </c>
      <c r="D52" s="418" t="s">
        <v>291</v>
      </c>
      <c r="E52" s="336" t="s">
        <v>256</v>
      </c>
      <c r="F52" s="407">
        <v>230</v>
      </c>
      <c r="G52" s="352" t="s">
        <v>257</v>
      </c>
      <c r="H52" s="115" t="s">
        <v>258</v>
      </c>
      <c r="I52" s="46">
        <v>40507</v>
      </c>
      <c r="J52" s="47">
        <v>40451</v>
      </c>
      <c r="K52" s="51"/>
      <c r="L52" s="49" t="s">
        <v>3</v>
      </c>
      <c r="M52" s="49" t="s">
        <v>3</v>
      </c>
      <c r="N52" s="49" t="s">
        <v>3</v>
      </c>
      <c r="O52" s="49" t="s">
        <v>3</v>
      </c>
      <c r="P52" s="49" t="s">
        <v>3</v>
      </c>
      <c r="Q52" s="46">
        <v>40449</v>
      </c>
      <c r="R52" s="46">
        <v>40454</v>
      </c>
      <c r="S52" s="105">
        <v>40449</v>
      </c>
      <c r="T52" s="106">
        <v>40459</v>
      </c>
      <c r="U52" s="13"/>
      <c r="V52" s="13"/>
      <c r="W52" s="13"/>
      <c r="X52" s="13"/>
      <c r="Y52" s="14"/>
      <c r="Z52" s="15"/>
      <c r="AA52" s="13"/>
      <c r="AB52" s="13"/>
      <c r="AC52" s="13"/>
      <c r="AD52" s="13"/>
      <c r="AE52" s="13"/>
      <c r="AF52" s="14"/>
      <c r="AG52" s="15"/>
      <c r="AH52" s="13"/>
      <c r="AI52" s="13"/>
      <c r="AJ52" s="13"/>
      <c r="AK52" s="13"/>
      <c r="AL52" s="13"/>
      <c r="AM52" s="14"/>
      <c r="AN52" s="15"/>
      <c r="AO52" s="13"/>
      <c r="AP52" s="15"/>
      <c r="AQ52" s="13"/>
      <c r="AR52" s="13"/>
      <c r="AS52" s="13"/>
      <c r="AT52" s="14"/>
      <c r="AU52" s="15"/>
      <c r="AV52" s="13"/>
      <c r="AW52" s="13"/>
      <c r="AX52" s="13"/>
      <c r="AY52" s="13"/>
      <c r="AZ52" s="13"/>
      <c r="BA52" s="14"/>
      <c r="BB52" s="15"/>
      <c r="BC52" s="13"/>
      <c r="BD52" s="13"/>
      <c r="BE52" s="13"/>
      <c r="BF52" s="13"/>
      <c r="BG52" s="13"/>
      <c r="BH52" s="14"/>
      <c r="BI52" s="15"/>
      <c r="BJ52" s="13"/>
      <c r="BK52" s="13"/>
      <c r="BL52" s="13"/>
      <c r="BM52" s="13"/>
      <c r="BN52" s="13"/>
      <c r="BO52" s="14"/>
      <c r="BP52" s="15"/>
      <c r="BQ52" s="13"/>
      <c r="BR52" s="13"/>
      <c r="BS52" s="13"/>
      <c r="BT52" s="13"/>
      <c r="BU52" s="13"/>
      <c r="BV52" s="14"/>
      <c r="BW52" s="15"/>
      <c r="BX52" s="13"/>
      <c r="BY52" s="13"/>
      <c r="BZ52" s="13"/>
      <c r="CA52" s="13"/>
      <c r="CB52" s="13"/>
      <c r="CC52" s="14"/>
      <c r="CD52" s="15"/>
      <c r="CE52" s="13"/>
      <c r="CF52" s="13"/>
      <c r="CG52" s="13"/>
      <c r="CH52" s="13"/>
      <c r="CI52" s="13"/>
      <c r="CJ52" s="14"/>
      <c r="CK52" s="15"/>
      <c r="CL52" s="13"/>
      <c r="CM52" s="13"/>
      <c r="CN52" s="13"/>
      <c r="CO52" s="13"/>
      <c r="CP52" s="13"/>
      <c r="CQ52" s="14"/>
      <c r="CR52" s="15"/>
      <c r="CS52" s="13"/>
      <c r="CT52" s="13"/>
      <c r="CU52" s="13"/>
      <c r="CV52" s="13"/>
      <c r="CW52" s="13"/>
      <c r="CX52" s="14"/>
      <c r="CY52" s="13"/>
      <c r="CZ52" s="13"/>
      <c r="DA52" s="14"/>
      <c r="DB52" s="15"/>
      <c r="DC52" s="13"/>
      <c r="DD52" s="13"/>
      <c r="DE52" s="13"/>
      <c r="DF52" s="13"/>
      <c r="DG52" s="13"/>
      <c r="DH52" s="14"/>
      <c r="DI52" s="15"/>
      <c r="DJ52" s="13"/>
      <c r="DK52" s="13"/>
      <c r="DL52" s="15"/>
      <c r="DM52" s="13"/>
      <c r="DN52" s="13"/>
      <c r="DO52" s="13"/>
      <c r="DP52" s="13"/>
      <c r="DQ52" s="13"/>
      <c r="DR52" s="34"/>
      <c r="DS52" s="35"/>
      <c r="DT52" s="23"/>
      <c r="DU52" s="23"/>
      <c r="DV52" s="23"/>
      <c r="DW52" s="23"/>
      <c r="DX52" s="23"/>
      <c r="DY52" s="34"/>
      <c r="DZ52" s="35"/>
      <c r="EA52" s="23"/>
      <c r="EB52" s="23"/>
      <c r="EC52" s="23"/>
      <c r="ED52" s="23"/>
      <c r="EE52" s="23"/>
      <c r="EF52" s="34"/>
      <c r="EG52" s="35"/>
      <c r="EH52" s="23"/>
      <c r="EI52" s="23"/>
      <c r="EJ52" s="23"/>
      <c r="EK52" s="23"/>
      <c r="EL52" s="23"/>
      <c r="EM52" s="34"/>
      <c r="EN52" s="35"/>
      <c r="EO52" s="23"/>
      <c r="EP52" s="23"/>
      <c r="EQ52" s="23"/>
      <c r="ER52" s="23"/>
      <c r="ES52" s="23"/>
      <c r="ET52" s="23"/>
      <c r="EU52" s="23"/>
      <c r="EV52" s="14"/>
      <c r="EW52" s="15"/>
      <c r="EX52" s="23"/>
      <c r="EY52" s="23"/>
      <c r="EZ52" s="23"/>
      <c r="FA52" s="23"/>
      <c r="FB52" s="23"/>
      <c r="FC52" s="24"/>
      <c r="FD52" s="22"/>
      <c r="FE52" s="23"/>
      <c r="FF52" s="23"/>
      <c r="FG52" s="23"/>
      <c r="FH52" s="23"/>
      <c r="FI52" s="23"/>
      <c r="FJ52" s="24"/>
      <c r="FK52" s="22"/>
      <c r="FL52" s="23"/>
      <c r="FM52" s="23"/>
      <c r="FN52" s="23"/>
      <c r="FO52" s="23"/>
      <c r="FP52" s="23"/>
      <c r="FQ52" s="24"/>
      <c r="FR52" s="22"/>
      <c r="FS52" s="23"/>
      <c r="FT52" s="23"/>
      <c r="FU52" s="23"/>
      <c r="FV52" s="23"/>
      <c r="FW52" s="23"/>
      <c r="FX52" s="24"/>
      <c r="FY52" s="22"/>
      <c r="FZ52" s="23"/>
      <c r="GA52" s="23"/>
      <c r="GB52" s="23"/>
      <c r="GC52" s="23"/>
      <c r="GD52" s="23"/>
      <c r="GE52" s="24"/>
      <c r="GF52" s="22"/>
      <c r="GG52" s="23"/>
      <c r="GH52" s="23"/>
    </row>
    <row r="53" spans="1:190" ht="17.25" customHeight="1" thickBot="1">
      <c r="A53" s="357"/>
      <c r="B53" s="331"/>
      <c r="C53" s="419"/>
      <c r="D53" s="420"/>
      <c r="E53" s="337"/>
      <c r="F53" s="421"/>
      <c r="G53" s="353"/>
      <c r="H53" s="114" t="s">
        <v>259</v>
      </c>
      <c r="I53" s="46">
        <v>40478</v>
      </c>
      <c r="J53" s="47" t="s">
        <v>260</v>
      </c>
      <c r="K53" s="51"/>
      <c r="L53" s="47">
        <v>40450</v>
      </c>
      <c r="M53" s="47">
        <v>40456</v>
      </c>
      <c r="N53" s="47">
        <v>40450</v>
      </c>
      <c r="O53" s="47">
        <v>40450</v>
      </c>
      <c r="P53" s="47">
        <v>40457</v>
      </c>
      <c r="Q53" s="46">
        <v>40449</v>
      </c>
      <c r="R53" s="46">
        <v>40455</v>
      </c>
      <c r="S53" s="105">
        <v>40449</v>
      </c>
      <c r="T53" s="106">
        <v>40459</v>
      </c>
      <c r="U53" s="13"/>
      <c r="V53" s="13"/>
      <c r="W53" s="13"/>
      <c r="X53" s="13"/>
      <c r="Y53" s="14"/>
      <c r="Z53" s="15"/>
      <c r="AA53" s="13"/>
      <c r="AB53" s="13"/>
      <c r="AC53" s="13"/>
      <c r="AD53" s="13"/>
      <c r="AE53" s="13"/>
      <c r="AF53" s="14"/>
      <c r="AG53" s="15"/>
      <c r="AH53" s="13"/>
      <c r="AI53" s="13"/>
      <c r="AJ53" s="13"/>
      <c r="AK53" s="13"/>
      <c r="AL53" s="13"/>
      <c r="AM53" s="14"/>
      <c r="AN53" s="15"/>
      <c r="AO53" s="13"/>
      <c r="AP53" s="15"/>
      <c r="AQ53" s="13"/>
      <c r="AR53" s="13"/>
      <c r="AS53" s="13"/>
      <c r="AT53" s="14"/>
      <c r="AU53" s="15"/>
      <c r="AV53" s="13"/>
      <c r="AW53" s="13"/>
      <c r="AX53" s="13"/>
      <c r="AY53" s="13"/>
      <c r="AZ53" s="13"/>
      <c r="BA53" s="14"/>
      <c r="BB53" s="15"/>
      <c r="BC53" s="13"/>
      <c r="BD53" s="13"/>
      <c r="BE53" s="13"/>
      <c r="BF53" s="13"/>
      <c r="BG53" s="13"/>
      <c r="BH53" s="14"/>
      <c r="BI53" s="15"/>
      <c r="BJ53" s="13"/>
      <c r="BK53" s="13"/>
      <c r="BL53" s="13"/>
      <c r="BM53" s="13"/>
      <c r="BN53" s="13"/>
      <c r="BO53" s="14"/>
      <c r="BP53" s="15"/>
      <c r="BQ53" s="13"/>
      <c r="BR53" s="13"/>
      <c r="BS53" s="13"/>
      <c r="BT53" s="13"/>
      <c r="BU53" s="13"/>
      <c r="BV53" s="14"/>
      <c r="BW53" s="15"/>
      <c r="BX53" s="13"/>
      <c r="BY53" s="13"/>
      <c r="BZ53" s="13"/>
      <c r="CA53" s="13"/>
      <c r="CB53" s="13"/>
      <c r="CC53" s="14"/>
      <c r="CD53" s="15"/>
      <c r="CE53" s="13"/>
      <c r="CF53" s="13"/>
      <c r="CG53" s="13"/>
      <c r="CH53" s="13"/>
      <c r="CI53" s="13"/>
      <c r="CJ53" s="14"/>
      <c r="CK53" s="15"/>
      <c r="CL53" s="13"/>
      <c r="CM53" s="13"/>
      <c r="CN53" s="13"/>
      <c r="CO53" s="13"/>
      <c r="CP53" s="13"/>
      <c r="CQ53" s="14"/>
      <c r="CR53" s="15"/>
      <c r="CS53" s="13"/>
      <c r="CT53" s="13"/>
      <c r="CU53" s="13"/>
      <c r="CV53" s="13"/>
      <c r="CW53" s="13"/>
      <c r="CX53" s="14"/>
      <c r="CY53" s="13"/>
      <c r="CZ53" s="13"/>
      <c r="DA53" s="14"/>
      <c r="DB53" s="15"/>
      <c r="DC53" s="13"/>
      <c r="DD53" s="13"/>
      <c r="DE53" s="13"/>
      <c r="DF53" s="13"/>
      <c r="DG53" s="13"/>
      <c r="DH53" s="14"/>
      <c r="DI53" s="15"/>
      <c r="DJ53" s="13"/>
      <c r="DK53" s="13"/>
      <c r="DL53" s="15"/>
      <c r="DM53" s="13"/>
      <c r="DN53" s="13"/>
      <c r="DO53" s="13"/>
      <c r="DP53" s="13"/>
      <c r="DQ53" s="13"/>
      <c r="DR53" s="34"/>
      <c r="DS53" s="35"/>
      <c r="DT53" s="23"/>
      <c r="DU53" s="23"/>
      <c r="DV53" s="23"/>
      <c r="DW53" s="23"/>
      <c r="DX53" s="23"/>
      <c r="DY53" s="34"/>
      <c r="DZ53" s="35"/>
      <c r="EA53" s="23"/>
      <c r="EB53" s="23"/>
      <c r="EC53" s="23"/>
      <c r="ED53" s="23"/>
      <c r="EE53" s="23"/>
      <c r="EF53" s="34"/>
      <c r="EG53" s="35"/>
      <c r="EH53" s="23"/>
      <c r="EI53" s="23"/>
      <c r="EJ53" s="23"/>
      <c r="EK53" s="23"/>
      <c r="EL53" s="23"/>
      <c r="EM53" s="34"/>
      <c r="EN53" s="35"/>
      <c r="EO53" s="23"/>
      <c r="EP53" s="23"/>
      <c r="EQ53" s="23"/>
      <c r="ER53" s="23"/>
      <c r="ES53" s="23"/>
      <c r="ET53" s="23"/>
      <c r="EU53" s="23"/>
      <c r="EV53" s="14"/>
      <c r="EW53" s="15"/>
      <c r="EX53" s="23"/>
      <c r="EY53" s="23"/>
      <c r="EZ53" s="23"/>
      <c r="FA53" s="23"/>
      <c r="FB53" s="23"/>
      <c r="FC53" s="24"/>
      <c r="FD53" s="22"/>
      <c r="FE53" s="23"/>
      <c r="FF53" s="23"/>
      <c r="FG53" s="23"/>
      <c r="FH53" s="23"/>
      <c r="FI53" s="23"/>
      <c r="FJ53" s="24"/>
      <c r="FK53" s="22"/>
      <c r="FL53" s="23"/>
      <c r="FM53" s="23"/>
      <c r="FN53" s="23"/>
      <c r="FO53" s="23"/>
      <c r="FP53" s="23"/>
      <c r="FQ53" s="24"/>
      <c r="FR53" s="22"/>
      <c r="FS53" s="23"/>
      <c r="FT53" s="23"/>
      <c r="FU53" s="23"/>
      <c r="FV53" s="23"/>
      <c r="FW53" s="23"/>
      <c r="FX53" s="24"/>
      <c r="FY53" s="22"/>
      <c r="FZ53" s="23"/>
      <c r="GA53" s="23"/>
      <c r="GB53" s="23"/>
      <c r="GC53" s="23"/>
      <c r="GD53" s="23"/>
      <c r="GE53" s="24"/>
      <c r="GF53" s="22"/>
      <c r="GG53" s="23"/>
      <c r="GH53" s="23"/>
    </row>
    <row r="54" spans="1:190" ht="35.25" customHeight="1" thickBot="1">
      <c r="A54" s="342" t="s">
        <v>58</v>
      </c>
      <c r="B54" s="343"/>
      <c r="C54" s="344"/>
      <c r="D54" s="343"/>
      <c r="E54" s="343"/>
      <c r="F54" s="343"/>
      <c r="G54" s="97"/>
      <c r="H54" s="72" t="s">
        <v>287</v>
      </c>
      <c r="I54" s="53"/>
      <c r="J54" s="53"/>
      <c r="K54" s="53"/>
      <c r="L54" s="345" t="s">
        <v>7</v>
      </c>
      <c r="M54" s="346"/>
      <c r="N54" s="346"/>
      <c r="O54" s="346"/>
      <c r="P54" s="346"/>
      <c r="Q54" s="346"/>
      <c r="R54" s="346"/>
      <c r="S54" s="346"/>
      <c r="T54" s="347"/>
    </row>
    <row r="55" spans="1:190" ht="15" customHeight="1">
      <c r="A55" s="73"/>
      <c r="B55" s="74"/>
      <c r="C55" s="74"/>
      <c r="D55" s="75"/>
      <c r="E55" s="75"/>
      <c r="F55" s="76"/>
      <c r="G55" s="76"/>
      <c r="H55" s="77"/>
      <c r="I55" s="78"/>
      <c r="J55" s="79"/>
      <c r="K55" s="80"/>
      <c r="L55" s="79"/>
      <c r="M55" s="79"/>
      <c r="N55" s="78"/>
      <c r="O55" s="79"/>
      <c r="P55" s="78"/>
      <c r="Q55" s="81"/>
      <c r="R55" s="82"/>
      <c r="S55" s="82"/>
      <c r="T55" s="83"/>
      <c r="U55" s="13"/>
      <c r="V55" s="13"/>
      <c r="W55" s="13"/>
      <c r="X55" s="13"/>
      <c r="Y55" s="14"/>
      <c r="Z55" s="15"/>
      <c r="AA55" s="13"/>
      <c r="AB55" s="13"/>
      <c r="AC55" s="13"/>
      <c r="AD55" s="13"/>
      <c r="AE55" s="13"/>
      <c r="AF55" s="14"/>
      <c r="AG55" s="15"/>
      <c r="AH55" s="13"/>
      <c r="AI55" s="13"/>
      <c r="AJ55" s="13"/>
      <c r="AK55" s="13"/>
      <c r="AL55" s="13"/>
      <c r="AM55" s="14"/>
      <c r="AN55" s="15"/>
      <c r="AO55" s="13"/>
      <c r="AP55" s="15"/>
      <c r="AQ55" s="13"/>
      <c r="AR55" s="13"/>
      <c r="AS55" s="13"/>
      <c r="AT55" s="14"/>
      <c r="AU55" s="15"/>
      <c r="AV55" s="13"/>
      <c r="AW55" s="13"/>
      <c r="AX55" s="13"/>
      <c r="AY55" s="13"/>
      <c r="AZ55" s="13"/>
      <c r="BA55" s="14"/>
      <c r="BB55" s="15"/>
      <c r="BC55" s="13"/>
      <c r="BD55" s="13"/>
      <c r="BE55" s="13"/>
      <c r="BF55" s="13"/>
      <c r="BG55" s="13"/>
      <c r="BH55" s="14"/>
      <c r="BI55" s="15"/>
      <c r="BJ55" s="13"/>
      <c r="BK55" s="13"/>
      <c r="BL55" s="13"/>
      <c r="BM55" s="13"/>
      <c r="BN55" s="13"/>
      <c r="BO55" s="14"/>
      <c r="BP55" s="15"/>
      <c r="BQ55" s="13"/>
      <c r="BR55" s="13"/>
      <c r="BS55" s="13"/>
      <c r="BT55" s="13"/>
      <c r="BU55" s="13"/>
      <c r="BV55" s="14"/>
      <c r="BW55" s="15"/>
      <c r="BX55" s="13"/>
      <c r="BY55" s="13"/>
      <c r="BZ55" s="13"/>
      <c r="CA55" s="13"/>
      <c r="CB55" s="13"/>
      <c r="CC55" s="14"/>
      <c r="CD55" s="15"/>
      <c r="CE55" s="13"/>
      <c r="CF55" s="13"/>
      <c r="CG55" s="13"/>
      <c r="CH55" s="13"/>
      <c r="CI55" s="13"/>
      <c r="CJ55" s="14"/>
      <c r="CK55" s="15"/>
      <c r="CL55" s="13"/>
      <c r="CM55" s="13"/>
      <c r="CN55" s="13"/>
      <c r="CO55" s="13"/>
      <c r="CP55" s="13"/>
      <c r="CQ55" s="14"/>
      <c r="CR55" s="15"/>
      <c r="CS55" s="13"/>
      <c r="CT55" s="13"/>
      <c r="CU55" s="13"/>
      <c r="CV55" s="13"/>
      <c r="CW55" s="13"/>
      <c r="CX55" s="14"/>
      <c r="CY55" s="13"/>
      <c r="CZ55" s="13"/>
      <c r="DA55" s="14"/>
      <c r="DB55" s="15"/>
      <c r="DC55" s="13"/>
      <c r="DD55" s="13"/>
      <c r="DE55" s="13"/>
      <c r="DF55" s="13"/>
      <c r="DG55" s="13"/>
      <c r="DH55" s="14"/>
      <c r="DI55" s="15"/>
      <c r="DJ55" s="13"/>
      <c r="DK55" s="13"/>
      <c r="DL55" s="15"/>
      <c r="DM55" s="13"/>
      <c r="DN55" s="13"/>
      <c r="DO55" s="13"/>
      <c r="DP55" s="13"/>
      <c r="DQ55" s="13"/>
      <c r="DR55" s="14"/>
      <c r="DS55" s="15"/>
      <c r="DT55" s="13"/>
      <c r="DU55" s="13"/>
      <c r="DV55" s="13"/>
      <c r="DW55" s="13"/>
      <c r="DX55" s="13"/>
      <c r="DY55" s="14"/>
      <c r="DZ55" s="15"/>
      <c r="EA55" s="13"/>
      <c r="EB55" s="13"/>
      <c r="EC55" s="25"/>
      <c r="ED55" s="13"/>
      <c r="EE55" s="13"/>
      <c r="EF55" s="14"/>
      <c r="EG55" s="15"/>
      <c r="EH55" s="13"/>
      <c r="EI55" s="13"/>
      <c r="EJ55" s="13"/>
      <c r="EK55" s="13"/>
      <c r="EL55" s="13"/>
      <c r="EM55" s="14"/>
      <c r="EN55" s="15"/>
      <c r="EO55" s="13"/>
      <c r="EP55" s="13"/>
      <c r="EQ55" s="13"/>
      <c r="ER55" s="13"/>
      <c r="ES55" s="13"/>
      <c r="ET55" s="23"/>
      <c r="EU55" s="23"/>
      <c r="EV55" s="14"/>
      <c r="EW55" s="15"/>
      <c r="EX55" s="23"/>
      <c r="EY55" s="23"/>
      <c r="EZ55" s="23"/>
      <c r="FA55" s="23"/>
      <c r="FB55" s="23"/>
      <c r="FC55" s="24"/>
      <c r="FD55" s="22"/>
      <c r="FE55" s="23"/>
      <c r="FF55" s="23"/>
      <c r="FG55" s="23"/>
      <c r="FH55" s="23"/>
      <c r="FI55" s="23"/>
      <c r="FJ55" s="24"/>
      <c r="FK55" s="22"/>
      <c r="FL55" s="23"/>
      <c r="FM55" s="23"/>
      <c r="FN55" s="23"/>
      <c r="FO55" s="23"/>
      <c r="FP55" s="23"/>
      <c r="FQ55" s="24"/>
      <c r="FR55" s="22"/>
      <c r="FS55" s="23"/>
      <c r="FT55" s="23"/>
      <c r="FU55" s="23"/>
      <c r="FV55" s="23"/>
      <c r="FW55" s="23"/>
      <c r="FX55" s="24"/>
      <c r="FY55" s="22"/>
      <c r="FZ55" s="23"/>
      <c r="GA55" s="23"/>
      <c r="GB55" s="23"/>
      <c r="GC55" s="23"/>
      <c r="GD55" s="23"/>
      <c r="GE55" s="24"/>
      <c r="GF55" s="22"/>
      <c r="GG55" s="23"/>
      <c r="GH55" s="23"/>
    </row>
    <row r="56" spans="1:190" ht="15" customHeight="1">
      <c r="A56" s="98"/>
      <c r="B56" s="96"/>
      <c r="C56" s="96"/>
      <c r="D56" s="84"/>
      <c r="E56" s="84"/>
      <c r="F56" s="85"/>
      <c r="G56" s="85"/>
      <c r="H56" s="86"/>
      <c r="I56" s="66"/>
      <c r="J56" s="67"/>
      <c r="K56" s="87"/>
      <c r="L56" s="67"/>
      <c r="M56" s="67"/>
      <c r="N56" s="66"/>
      <c r="O56" s="67"/>
      <c r="P56" s="66"/>
      <c r="Q56" s="88"/>
      <c r="R56" s="89"/>
      <c r="S56" s="89"/>
      <c r="T56" s="90"/>
      <c r="U56" s="13"/>
      <c r="V56" s="13"/>
      <c r="W56" s="13"/>
      <c r="X56" s="13"/>
      <c r="Y56" s="14"/>
      <c r="Z56" s="15"/>
      <c r="AA56" s="13"/>
      <c r="AB56" s="13"/>
      <c r="AC56" s="13"/>
      <c r="AD56" s="13"/>
      <c r="AE56" s="13"/>
      <c r="AF56" s="14"/>
      <c r="AG56" s="15"/>
      <c r="AH56" s="13"/>
      <c r="AI56" s="13"/>
      <c r="AJ56" s="13"/>
      <c r="AK56" s="13"/>
      <c r="AL56" s="13"/>
      <c r="AM56" s="14"/>
      <c r="AN56" s="15"/>
      <c r="AO56" s="13"/>
      <c r="AP56" s="15"/>
      <c r="AQ56" s="13"/>
      <c r="AR56" s="13"/>
      <c r="AS56" s="13"/>
      <c r="AT56" s="14"/>
      <c r="AU56" s="15"/>
      <c r="AV56" s="13"/>
      <c r="AW56" s="13"/>
      <c r="AX56" s="13"/>
      <c r="AY56" s="13"/>
      <c r="AZ56" s="13"/>
      <c r="BA56" s="14"/>
      <c r="BB56" s="15"/>
      <c r="BC56" s="13"/>
      <c r="BD56" s="13"/>
      <c r="BE56" s="13"/>
      <c r="BF56" s="13"/>
      <c r="BG56" s="13"/>
      <c r="BH56" s="14"/>
      <c r="BI56" s="15"/>
      <c r="BJ56" s="13"/>
      <c r="BK56" s="13"/>
      <c r="BL56" s="13"/>
      <c r="BM56" s="13"/>
      <c r="BN56" s="13"/>
      <c r="BO56" s="14"/>
      <c r="BP56" s="15"/>
      <c r="BQ56" s="13"/>
      <c r="BR56" s="13"/>
      <c r="BS56" s="13"/>
      <c r="BT56" s="13"/>
      <c r="BU56" s="13"/>
      <c r="BV56" s="14"/>
      <c r="BW56" s="15"/>
      <c r="BX56" s="13"/>
      <c r="BY56" s="13"/>
      <c r="BZ56" s="13"/>
      <c r="CA56" s="13"/>
      <c r="CB56" s="13"/>
      <c r="CC56" s="14"/>
      <c r="CD56" s="15"/>
      <c r="CE56" s="13"/>
      <c r="CF56" s="13"/>
      <c r="CG56" s="13"/>
      <c r="CH56" s="13"/>
      <c r="CI56" s="13"/>
      <c r="CJ56" s="14"/>
      <c r="CK56" s="15"/>
      <c r="CL56" s="13"/>
      <c r="CM56" s="13"/>
      <c r="CN56" s="13"/>
      <c r="CO56" s="13"/>
      <c r="CP56" s="13"/>
      <c r="CQ56" s="14"/>
      <c r="CR56" s="15"/>
      <c r="CS56" s="13"/>
      <c r="CT56" s="13"/>
      <c r="CU56" s="13"/>
      <c r="CV56" s="13"/>
      <c r="CW56" s="13"/>
      <c r="CX56" s="14"/>
      <c r="CY56" s="13"/>
      <c r="CZ56" s="13"/>
      <c r="DA56" s="14"/>
      <c r="DB56" s="15"/>
      <c r="DC56" s="13"/>
      <c r="DD56" s="13"/>
      <c r="DE56" s="13"/>
      <c r="DF56" s="13"/>
      <c r="DG56" s="13"/>
      <c r="DH56" s="14"/>
      <c r="DI56" s="15"/>
      <c r="DJ56" s="13"/>
      <c r="DK56" s="13"/>
      <c r="DL56" s="15"/>
      <c r="DM56" s="13"/>
      <c r="DN56" s="13"/>
      <c r="DO56" s="13"/>
      <c r="DP56" s="13"/>
      <c r="DQ56" s="13"/>
      <c r="DR56" s="14"/>
      <c r="DS56" s="15"/>
      <c r="DT56" s="13"/>
      <c r="DU56" s="13"/>
      <c r="DV56" s="13"/>
      <c r="DW56" s="13"/>
      <c r="DX56" s="13"/>
      <c r="DY56" s="14"/>
      <c r="DZ56" s="15"/>
      <c r="EA56" s="13"/>
      <c r="EB56" s="13"/>
      <c r="EC56" s="25"/>
      <c r="ED56" s="13"/>
      <c r="EE56" s="13"/>
      <c r="EF56" s="14"/>
      <c r="EG56" s="15"/>
      <c r="EH56" s="13"/>
      <c r="EI56" s="13"/>
      <c r="EJ56" s="13"/>
      <c r="EK56" s="13"/>
      <c r="EL56" s="13"/>
      <c r="EM56" s="14"/>
      <c r="EN56" s="15"/>
      <c r="EO56" s="13"/>
      <c r="EP56" s="13"/>
      <c r="EQ56" s="13"/>
      <c r="ER56" s="13"/>
      <c r="ES56" s="13"/>
      <c r="ET56" s="23"/>
      <c r="EU56" s="23"/>
      <c r="EV56" s="14"/>
      <c r="EW56" s="15"/>
      <c r="EX56" s="23"/>
      <c r="EY56" s="23"/>
      <c r="EZ56" s="23"/>
      <c r="FA56" s="23"/>
      <c r="FB56" s="23"/>
      <c r="FC56" s="24"/>
      <c r="FD56" s="22"/>
      <c r="FE56" s="23"/>
      <c r="FF56" s="23"/>
      <c r="FG56" s="23"/>
      <c r="FH56" s="23"/>
      <c r="FI56" s="23"/>
      <c r="FJ56" s="24"/>
      <c r="FK56" s="22"/>
      <c r="FL56" s="23"/>
      <c r="FM56" s="23"/>
      <c r="FN56" s="23"/>
      <c r="FO56" s="23"/>
      <c r="FP56" s="23"/>
      <c r="FQ56" s="24"/>
      <c r="FR56" s="22"/>
      <c r="FS56" s="23"/>
      <c r="FT56" s="23"/>
      <c r="FU56" s="23"/>
      <c r="FV56" s="23"/>
      <c r="FW56" s="23"/>
      <c r="FX56" s="24"/>
      <c r="FY56" s="22"/>
      <c r="FZ56" s="23"/>
      <c r="GA56" s="23"/>
      <c r="GB56" s="23"/>
      <c r="GC56" s="23"/>
      <c r="GD56" s="23"/>
      <c r="GE56" s="24"/>
      <c r="GF56" s="22"/>
      <c r="GG56" s="23"/>
      <c r="GH56" s="23"/>
    </row>
    <row r="57" spans="1:190" ht="15" customHeight="1">
      <c r="A57" s="98"/>
      <c r="B57" s="96"/>
      <c r="C57" s="96"/>
      <c r="D57" s="84"/>
      <c r="E57" s="84"/>
      <c r="F57" s="85"/>
      <c r="G57" s="85"/>
      <c r="H57" s="86"/>
      <c r="I57" s="66"/>
      <c r="J57" s="67"/>
      <c r="K57" s="87"/>
      <c r="L57" s="67"/>
      <c r="M57" s="67"/>
      <c r="N57" s="66"/>
      <c r="O57" s="67"/>
      <c r="P57" s="66"/>
      <c r="Q57" s="88"/>
      <c r="R57" s="89"/>
      <c r="S57" s="89"/>
      <c r="T57" s="90"/>
      <c r="U57" s="13"/>
      <c r="V57" s="13"/>
      <c r="W57" s="13"/>
      <c r="X57" s="13"/>
      <c r="Y57" s="14"/>
      <c r="Z57" s="15"/>
      <c r="AA57" s="13"/>
      <c r="AB57" s="13"/>
      <c r="AC57" s="13"/>
      <c r="AD57" s="13"/>
      <c r="AE57" s="13"/>
      <c r="AF57" s="14"/>
      <c r="AG57" s="15"/>
      <c r="AH57" s="13"/>
      <c r="AI57" s="13"/>
      <c r="AJ57" s="13"/>
      <c r="AK57" s="13"/>
      <c r="AL57" s="13"/>
      <c r="AM57" s="14"/>
      <c r="AN57" s="15"/>
      <c r="AO57" s="13"/>
      <c r="AP57" s="15"/>
      <c r="AQ57" s="13"/>
      <c r="AR57" s="13"/>
      <c r="AS57" s="13"/>
      <c r="AT57" s="14"/>
      <c r="AU57" s="15"/>
      <c r="AV57" s="13"/>
      <c r="AW57" s="13"/>
      <c r="AX57" s="13"/>
      <c r="AY57" s="13"/>
      <c r="AZ57" s="13"/>
      <c r="BA57" s="14"/>
      <c r="BB57" s="15"/>
      <c r="BC57" s="13"/>
      <c r="BD57" s="13"/>
      <c r="BE57" s="13"/>
      <c r="BF57" s="13"/>
      <c r="BG57" s="13"/>
      <c r="BH57" s="14"/>
      <c r="BI57" s="15"/>
      <c r="BJ57" s="13"/>
      <c r="BK57" s="13"/>
      <c r="BL57" s="13"/>
      <c r="BM57" s="13"/>
      <c r="BN57" s="13"/>
      <c r="BO57" s="14"/>
      <c r="BP57" s="15"/>
      <c r="BQ57" s="13"/>
      <c r="BR57" s="13"/>
      <c r="BS57" s="13"/>
      <c r="BT57" s="13"/>
      <c r="BU57" s="13"/>
      <c r="BV57" s="14"/>
      <c r="BW57" s="15"/>
      <c r="BX57" s="13"/>
      <c r="BY57" s="13"/>
      <c r="BZ57" s="13"/>
      <c r="CA57" s="13"/>
      <c r="CB57" s="13"/>
      <c r="CC57" s="14"/>
      <c r="CD57" s="15"/>
      <c r="CE57" s="13"/>
      <c r="CF57" s="13"/>
      <c r="CG57" s="13"/>
      <c r="CH57" s="13"/>
      <c r="CI57" s="13"/>
      <c r="CJ57" s="14"/>
      <c r="CK57" s="15"/>
      <c r="CL57" s="13"/>
      <c r="CM57" s="13"/>
      <c r="CN57" s="13"/>
      <c r="CO57" s="13"/>
      <c r="CP57" s="13"/>
      <c r="CQ57" s="14"/>
      <c r="CR57" s="15"/>
      <c r="CS57" s="13"/>
      <c r="CT57" s="13"/>
      <c r="CU57" s="13"/>
      <c r="CV57" s="13"/>
      <c r="CW57" s="13"/>
      <c r="CX57" s="14"/>
      <c r="CY57" s="13"/>
      <c r="CZ57" s="13"/>
      <c r="DA57" s="14"/>
      <c r="DB57" s="15"/>
      <c r="DC57" s="13"/>
      <c r="DD57" s="13"/>
      <c r="DE57" s="13"/>
      <c r="DF57" s="13"/>
      <c r="DG57" s="13"/>
      <c r="DH57" s="14"/>
      <c r="DI57" s="15"/>
      <c r="DJ57" s="13"/>
      <c r="DK57" s="13"/>
      <c r="DL57" s="15"/>
      <c r="DM57" s="13"/>
      <c r="DN57" s="13"/>
      <c r="DO57" s="13"/>
      <c r="DP57" s="13"/>
      <c r="DQ57" s="13"/>
      <c r="DR57" s="14"/>
      <c r="DS57" s="15"/>
      <c r="DT57" s="13"/>
      <c r="DU57" s="13"/>
      <c r="DV57" s="13"/>
      <c r="DW57" s="13"/>
      <c r="DX57" s="13"/>
      <c r="DY57" s="14"/>
      <c r="DZ57" s="15"/>
      <c r="EA57" s="13"/>
      <c r="EB57" s="13"/>
      <c r="EC57" s="25"/>
      <c r="ED57" s="13"/>
      <c r="EE57" s="13"/>
      <c r="EF57" s="14"/>
      <c r="EG57" s="15"/>
      <c r="EH57" s="13"/>
      <c r="EI57" s="13"/>
      <c r="EJ57" s="13"/>
      <c r="EK57" s="13"/>
      <c r="EL57" s="13"/>
      <c r="EM57" s="14"/>
      <c r="EN57" s="15"/>
      <c r="EO57" s="13"/>
      <c r="EP57" s="13"/>
      <c r="EQ57" s="13"/>
      <c r="ER57" s="13"/>
      <c r="ES57" s="13"/>
      <c r="ET57" s="23"/>
      <c r="EU57" s="23"/>
      <c r="EV57" s="14"/>
      <c r="EW57" s="15"/>
      <c r="EX57" s="23"/>
      <c r="EY57" s="23"/>
      <c r="EZ57" s="23"/>
      <c r="FA57" s="23"/>
      <c r="FB57" s="23"/>
      <c r="FC57" s="24"/>
      <c r="FD57" s="22"/>
      <c r="FE57" s="23"/>
      <c r="FF57" s="23"/>
      <c r="FG57" s="23"/>
      <c r="FH57" s="23"/>
      <c r="FI57" s="23"/>
      <c r="FJ57" s="24"/>
      <c r="FK57" s="22"/>
      <c r="FL57" s="23"/>
      <c r="FM57" s="23"/>
      <c r="FN57" s="23"/>
      <c r="FO57" s="23"/>
      <c r="FP57" s="23"/>
      <c r="FQ57" s="24"/>
      <c r="FR57" s="22"/>
      <c r="FS57" s="23"/>
      <c r="FT57" s="23"/>
      <c r="FU57" s="23"/>
      <c r="FV57" s="23"/>
      <c r="FW57" s="23"/>
      <c r="FX57" s="24"/>
      <c r="FY57" s="22"/>
      <c r="FZ57" s="23"/>
      <c r="GA57" s="23"/>
      <c r="GB57" s="23"/>
      <c r="GC57" s="23"/>
      <c r="GD57" s="23"/>
      <c r="GE57" s="24"/>
      <c r="GF57" s="22"/>
      <c r="GG57" s="23"/>
      <c r="GH57" s="23"/>
    </row>
    <row r="58" spans="1:190" ht="15" customHeight="1">
      <c r="A58" s="98"/>
      <c r="B58" s="96"/>
      <c r="C58" s="96"/>
      <c r="D58" s="84"/>
      <c r="E58" s="84"/>
      <c r="F58" s="85"/>
      <c r="G58" s="85"/>
      <c r="H58" s="86"/>
      <c r="I58" s="66"/>
      <c r="J58" s="67"/>
      <c r="K58" s="87"/>
      <c r="L58" s="67"/>
      <c r="M58" s="67"/>
      <c r="N58" s="66"/>
      <c r="O58" s="67"/>
      <c r="P58" s="66"/>
      <c r="Q58" s="88"/>
      <c r="R58" s="89"/>
      <c r="S58" s="89"/>
      <c r="T58" s="90"/>
      <c r="U58" s="13"/>
      <c r="V58" s="13"/>
      <c r="W58" s="13"/>
      <c r="X58" s="13"/>
      <c r="Y58" s="14"/>
      <c r="Z58" s="15"/>
      <c r="AA58" s="13"/>
      <c r="AB58" s="13"/>
      <c r="AC58" s="13"/>
      <c r="AD58" s="13"/>
      <c r="AE58" s="13"/>
      <c r="AF58" s="14"/>
      <c r="AG58" s="15"/>
      <c r="AH58" s="13"/>
      <c r="AI58" s="13"/>
      <c r="AJ58" s="13"/>
      <c r="AK58" s="13"/>
      <c r="AL58" s="13"/>
      <c r="AM58" s="14"/>
      <c r="AN58" s="15"/>
      <c r="AO58" s="13"/>
      <c r="AP58" s="15"/>
      <c r="AQ58" s="13"/>
      <c r="AR58" s="13"/>
      <c r="AS58" s="13"/>
      <c r="AT58" s="14"/>
      <c r="AU58" s="15"/>
      <c r="AV58" s="13"/>
      <c r="AW58" s="13"/>
      <c r="AX58" s="13"/>
      <c r="AY58" s="13"/>
      <c r="AZ58" s="13"/>
      <c r="BA58" s="14"/>
      <c r="BB58" s="15"/>
      <c r="BC58" s="13"/>
      <c r="BD58" s="13"/>
      <c r="BE58" s="13"/>
      <c r="BF58" s="13"/>
      <c r="BG58" s="13"/>
      <c r="BH58" s="14"/>
      <c r="BI58" s="15"/>
      <c r="BJ58" s="13"/>
      <c r="BK58" s="13"/>
      <c r="BL58" s="13"/>
      <c r="BM58" s="13"/>
      <c r="BN58" s="13"/>
      <c r="BO58" s="14"/>
      <c r="BP58" s="15"/>
      <c r="BQ58" s="13"/>
      <c r="BR58" s="13"/>
      <c r="BS58" s="13"/>
      <c r="BT58" s="13"/>
      <c r="BU58" s="13"/>
      <c r="BV58" s="14"/>
      <c r="BW58" s="15"/>
      <c r="BX58" s="13"/>
      <c r="BY58" s="13"/>
      <c r="BZ58" s="13"/>
      <c r="CA58" s="13"/>
      <c r="CB58" s="13"/>
      <c r="CC58" s="14"/>
      <c r="CD58" s="15"/>
      <c r="CE58" s="13"/>
      <c r="CF58" s="13"/>
      <c r="CG58" s="13"/>
      <c r="CH58" s="13"/>
      <c r="CI58" s="13"/>
      <c r="CJ58" s="14"/>
      <c r="CK58" s="15"/>
      <c r="CL58" s="13"/>
      <c r="CM58" s="13"/>
      <c r="CN58" s="13"/>
      <c r="CO58" s="13"/>
      <c r="CP58" s="13"/>
      <c r="CQ58" s="14"/>
      <c r="CR58" s="15"/>
      <c r="CS58" s="13"/>
      <c r="CT58" s="13"/>
      <c r="CU58" s="13"/>
      <c r="CV58" s="13"/>
      <c r="CW58" s="13"/>
      <c r="CX58" s="14"/>
      <c r="CY58" s="13"/>
      <c r="CZ58" s="13"/>
      <c r="DA58" s="14"/>
      <c r="DB58" s="15"/>
      <c r="DC58" s="13"/>
      <c r="DD58" s="13"/>
      <c r="DE58" s="13"/>
      <c r="DF58" s="13"/>
      <c r="DG58" s="13"/>
      <c r="DH58" s="14"/>
      <c r="DI58" s="15"/>
      <c r="DJ58" s="13"/>
      <c r="DK58" s="13"/>
      <c r="DL58" s="15"/>
      <c r="DM58" s="13"/>
      <c r="DN58" s="13"/>
      <c r="DO58" s="13"/>
      <c r="DP58" s="13"/>
      <c r="DQ58" s="13"/>
      <c r="DR58" s="14"/>
      <c r="DS58" s="15"/>
      <c r="DT58" s="13"/>
      <c r="DU58" s="13"/>
      <c r="DV58" s="13"/>
      <c r="DW58" s="13"/>
      <c r="DX58" s="13"/>
      <c r="DY58" s="14"/>
      <c r="DZ58" s="15"/>
      <c r="EA58" s="13"/>
      <c r="EB58" s="13"/>
      <c r="EC58" s="25"/>
      <c r="ED58" s="13"/>
      <c r="EE58" s="13"/>
      <c r="EF58" s="14"/>
      <c r="EG58" s="15"/>
      <c r="EH58" s="13"/>
      <c r="EI58" s="13"/>
      <c r="EJ58" s="13"/>
      <c r="EK58" s="13"/>
      <c r="EL58" s="13"/>
      <c r="EM58" s="14"/>
      <c r="EN58" s="15"/>
      <c r="EO58" s="13"/>
      <c r="EP58" s="13"/>
      <c r="EQ58" s="13"/>
      <c r="ER58" s="13"/>
      <c r="ES58" s="13"/>
      <c r="ET58" s="23"/>
      <c r="EU58" s="23"/>
      <c r="EV58" s="14"/>
      <c r="EW58" s="15"/>
      <c r="EX58" s="23"/>
      <c r="EY58" s="23"/>
      <c r="EZ58" s="23"/>
      <c r="FA58" s="23"/>
      <c r="FB58" s="23"/>
      <c r="FC58" s="24"/>
      <c r="FD58" s="22"/>
      <c r="FE58" s="23"/>
      <c r="FF58" s="23"/>
      <c r="FG58" s="23"/>
      <c r="FH58" s="23"/>
      <c r="FI58" s="23"/>
      <c r="FJ58" s="24"/>
      <c r="FK58" s="22"/>
      <c r="FL58" s="23"/>
      <c r="FM58" s="23"/>
      <c r="FN58" s="23"/>
      <c r="FO58" s="23"/>
      <c r="FP58" s="23"/>
      <c r="FQ58" s="24"/>
      <c r="FR58" s="22"/>
      <c r="FS58" s="23"/>
      <c r="FT58" s="23"/>
      <c r="FU58" s="23"/>
      <c r="FV58" s="23"/>
      <c r="FW58" s="23"/>
      <c r="FX58" s="24"/>
      <c r="FY58" s="22"/>
      <c r="FZ58" s="23"/>
      <c r="GA58" s="23"/>
      <c r="GB58" s="23"/>
      <c r="GC58" s="23"/>
      <c r="GD58" s="23"/>
      <c r="GE58" s="24"/>
      <c r="GF58" s="22"/>
      <c r="GG58" s="23"/>
      <c r="GH58" s="23"/>
    </row>
    <row r="59" spans="1:190" ht="15" customHeight="1">
      <c r="A59" s="348"/>
      <c r="B59" s="341"/>
      <c r="C59" s="341"/>
      <c r="D59" s="96"/>
      <c r="E59" s="96"/>
      <c r="F59" s="64"/>
      <c r="G59" s="64"/>
      <c r="H59" s="65"/>
      <c r="I59" s="66"/>
      <c r="J59" s="67"/>
      <c r="K59" s="349"/>
      <c r="L59" s="95"/>
      <c r="M59" s="95"/>
      <c r="N59" s="95"/>
      <c r="O59" s="95"/>
      <c r="P59" s="95"/>
      <c r="Q59" s="91"/>
      <c r="R59" s="66"/>
      <c r="S59" s="66"/>
      <c r="T59" s="92"/>
    </row>
    <row r="60" spans="1:190" ht="15" customHeight="1">
      <c r="A60" s="348"/>
      <c r="B60" s="341"/>
      <c r="C60" s="341"/>
      <c r="D60" s="84"/>
      <c r="E60" s="84"/>
      <c r="F60" s="85"/>
      <c r="G60" s="85"/>
      <c r="H60" s="86"/>
      <c r="I60" s="66"/>
      <c r="J60" s="67"/>
      <c r="K60" s="349"/>
      <c r="L60" s="67"/>
      <c r="M60" s="67"/>
      <c r="N60" s="67"/>
      <c r="O60" s="67"/>
      <c r="P60" s="67"/>
      <c r="Q60" s="88"/>
      <c r="R60" s="89"/>
      <c r="S60" s="89"/>
      <c r="T60" s="90"/>
    </row>
    <row r="61" spans="1:190" ht="15" customHeight="1">
      <c r="A61" s="340"/>
      <c r="B61" s="341"/>
      <c r="C61" s="341"/>
      <c r="D61" s="96"/>
      <c r="E61" s="96"/>
      <c r="F61" s="93"/>
      <c r="G61" s="93"/>
      <c r="H61" s="65"/>
      <c r="I61" s="66"/>
      <c r="J61" s="67"/>
      <c r="K61" s="94"/>
      <c r="L61" s="95"/>
      <c r="M61" s="95"/>
      <c r="N61" s="95"/>
      <c r="O61" s="95"/>
      <c r="P61" s="95"/>
      <c r="Q61" s="91"/>
      <c r="R61" s="66"/>
      <c r="S61" s="66"/>
      <c r="T61" s="92"/>
    </row>
    <row r="62" spans="1:190" ht="15" customHeight="1">
      <c r="A62" s="340"/>
      <c r="B62" s="341"/>
      <c r="C62" s="341"/>
      <c r="D62" s="84"/>
      <c r="E62" s="84"/>
      <c r="F62" s="85"/>
      <c r="G62" s="85"/>
      <c r="H62" s="86"/>
      <c r="I62" s="66"/>
      <c r="J62" s="67"/>
      <c r="K62" s="94"/>
      <c r="L62" s="67"/>
      <c r="M62" s="67"/>
      <c r="N62" s="66"/>
      <c r="O62" s="67"/>
      <c r="P62" s="67"/>
      <c r="Q62" s="88"/>
      <c r="R62" s="89"/>
      <c r="S62" s="89"/>
      <c r="T62" s="90"/>
    </row>
    <row r="63" spans="1:190" ht="34.5" customHeight="1">
      <c r="A63" s="99"/>
      <c r="B63" s="96"/>
      <c r="C63" s="96"/>
      <c r="D63" s="96"/>
      <c r="E63" s="96"/>
      <c r="F63" s="93"/>
      <c r="G63" s="93"/>
      <c r="H63" s="65"/>
      <c r="I63" s="66"/>
      <c r="J63" s="67"/>
      <c r="K63" s="94"/>
      <c r="L63" s="95"/>
      <c r="M63" s="95"/>
      <c r="N63" s="95"/>
      <c r="O63" s="95"/>
      <c r="P63" s="95"/>
      <c r="Q63" s="91"/>
      <c r="R63" s="66"/>
      <c r="S63" s="66"/>
      <c r="T63" s="92"/>
      <c r="U63" s="13"/>
      <c r="V63" s="13"/>
      <c r="W63" s="13"/>
      <c r="X63" s="13"/>
      <c r="Y63" s="45"/>
      <c r="Z63" s="45"/>
      <c r="AA63" s="13"/>
      <c r="AB63" s="13"/>
      <c r="AC63" s="13"/>
      <c r="AD63" s="13"/>
      <c r="AE63" s="13"/>
      <c r="AF63" s="14"/>
      <c r="AG63" s="15"/>
      <c r="AH63" s="13"/>
      <c r="AI63" s="13"/>
      <c r="AJ63" s="13"/>
      <c r="AK63" s="13"/>
      <c r="AL63" s="13"/>
      <c r="AM63" s="14"/>
      <c r="AN63" s="15"/>
      <c r="AO63" s="13"/>
      <c r="AP63" s="15"/>
      <c r="AQ63" s="13"/>
      <c r="AR63" s="13"/>
      <c r="AS63" s="13"/>
      <c r="AT63" s="14"/>
      <c r="AU63" s="15"/>
      <c r="AV63" s="13"/>
      <c r="AW63" s="13"/>
      <c r="AX63" s="13"/>
      <c r="AY63" s="13"/>
      <c r="AZ63" s="13"/>
      <c r="BA63" s="14"/>
      <c r="BB63" s="15"/>
      <c r="BC63" s="13"/>
      <c r="BD63" s="13"/>
      <c r="BE63" s="13"/>
      <c r="BF63" s="13"/>
      <c r="BG63" s="13"/>
      <c r="BH63" s="14"/>
      <c r="BI63" s="15"/>
      <c r="BJ63" s="13"/>
      <c r="BK63" s="13"/>
      <c r="BL63" s="13"/>
      <c r="BM63" s="13"/>
      <c r="BN63" s="13"/>
      <c r="BO63" s="14"/>
      <c r="BP63" s="15"/>
      <c r="BQ63" s="13"/>
      <c r="BR63" s="13"/>
      <c r="BS63" s="13"/>
      <c r="BT63" s="13"/>
      <c r="BU63" s="13"/>
      <c r="BV63" s="14"/>
      <c r="BW63" s="15"/>
      <c r="BX63" s="13"/>
      <c r="BY63" s="13"/>
      <c r="BZ63" s="13"/>
      <c r="CA63" s="13"/>
      <c r="CB63" s="13"/>
      <c r="CC63" s="14"/>
      <c r="CD63" s="15"/>
      <c r="CE63" s="13"/>
      <c r="CF63" s="13"/>
      <c r="CG63" s="13"/>
      <c r="CH63" s="13"/>
      <c r="CI63" s="13"/>
      <c r="CJ63" s="14"/>
      <c r="CK63" s="15"/>
      <c r="CL63" s="13"/>
      <c r="CM63" s="13"/>
      <c r="CN63" s="13"/>
      <c r="CO63" s="13"/>
      <c r="CP63" s="13"/>
      <c r="CQ63" s="14"/>
      <c r="CR63" s="15"/>
      <c r="CS63" s="13"/>
      <c r="CT63" s="13"/>
      <c r="CU63" s="13"/>
      <c r="CV63" s="13"/>
      <c r="CW63" s="13"/>
      <c r="CX63" s="14"/>
      <c r="CY63" s="13"/>
      <c r="CZ63" s="13"/>
      <c r="DA63" s="14"/>
      <c r="DB63" s="15"/>
      <c r="DC63" s="13"/>
      <c r="DD63" s="13"/>
      <c r="DE63" s="13"/>
      <c r="DF63" s="13"/>
      <c r="DG63" s="13"/>
      <c r="DH63" s="14"/>
      <c r="DI63" s="15"/>
      <c r="DJ63" s="13"/>
      <c r="DK63" s="13"/>
      <c r="DL63" s="15"/>
      <c r="DM63" s="13"/>
      <c r="DN63" s="13"/>
      <c r="DO63" s="13"/>
      <c r="DP63" s="13"/>
      <c r="DQ63" s="13"/>
      <c r="DR63" s="34"/>
      <c r="DS63" s="35"/>
      <c r="DT63" s="23"/>
      <c r="DU63" s="23"/>
      <c r="DV63" s="23"/>
      <c r="DW63" s="23"/>
      <c r="DX63" s="23"/>
      <c r="DY63" s="34"/>
      <c r="DZ63" s="35"/>
      <c r="EA63" s="23"/>
      <c r="EB63" s="23"/>
      <c r="EC63" s="23"/>
      <c r="ED63" s="23"/>
      <c r="EE63" s="23"/>
      <c r="EF63" s="34"/>
      <c r="EG63" s="35"/>
      <c r="EH63" s="23"/>
      <c r="EI63" s="23"/>
      <c r="EJ63" s="23"/>
      <c r="EK63" s="23"/>
      <c r="EL63" s="23"/>
      <c r="EM63" s="34"/>
      <c r="EN63" s="35"/>
      <c r="EO63" s="23"/>
      <c r="EP63" s="23"/>
      <c r="EQ63" s="23"/>
      <c r="ER63" s="23"/>
      <c r="ES63" s="23"/>
      <c r="ET63" s="23"/>
      <c r="EU63" s="23"/>
      <c r="EV63" s="14"/>
      <c r="EW63" s="15"/>
      <c r="EX63" s="23"/>
      <c r="EY63" s="23"/>
      <c r="EZ63" s="23"/>
      <c r="FA63" s="23"/>
      <c r="FB63" s="23"/>
      <c r="FC63" s="24"/>
      <c r="FD63" s="22"/>
      <c r="FE63" s="23"/>
      <c r="FF63" s="23"/>
      <c r="FG63" s="23"/>
      <c r="FH63" s="23"/>
      <c r="FI63" s="23"/>
      <c r="FJ63" s="24"/>
      <c r="FK63" s="22"/>
      <c r="FL63" s="23"/>
      <c r="FM63" s="23"/>
      <c r="FN63" s="23"/>
      <c r="FO63" s="23"/>
      <c r="FP63" s="23"/>
      <c r="FQ63" s="24"/>
      <c r="FR63" s="22"/>
      <c r="FS63" s="23"/>
      <c r="FT63" s="23"/>
      <c r="FU63" s="23"/>
      <c r="FV63" s="23"/>
      <c r="FW63" s="23"/>
      <c r="FX63" s="24"/>
      <c r="FY63" s="22"/>
      <c r="FZ63" s="23"/>
      <c r="GA63" s="23"/>
      <c r="GB63" s="23"/>
      <c r="GC63" s="23"/>
      <c r="GD63" s="23"/>
      <c r="GE63" s="24"/>
      <c r="GF63" s="22"/>
      <c r="GG63" s="23"/>
      <c r="GH63" s="23"/>
    </row>
    <row r="157" spans="192:192" ht="17.25" customHeight="1">
      <c r="GJ157" s="3" t="e">
        <f>+#REF!+#REF!</f>
        <v>#REF!</v>
      </c>
    </row>
  </sheetData>
  <mergeCells count="132">
    <mergeCell ref="A61:A62"/>
    <mergeCell ref="B61:B62"/>
    <mergeCell ref="C61:C62"/>
    <mergeCell ref="A54:F54"/>
    <mergeCell ref="A46:A47"/>
    <mergeCell ref="F50:F51"/>
    <mergeCell ref="B52:B53"/>
    <mergeCell ref="F52:F53"/>
    <mergeCell ref="H34:H35"/>
    <mergeCell ref="F46:F47"/>
    <mergeCell ref="G38:G39"/>
    <mergeCell ref="F40:F41"/>
    <mergeCell ref="G40:G41"/>
    <mergeCell ref="G48:G49"/>
    <mergeCell ref="F34:F35"/>
    <mergeCell ref="G34:G35"/>
    <mergeCell ref="G42:G43"/>
    <mergeCell ref="F42:F43"/>
    <mergeCell ref="A26:A27"/>
    <mergeCell ref="A30:A31"/>
    <mergeCell ref="F32:F33"/>
    <mergeCell ref="E30:E31"/>
    <mergeCell ref="F30:F31"/>
    <mergeCell ref="A28:A29"/>
    <mergeCell ref="F28:F29"/>
    <mergeCell ref="L54:T54"/>
    <mergeCell ref="G50:G51"/>
    <mergeCell ref="F48:F49"/>
    <mergeCell ref="F38:F39"/>
    <mergeCell ref="E44:E45"/>
    <mergeCell ref="D52:D53"/>
    <mergeCell ref="E52:E53"/>
    <mergeCell ref="G52:G53"/>
    <mergeCell ref="G46:G47"/>
    <mergeCell ref="E48:E49"/>
    <mergeCell ref="G44:G45"/>
    <mergeCell ref="F44:F45"/>
    <mergeCell ref="A32:A33"/>
    <mergeCell ref="E32:E33"/>
    <mergeCell ref="A34:A35"/>
    <mergeCell ref="E34:E35"/>
    <mergeCell ref="G32:G33"/>
    <mergeCell ref="K59:K60"/>
    <mergeCell ref="F36:F37"/>
    <mergeCell ref="G36:G37"/>
    <mergeCell ref="A40:A41"/>
    <mergeCell ref="A42:A43"/>
    <mergeCell ref="A44:A45"/>
    <mergeCell ref="A52:A53"/>
    <mergeCell ref="C52:C53"/>
    <mergeCell ref="A36:A37"/>
    <mergeCell ref="E36:E37"/>
    <mergeCell ref="E38:E39"/>
    <mergeCell ref="E50:E51"/>
    <mergeCell ref="E46:E47"/>
    <mergeCell ref="C48:C49"/>
    <mergeCell ref="E42:E43"/>
    <mergeCell ref="A48:A49"/>
    <mergeCell ref="B48:B49"/>
    <mergeCell ref="E40:E41"/>
    <mergeCell ref="A59:A60"/>
    <mergeCell ref="B59:B60"/>
    <mergeCell ref="C59:C60"/>
    <mergeCell ref="D48:D49"/>
    <mergeCell ref="A50:A51"/>
    <mergeCell ref="A38:A39"/>
    <mergeCell ref="E18:E19"/>
    <mergeCell ref="F18:F19"/>
    <mergeCell ref="G18:G19"/>
    <mergeCell ref="G26:G27"/>
    <mergeCell ref="E22:E23"/>
    <mergeCell ref="G24:G25"/>
    <mergeCell ref="F26:F27"/>
    <mergeCell ref="G20:G21"/>
    <mergeCell ref="G30:G31"/>
    <mergeCell ref="B4:C4"/>
    <mergeCell ref="D4:F4"/>
    <mergeCell ref="G5:G7"/>
    <mergeCell ref="F5:F7"/>
    <mergeCell ref="E5:E7"/>
    <mergeCell ref="G10:G11"/>
    <mergeCell ref="G22:G23"/>
    <mergeCell ref="F24:F25"/>
    <mergeCell ref="E24:E25"/>
    <mergeCell ref="G16:G17"/>
    <mergeCell ref="E14:E15"/>
    <mergeCell ref="F14:F15"/>
    <mergeCell ref="F16:F17"/>
    <mergeCell ref="E8:E9"/>
    <mergeCell ref="F8:F9"/>
    <mergeCell ref="G8:G9"/>
    <mergeCell ref="C14:C15"/>
    <mergeCell ref="G12:G13"/>
    <mergeCell ref="E10:E11"/>
    <mergeCell ref="F10:F11"/>
    <mergeCell ref="F12:F13"/>
    <mergeCell ref="E20:E21"/>
    <mergeCell ref="F20:F21"/>
    <mergeCell ref="E16:E17"/>
    <mergeCell ref="Q5:T6"/>
    <mergeCell ref="S26:S27"/>
    <mergeCell ref="T26:T27"/>
    <mergeCell ref="R26:R27"/>
    <mergeCell ref="Q26:Q27"/>
    <mergeCell ref="I5:I6"/>
    <mergeCell ref="L5:P6"/>
    <mergeCell ref="H5:H6"/>
    <mergeCell ref="J5:J6"/>
    <mergeCell ref="A24:A25"/>
    <mergeCell ref="E12:E13"/>
    <mergeCell ref="G14:G15"/>
    <mergeCell ref="F22:F23"/>
    <mergeCell ref="G28:G29"/>
    <mergeCell ref="A5:A7"/>
    <mergeCell ref="B5:B7"/>
    <mergeCell ref="C5:C7"/>
    <mergeCell ref="D5:D7"/>
    <mergeCell ref="E28:E29"/>
    <mergeCell ref="D14:D15"/>
    <mergeCell ref="E26:E27"/>
    <mergeCell ref="A8:A9"/>
    <mergeCell ref="A10:A11"/>
    <mergeCell ref="A16:A17"/>
    <mergeCell ref="A18:A19"/>
    <mergeCell ref="A22:A23"/>
    <mergeCell ref="A12:A13"/>
    <mergeCell ref="A14:A15"/>
    <mergeCell ref="A20:A21"/>
    <mergeCell ref="B14:B15"/>
    <mergeCell ref="B26:B27"/>
    <mergeCell ref="C26:C27"/>
    <mergeCell ref="D26:D27"/>
  </mergeCells>
  <phoneticPr fontId="4" type="noConversion"/>
  <conditionalFormatting sqref="L37:M53 O37:O53 P51:P53 L8:P8 N9:P11 L10:M11 L12:P14 L15:M15 O15:P15 L16:P17 N18:N20 P18:P20 L18:M21 O18:O21 L22:P27 N28 O28:P29 L28:M31 L30:P30 O30:O31 L32:P36 L38:P38 L40:P40 L42:P42 L44:P44 N45 P45 L46:P46 L48:P48 L50:P50 L55:M58 O55:O58 L59:P61 L62:M62 O62:P62 L63:P63">
    <cfRule type="cellIs" dxfId="19" priority="19" stopIfTrue="1" operator="equal">
      <formula>"○"</formula>
    </cfRule>
  </conditionalFormatting>
  <conditionalFormatting sqref="L8:P8 N9:P11 L10:M11 L12:P14 L15:M15 O15:P15 L16:P17 N18:N20 P18:P20 L18:M21 O18:O21 L22:P27 N28 O28:P29 L28:M31 L30:P30 O30:O31 L32:P36 L37:M53 O37:O53 L38:P38 L40:P40 L42:P42 L44:P44 N45 P45 L46:P46 L48:P48 L50:P50 P51:P53 L55:M58 O55:O58 L59:P61 L62:M62 O62:P62 L63:P63">
    <cfRule type="cellIs" dxfId="18" priority="20" stopIfTrue="1" operator="equal">
      <formula>"△"</formula>
    </cfRule>
  </conditionalFormatting>
  <conditionalFormatting sqref="L52:P53">
    <cfRule type="cellIs" dxfId="17" priority="1" stopIfTrue="1" operator="equal">
      <formula>"○"</formula>
    </cfRule>
    <cfRule type="cellIs" dxfId="16" priority="2" stopIfTrue="1" operator="equal">
      <formula>"△"</formula>
    </cfRule>
  </conditionalFormatting>
  <dataValidations count="3">
    <dataValidation type="list" allowBlank="1" showInputMessage="1" showErrorMessage="1" sqref="L61:P61 L63:P63 L59:P59 L40:P40 L34:P34 L46:P46 L42:P42 L44:P44 L36:P36 L38:P38 L22:P22 L18:P18 L24:P24 L20:P20 L8:P8 L10:P10 L12:P12 L16:P16 L14:P14 L32:P32 L26:P26 L28:P28 L30:P30 L48:P48 L50:P50 L52:P52" xr:uid="{00000000-0002-0000-0100-000000000000}">
      <formula1>"◐,△,◑,○,N"</formula1>
    </dataValidation>
    <dataValidation type="list" allowBlank="1" showInputMessage="1" showErrorMessage="1" sqref="T3:U3 Q3" xr:uid="{00000000-0002-0000-0100-000001000000}">
      <formula1>#REF!</formula1>
    </dataValidation>
    <dataValidation type="list" allowBlank="1" showInputMessage="1" showErrorMessage="1" sqref="H4" xr:uid="{00000000-0002-0000-0100-000002000000}">
      <formula1>"R.0,R.1,R.2,R.3,R.4,R.5,R.6,R.7,R.8"</formula1>
    </dataValidation>
  </dataValidations>
  <printOptions horizontalCentered="1"/>
  <pageMargins left="0.36" right="0.19685039370078741" top="0.35433070866141736" bottom="0.27559055118110237" header="0.31496062992125984" footer="0.19685039370078741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7C05-5AC8-44AB-89F5-E547F1F13B88}">
  <sheetPr>
    <pageSetUpPr fitToPage="1"/>
  </sheetPr>
  <dimension ref="A1:DD670"/>
  <sheetViews>
    <sheetView tabSelected="1" zoomScale="90" zoomScaleNormal="90" zoomScaleSheetLayoutView="85" workbookViewId="0">
      <pane xSplit="11" ySplit="7" topLeftCell="L8" activePane="bottomRight" state="frozen"/>
      <selection pane="topRight" activeCell="L1" sqref="L1"/>
      <selection pane="bottomLeft" activeCell="A8" sqref="A8"/>
      <selection pane="bottomRight" activeCell="N8" sqref="N8"/>
    </sheetView>
  </sheetViews>
  <sheetFormatPr defaultRowHeight="16.5" customHeight="1"/>
  <cols>
    <col min="1" max="1" width="7.44140625" style="123" hidden="1" customWidth="1"/>
    <col min="2" max="5" width="7.44140625" style="118" hidden="1" customWidth="1"/>
    <col min="6" max="6" width="4" style="118" customWidth="1"/>
    <col min="7" max="7" width="5.88671875" style="118" customWidth="1"/>
    <col min="8" max="8" width="6.21875" style="118" customWidth="1"/>
    <col min="9" max="9" width="6.33203125" style="118" customWidth="1"/>
    <col min="10" max="10" width="4.44140625" style="118" customWidth="1"/>
    <col min="11" max="11" width="4.109375" style="118" customWidth="1"/>
    <col min="12" max="12" width="6.109375" style="118" customWidth="1"/>
    <col min="13" max="13" width="5.44140625" style="118" customWidth="1"/>
    <col min="14" max="14" width="6.44140625" style="118" customWidth="1"/>
    <col min="15" max="15" width="4.5546875" style="118" customWidth="1"/>
    <col min="16" max="16" width="7.77734375" style="118" customWidth="1"/>
    <col min="17" max="17" width="4.5546875" style="118" customWidth="1"/>
    <col min="18" max="18" width="4.44140625" style="118" customWidth="1"/>
    <col min="19" max="22" width="4.5546875" style="118" customWidth="1"/>
    <col min="23" max="24" width="4.6640625" style="118" customWidth="1"/>
    <col min="25" max="25" width="5" style="118" customWidth="1"/>
    <col min="26" max="26" width="5.44140625" style="118" customWidth="1"/>
    <col min="27" max="27" width="4.6640625" style="118" customWidth="1"/>
    <col min="28" max="28" width="4.88671875" style="242" customWidth="1"/>
    <col min="29" max="29" width="7.77734375" style="118" customWidth="1"/>
    <col min="30" max="30" width="8.44140625" style="118" customWidth="1"/>
    <col min="31" max="31" width="4.44140625" style="118" customWidth="1"/>
    <col min="32" max="32" width="8.33203125" style="118" customWidth="1"/>
    <col min="33" max="33" width="6.21875" style="118" customWidth="1"/>
    <col min="34" max="34" width="16" style="119" customWidth="1"/>
    <col min="35" max="49" width="4.44140625" style="118" customWidth="1"/>
    <col min="50" max="51" width="5.88671875" style="118" customWidth="1"/>
    <col min="52" max="52" width="6" style="118" customWidth="1"/>
    <col min="53" max="54" width="5.21875" style="118" customWidth="1"/>
    <col min="55" max="55" width="4.21875" style="118" customWidth="1"/>
    <col min="56" max="66" width="5.21875" style="118" customWidth="1"/>
    <col min="67" max="67" width="4.44140625" style="118" customWidth="1"/>
    <col min="68" max="68" width="3.88671875" style="118" customWidth="1"/>
    <col min="69" max="70" width="5.21875" style="118" customWidth="1"/>
    <col min="71" max="71" width="4.44140625" style="118" customWidth="1"/>
    <col min="72" max="72" width="6.77734375" style="118" customWidth="1"/>
    <col min="73" max="74" width="5.21875" style="118" customWidth="1"/>
    <col min="75" max="76" width="4.44140625" style="118" customWidth="1"/>
    <col min="77" max="77" width="5.21875" style="118" customWidth="1"/>
    <col min="78" max="78" width="5.109375" style="118" customWidth="1"/>
    <col min="79" max="80" width="5.21875" style="118" customWidth="1"/>
    <col min="81" max="81" width="8.21875" style="118" customWidth="1"/>
    <col min="82" max="86" width="4.44140625" style="118" customWidth="1"/>
    <col min="87" max="87" width="7.77734375" style="118" customWidth="1"/>
    <col min="88" max="89" width="7.21875" style="118" customWidth="1"/>
    <col min="90" max="90" width="4.44140625" style="118" customWidth="1"/>
    <col min="91" max="91" width="6.88671875" style="118" customWidth="1"/>
    <col min="92" max="92" width="7.44140625" style="118" customWidth="1"/>
    <col min="93" max="93" width="7.21875" style="118" customWidth="1"/>
    <col min="94" max="94" width="4.44140625" style="118" customWidth="1"/>
    <col min="95" max="95" width="7.21875" style="118" customWidth="1"/>
    <col min="96" max="96" width="7.21875" style="129" customWidth="1"/>
    <col min="97" max="97" width="4.44140625" style="118" customWidth="1"/>
    <col min="98" max="98" width="6.21875" style="118" customWidth="1"/>
    <col min="99" max="99" width="5.88671875" style="131" customWidth="1"/>
    <col min="100" max="100" width="6.33203125" style="118" customWidth="1"/>
    <col min="101" max="101" width="6.21875" style="118" customWidth="1"/>
    <col min="102" max="106" width="8" style="118" hidden="1" customWidth="1"/>
    <col min="107" max="108" width="0" style="118" hidden="1" customWidth="1"/>
    <col min="109" max="16384" width="8.88671875" style="118"/>
  </cols>
  <sheetData>
    <row r="1" spans="1:108" ht="9" customHeight="1">
      <c r="A1" s="122">
        <v>1</v>
      </c>
      <c r="B1" s="122">
        <v>2</v>
      </c>
      <c r="C1" s="122">
        <v>3</v>
      </c>
      <c r="D1" s="122">
        <v>4</v>
      </c>
      <c r="E1" s="122">
        <v>5</v>
      </c>
      <c r="F1" s="122">
        <v>6</v>
      </c>
      <c r="G1" s="122">
        <v>7</v>
      </c>
      <c r="H1" s="122">
        <v>8</v>
      </c>
      <c r="I1" s="122">
        <v>9</v>
      </c>
      <c r="J1" s="122">
        <v>10</v>
      </c>
      <c r="K1" s="122">
        <v>11</v>
      </c>
      <c r="L1" s="122">
        <v>12</v>
      </c>
      <c r="M1" s="122">
        <v>13</v>
      </c>
      <c r="N1" s="122">
        <v>14</v>
      </c>
      <c r="O1" s="122">
        <v>15</v>
      </c>
      <c r="P1" s="122">
        <v>16</v>
      </c>
      <c r="Q1" s="122">
        <v>17</v>
      </c>
      <c r="R1" s="122">
        <v>18</v>
      </c>
      <c r="S1" s="122">
        <v>19</v>
      </c>
      <c r="T1" s="122">
        <v>20</v>
      </c>
      <c r="U1" s="122">
        <v>21</v>
      </c>
      <c r="V1" s="122">
        <v>22</v>
      </c>
      <c r="W1" s="122">
        <v>23</v>
      </c>
      <c r="X1" s="122">
        <v>24</v>
      </c>
      <c r="Y1" s="122">
        <v>25</v>
      </c>
      <c r="Z1" s="122">
        <v>26</v>
      </c>
      <c r="AA1" s="122">
        <v>27</v>
      </c>
      <c r="AB1" s="122">
        <v>28</v>
      </c>
      <c r="AC1" s="122">
        <v>29</v>
      </c>
      <c r="AD1" s="122">
        <v>30</v>
      </c>
      <c r="AE1" s="122">
        <v>31</v>
      </c>
      <c r="AF1" s="122">
        <v>32</v>
      </c>
      <c r="AG1" s="122">
        <v>33</v>
      </c>
      <c r="AH1" s="122">
        <v>34</v>
      </c>
      <c r="AI1" s="122">
        <v>35</v>
      </c>
      <c r="AJ1" s="122">
        <v>36</v>
      </c>
      <c r="AK1" s="122">
        <v>37</v>
      </c>
      <c r="AL1" s="122">
        <v>38</v>
      </c>
      <c r="AM1" s="122">
        <v>39</v>
      </c>
      <c r="AN1" s="122">
        <v>40</v>
      </c>
      <c r="AO1" s="122">
        <v>41</v>
      </c>
      <c r="AP1" s="122">
        <v>42</v>
      </c>
      <c r="AQ1" s="122">
        <v>43</v>
      </c>
      <c r="AR1" s="122">
        <v>44</v>
      </c>
      <c r="AS1" s="122">
        <v>45</v>
      </c>
      <c r="AT1" s="122">
        <v>46</v>
      </c>
      <c r="AU1" s="122">
        <v>47</v>
      </c>
      <c r="AV1" s="122">
        <v>48</v>
      </c>
      <c r="AW1" s="122">
        <v>49</v>
      </c>
      <c r="AX1" s="122">
        <v>50</v>
      </c>
      <c r="AY1" s="122">
        <v>51</v>
      </c>
      <c r="AZ1" s="122">
        <v>52</v>
      </c>
      <c r="BA1" s="122">
        <v>53</v>
      </c>
      <c r="BB1" s="122">
        <v>54</v>
      </c>
      <c r="BC1" s="122">
        <v>55</v>
      </c>
      <c r="BD1" s="122">
        <v>56</v>
      </c>
      <c r="BE1" s="122">
        <v>57</v>
      </c>
      <c r="BF1" s="122">
        <v>58</v>
      </c>
      <c r="BG1" s="122">
        <v>59</v>
      </c>
      <c r="BH1" s="122">
        <v>60</v>
      </c>
      <c r="BI1" s="122">
        <v>61</v>
      </c>
      <c r="BJ1" s="122">
        <v>62</v>
      </c>
      <c r="BK1" s="122">
        <v>63</v>
      </c>
      <c r="BL1" s="122">
        <v>64</v>
      </c>
      <c r="BM1" s="122">
        <v>65</v>
      </c>
      <c r="BN1" s="122">
        <v>66</v>
      </c>
      <c r="BO1" s="122">
        <v>67</v>
      </c>
      <c r="BP1" s="122">
        <v>68</v>
      </c>
      <c r="BQ1" s="122">
        <v>69</v>
      </c>
      <c r="BR1" s="122">
        <v>70</v>
      </c>
      <c r="BS1" s="122">
        <v>71</v>
      </c>
      <c r="BT1" s="122">
        <v>72</v>
      </c>
      <c r="BU1" s="122">
        <v>73</v>
      </c>
      <c r="BV1" s="122">
        <v>74</v>
      </c>
      <c r="BW1" s="122">
        <v>75</v>
      </c>
      <c r="BX1" s="122">
        <v>76</v>
      </c>
      <c r="BY1" s="122">
        <v>77</v>
      </c>
      <c r="BZ1" s="122">
        <v>78</v>
      </c>
      <c r="CA1" s="122">
        <v>79</v>
      </c>
      <c r="CB1" s="122">
        <v>80</v>
      </c>
      <c r="CC1" s="122">
        <v>81</v>
      </c>
      <c r="CD1" s="122">
        <v>82</v>
      </c>
      <c r="CE1" s="122">
        <v>83</v>
      </c>
      <c r="CF1" s="122">
        <v>84</v>
      </c>
      <c r="CG1" s="122">
        <v>85</v>
      </c>
      <c r="CH1" s="122">
        <v>86</v>
      </c>
      <c r="CI1" s="122">
        <v>87</v>
      </c>
      <c r="CJ1" s="122">
        <v>88</v>
      </c>
      <c r="CK1" s="122">
        <v>89</v>
      </c>
      <c r="CL1" s="122">
        <v>90</v>
      </c>
      <c r="CM1" s="122">
        <v>91</v>
      </c>
      <c r="CN1" s="122">
        <v>92</v>
      </c>
      <c r="CO1" s="122">
        <v>93</v>
      </c>
      <c r="CP1" s="122">
        <v>94</v>
      </c>
      <c r="CQ1" s="122">
        <v>95</v>
      </c>
      <c r="CR1" s="122">
        <v>96</v>
      </c>
      <c r="CS1" s="122">
        <v>97</v>
      </c>
      <c r="CT1" s="122">
        <v>98</v>
      </c>
      <c r="CU1" s="122">
        <v>103</v>
      </c>
      <c r="CV1" s="122">
        <v>104</v>
      </c>
      <c r="CW1" s="122">
        <v>105</v>
      </c>
    </row>
    <row r="2" spans="1:108" ht="27.75" customHeight="1">
      <c r="F2" s="124" t="s">
        <v>299</v>
      </c>
      <c r="G2" s="121"/>
      <c r="H2" s="121"/>
      <c r="I2" s="121"/>
      <c r="J2" s="121"/>
      <c r="K2" s="121"/>
      <c r="L2" s="121"/>
      <c r="M2" s="125"/>
      <c r="Y2" s="119"/>
      <c r="Z2" s="119"/>
      <c r="AA2" s="119"/>
      <c r="AB2" s="126"/>
      <c r="AC2" s="119"/>
      <c r="BZ2" s="127"/>
      <c r="CA2" s="119"/>
      <c r="CB2" s="128"/>
      <c r="CC2" s="127"/>
      <c r="CU2" s="118"/>
    </row>
    <row r="3" spans="1:108" ht="22.5" customHeight="1" thickBot="1">
      <c r="L3" s="125"/>
      <c r="M3" s="130"/>
      <c r="N3" s="130"/>
      <c r="O3" s="130"/>
      <c r="Y3" s="127"/>
      <c r="Z3" s="127"/>
      <c r="AA3" s="127"/>
      <c r="AB3" s="127"/>
      <c r="AC3" s="127"/>
    </row>
    <row r="4" spans="1:108" ht="16.5" customHeight="1" thickBot="1">
      <c r="B4" s="123"/>
      <c r="C4" s="123"/>
      <c r="D4" s="123"/>
      <c r="E4" s="123"/>
      <c r="F4" s="132"/>
      <c r="G4" s="299">
        <f ca="1">TODAY()</f>
        <v>46279</v>
      </c>
      <c r="H4" s="299"/>
      <c r="I4" s="299"/>
      <c r="K4" s="123"/>
      <c r="L4" s="123"/>
      <c r="M4" s="123"/>
      <c r="N4" s="300" t="s">
        <v>300</v>
      </c>
      <c r="O4" s="301"/>
      <c r="P4" s="301"/>
      <c r="Q4" s="301"/>
      <c r="R4" s="301"/>
      <c r="S4" s="301"/>
      <c r="T4" s="301"/>
      <c r="U4" s="301"/>
      <c r="V4" s="301"/>
      <c r="W4" s="301"/>
      <c r="X4" s="302"/>
      <c r="Y4" s="133"/>
      <c r="Z4" s="133"/>
      <c r="AA4" s="133"/>
      <c r="AB4" s="133"/>
      <c r="AC4" s="127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303" t="s">
        <v>301</v>
      </c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05"/>
      <c r="BM4" s="317" t="s">
        <v>302</v>
      </c>
      <c r="BN4" s="318"/>
      <c r="BO4" s="318"/>
      <c r="BP4" s="319"/>
      <c r="BQ4" s="317" t="s">
        <v>303</v>
      </c>
      <c r="BR4" s="318"/>
      <c r="BS4" s="318"/>
      <c r="BT4" s="319"/>
      <c r="BU4" s="317" t="s">
        <v>304</v>
      </c>
      <c r="BV4" s="318"/>
      <c r="BW4" s="318"/>
      <c r="BX4" s="319"/>
      <c r="BY4" s="322" t="s">
        <v>305</v>
      </c>
      <c r="BZ4" s="323"/>
      <c r="CA4" s="323"/>
      <c r="CB4" s="323"/>
      <c r="CC4" s="323"/>
      <c r="CD4" s="323"/>
      <c r="CE4" s="323"/>
      <c r="CF4" s="323"/>
      <c r="CG4" s="323"/>
      <c r="CH4" s="324"/>
      <c r="CI4" s="120"/>
      <c r="CJ4" s="325" t="s">
        <v>306</v>
      </c>
      <c r="CK4" s="323"/>
      <c r="CL4" s="323"/>
      <c r="CM4" s="324"/>
      <c r="CN4" s="325" t="s">
        <v>307</v>
      </c>
      <c r="CO4" s="323"/>
      <c r="CP4" s="323"/>
      <c r="CQ4" s="323"/>
      <c r="CR4" s="323"/>
      <c r="CS4" s="323"/>
      <c r="CT4" s="324"/>
      <c r="CU4" s="134"/>
      <c r="CV4" s="135" t="s">
        <v>308</v>
      </c>
      <c r="CW4" s="136"/>
    </row>
    <row r="5" spans="1:108" ht="16.5" customHeight="1">
      <c r="A5" s="313" t="s">
        <v>309</v>
      </c>
      <c r="B5" s="314" t="s">
        <v>310</v>
      </c>
      <c r="C5" s="314" t="s">
        <v>311</v>
      </c>
      <c r="D5" s="315" t="s">
        <v>312</v>
      </c>
      <c r="E5" s="316" t="s">
        <v>313</v>
      </c>
      <c r="F5" s="295" t="s">
        <v>314</v>
      </c>
      <c r="G5" s="297" t="s">
        <v>315</v>
      </c>
      <c r="H5" s="297" t="s">
        <v>316</v>
      </c>
      <c r="I5" s="297" t="s">
        <v>317</v>
      </c>
      <c r="J5" s="306" t="s">
        <v>318</v>
      </c>
      <c r="K5" s="308" t="s">
        <v>319</v>
      </c>
      <c r="L5" s="267" t="s">
        <v>320</v>
      </c>
      <c r="M5" s="320" t="s">
        <v>321</v>
      </c>
      <c r="N5" s="310" t="s">
        <v>322</v>
      </c>
      <c r="O5" s="311" t="s">
        <v>323</v>
      </c>
      <c r="P5" s="312" t="s">
        <v>324</v>
      </c>
      <c r="Q5" s="312" t="s">
        <v>325</v>
      </c>
      <c r="R5" s="312" t="s">
        <v>326</v>
      </c>
      <c r="S5" s="311" t="s">
        <v>327</v>
      </c>
      <c r="T5" s="311" t="s">
        <v>328</v>
      </c>
      <c r="U5" s="311" t="s">
        <v>329</v>
      </c>
      <c r="V5" s="312" t="s">
        <v>330</v>
      </c>
      <c r="W5" s="312" t="s">
        <v>331</v>
      </c>
      <c r="X5" s="326" t="s">
        <v>332</v>
      </c>
      <c r="Y5" s="259" t="s">
        <v>333</v>
      </c>
      <c r="Z5" s="137"/>
      <c r="AA5" s="135" t="s">
        <v>334</v>
      </c>
      <c r="AB5" s="138"/>
      <c r="AC5" s="259" t="s">
        <v>335</v>
      </c>
      <c r="AD5" s="329" t="s">
        <v>292</v>
      </c>
      <c r="AE5" s="290" t="s">
        <v>336</v>
      </c>
      <c r="AF5" s="291" t="s">
        <v>337</v>
      </c>
      <c r="AG5" s="286" t="s">
        <v>338</v>
      </c>
      <c r="AH5" s="293" t="s">
        <v>293</v>
      </c>
      <c r="AI5" s="294" t="s">
        <v>294</v>
      </c>
      <c r="AJ5" s="278"/>
      <c r="AK5" s="278"/>
      <c r="AL5" s="278"/>
      <c r="AM5" s="278"/>
      <c r="AN5" s="278"/>
      <c r="AO5" s="278"/>
      <c r="AP5" s="278"/>
      <c r="AQ5" s="278" t="s">
        <v>329</v>
      </c>
      <c r="AR5" s="278"/>
      <c r="AS5" s="278"/>
      <c r="AT5" s="278"/>
      <c r="AU5" s="278"/>
      <c r="AV5" s="279"/>
      <c r="AW5" s="267" t="s">
        <v>339</v>
      </c>
      <c r="AX5" s="268" t="s">
        <v>340</v>
      </c>
      <c r="AY5" s="280" t="s">
        <v>341</v>
      </c>
      <c r="AZ5" s="259" t="s">
        <v>342</v>
      </c>
      <c r="BA5" s="282" t="s">
        <v>343</v>
      </c>
      <c r="BB5" s="283"/>
      <c r="BC5" s="284"/>
      <c r="BD5" s="285" t="s">
        <v>344</v>
      </c>
      <c r="BE5" s="283"/>
      <c r="BF5" s="284"/>
      <c r="BG5" s="285" t="s">
        <v>345</v>
      </c>
      <c r="BH5" s="283"/>
      <c r="BI5" s="284"/>
      <c r="BJ5" s="283" t="s">
        <v>346</v>
      </c>
      <c r="BK5" s="283"/>
      <c r="BL5" s="284"/>
      <c r="BM5" s="267" t="s">
        <v>347</v>
      </c>
      <c r="BN5" s="268" t="s">
        <v>348</v>
      </c>
      <c r="BO5" s="269" t="s">
        <v>349</v>
      </c>
      <c r="BP5" s="270" t="s">
        <v>350</v>
      </c>
      <c r="BQ5" s="267" t="s">
        <v>351</v>
      </c>
      <c r="BR5" s="286" t="s">
        <v>352</v>
      </c>
      <c r="BS5" s="288" t="s">
        <v>353</v>
      </c>
      <c r="BT5" s="270" t="s">
        <v>354</v>
      </c>
      <c r="BU5" s="267" t="s">
        <v>355</v>
      </c>
      <c r="BV5" s="268" t="s">
        <v>298</v>
      </c>
      <c r="BW5" s="269" t="s">
        <v>356</v>
      </c>
      <c r="BX5" s="270" t="s">
        <v>357</v>
      </c>
      <c r="BY5" s="272" t="s">
        <v>358</v>
      </c>
      <c r="BZ5" s="249" t="s">
        <v>359</v>
      </c>
      <c r="CA5" s="249" t="s">
        <v>360</v>
      </c>
      <c r="CB5" s="249" t="s">
        <v>361</v>
      </c>
      <c r="CC5" s="274" t="s">
        <v>362</v>
      </c>
      <c r="CD5" s="276" t="s">
        <v>363</v>
      </c>
      <c r="CE5" s="263" t="s">
        <v>364</v>
      </c>
      <c r="CF5" s="265" t="s">
        <v>365</v>
      </c>
      <c r="CG5" s="255" t="s">
        <v>366</v>
      </c>
      <c r="CH5" s="257" t="s">
        <v>350</v>
      </c>
      <c r="CI5" s="259" t="s">
        <v>367</v>
      </c>
      <c r="CJ5" s="261" t="s">
        <v>295</v>
      </c>
      <c r="CK5" s="249" t="s">
        <v>296</v>
      </c>
      <c r="CL5" s="243" t="s">
        <v>356</v>
      </c>
      <c r="CM5" s="245" t="s">
        <v>350</v>
      </c>
      <c r="CN5" s="261" t="s">
        <v>368</v>
      </c>
      <c r="CO5" s="263" t="s">
        <v>369</v>
      </c>
      <c r="CP5" s="263" t="s">
        <v>356</v>
      </c>
      <c r="CQ5" s="249" t="s">
        <v>370</v>
      </c>
      <c r="CR5" s="253" t="s">
        <v>371</v>
      </c>
      <c r="CS5" s="243" t="s">
        <v>356</v>
      </c>
      <c r="CT5" s="245" t="s">
        <v>350</v>
      </c>
      <c r="CU5" s="247" t="s">
        <v>297</v>
      </c>
      <c r="CV5" s="249" t="s">
        <v>372</v>
      </c>
      <c r="CW5" s="251" t="s">
        <v>373</v>
      </c>
    </row>
    <row r="6" spans="1:108" ht="31.5" customHeight="1" thickBot="1">
      <c r="A6" s="313"/>
      <c r="B6" s="314"/>
      <c r="C6" s="314"/>
      <c r="D6" s="314"/>
      <c r="E6" s="316"/>
      <c r="F6" s="296"/>
      <c r="G6" s="298"/>
      <c r="H6" s="298"/>
      <c r="I6" s="298"/>
      <c r="J6" s="307"/>
      <c r="K6" s="309"/>
      <c r="L6" s="248"/>
      <c r="M6" s="321"/>
      <c r="N6" s="248"/>
      <c r="O6" s="252"/>
      <c r="P6" s="264"/>
      <c r="Q6" s="264"/>
      <c r="R6" s="264"/>
      <c r="S6" s="252"/>
      <c r="T6" s="252"/>
      <c r="U6" s="252"/>
      <c r="V6" s="264"/>
      <c r="W6" s="264"/>
      <c r="X6" s="327"/>
      <c r="Y6" s="260"/>
      <c r="Z6" s="140" t="s">
        <v>374</v>
      </c>
      <c r="AA6" s="141" t="s">
        <v>375</v>
      </c>
      <c r="AB6" s="142" t="s">
        <v>376</v>
      </c>
      <c r="AC6" s="260"/>
      <c r="AD6" s="248"/>
      <c r="AE6" s="252"/>
      <c r="AF6" s="281"/>
      <c r="AG6" s="292"/>
      <c r="AH6" s="260"/>
      <c r="AI6" s="140" t="s">
        <v>377</v>
      </c>
      <c r="AJ6" s="141" t="s">
        <v>378</v>
      </c>
      <c r="AK6" s="141" t="s">
        <v>379</v>
      </c>
      <c r="AL6" s="141" t="s">
        <v>380</v>
      </c>
      <c r="AM6" s="141" t="s">
        <v>381</v>
      </c>
      <c r="AN6" s="143" t="s">
        <v>382</v>
      </c>
      <c r="AO6" s="141" t="s">
        <v>383</v>
      </c>
      <c r="AP6" s="144" t="s">
        <v>384</v>
      </c>
      <c r="AQ6" s="145" t="s">
        <v>379</v>
      </c>
      <c r="AR6" s="141" t="s">
        <v>380</v>
      </c>
      <c r="AS6" s="141" t="s">
        <v>381</v>
      </c>
      <c r="AT6" s="141" t="s">
        <v>382</v>
      </c>
      <c r="AU6" s="141" t="s">
        <v>383</v>
      </c>
      <c r="AV6" s="146" t="s">
        <v>384</v>
      </c>
      <c r="AW6" s="248"/>
      <c r="AX6" s="264"/>
      <c r="AY6" s="281"/>
      <c r="AZ6" s="328"/>
      <c r="BA6" s="147" t="s">
        <v>355</v>
      </c>
      <c r="BB6" s="139" t="s">
        <v>298</v>
      </c>
      <c r="BC6" s="148" t="s">
        <v>350</v>
      </c>
      <c r="BD6" s="149" t="s">
        <v>355</v>
      </c>
      <c r="BE6" s="139" t="s">
        <v>298</v>
      </c>
      <c r="BF6" s="148" t="s">
        <v>350</v>
      </c>
      <c r="BG6" s="149" t="s">
        <v>355</v>
      </c>
      <c r="BH6" s="139" t="s">
        <v>298</v>
      </c>
      <c r="BI6" s="148" t="s">
        <v>350</v>
      </c>
      <c r="BJ6" s="150" t="s">
        <v>355</v>
      </c>
      <c r="BK6" s="139" t="s">
        <v>298</v>
      </c>
      <c r="BL6" s="151" t="s">
        <v>350</v>
      </c>
      <c r="BM6" s="248"/>
      <c r="BN6" s="252"/>
      <c r="BO6" s="266"/>
      <c r="BP6" s="271"/>
      <c r="BQ6" s="248"/>
      <c r="BR6" s="287"/>
      <c r="BS6" s="289"/>
      <c r="BT6" s="271"/>
      <c r="BU6" s="248"/>
      <c r="BV6" s="252"/>
      <c r="BW6" s="266"/>
      <c r="BX6" s="271"/>
      <c r="BY6" s="273"/>
      <c r="BZ6" s="250"/>
      <c r="CA6" s="250"/>
      <c r="CB6" s="250"/>
      <c r="CC6" s="275"/>
      <c r="CD6" s="277"/>
      <c r="CE6" s="264"/>
      <c r="CF6" s="266"/>
      <c r="CG6" s="256"/>
      <c r="CH6" s="258"/>
      <c r="CI6" s="260"/>
      <c r="CJ6" s="262"/>
      <c r="CK6" s="250"/>
      <c r="CL6" s="244"/>
      <c r="CM6" s="246"/>
      <c r="CN6" s="262"/>
      <c r="CO6" s="264"/>
      <c r="CP6" s="264"/>
      <c r="CQ6" s="250"/>
      <c r="CR6" s="254"/>
      <c r="CS6" s="244"/>
      <c r="CT6" s="246"/>
      <c r="CU6" s="248"/>
      <c r="CV6" s="250"/>
      <c r="CW6" s="252"/>
      <c r="CY6" s="118" t="s">
        <v>385</v>
      </c>
      <c r="CZ6" s="118" t="s">
        <v>323</v>
      </c>
      <c r="DA6" s="118" t="s">
        <v>294</v>
      </c>
      <c r="DB6" s="118" t="s">
        <v>328</v>
      </c>
      <c r="DC6" s="118" t="s">
        <v>329</v>
      </c>
      <c r="DD6" s="118" t="s">
        <v>386</v>
      </c>
    </row>
    <row r="7" spans="1:108" s="121" customFormat="1" ht="18" customHeight="1">
      <c r="A7" s="152"/>
      <c r="B7" s="153"/>
      <c r="C7" s="153"/>
      <c r="D7" s="153"/>
      <c r="E7" s="154"/>
      <c r="F7" s="155"/>
      <c r="G7" s="156"/>
      <c r="H7" s="156"/>
      <c r="I7" s="156"/>
      <c r="J7" s="153"/>
      <c r="K7" s="153"/>
      <c r="L7" s="157"/>
      <c r="M7" s="158"/>
      <c r="N7" s="157"/>
      <c r="O7" s="159"/>
      <c r="P7" s="160"/>
      <c r="Q7" s="160"/>
      <c r="R7" s="160"/>
      <c r="S7" s="159"/>
      <c r="T7" s="159"/>
      <c r="U7" s="159"/>
      <c r="V7" s="160"/>
      <c r="W7" s="160"/>
      <c r="X7" s="161"/>
      <c r="Y7" s="162"/>
      <c r="Z7" s="163"/>
      <c r="AA7" s="164"/>
      <c r="AB7" s="165"/>
      <c r="AC7" s="166"/>
      <c r="AD7" s="157"/>
      <c r="AE7" s="159"/>
      <c r="AF7" s="167"/>
      <c r="AG7" s="153"/>
      <c r="AH7" s="153"/>
      <c r="AI7" s="163"/>
      <c r="AJ7" s="168"/>
      <c r="AK7" s="164"/>
      <c r="AL7" s="169"/>
      <c r="AM7" s="164"/>
      <c r="AN7" s="164"/>
      <c r="AO7" s="164"/>
      <c r="AP7" s="170"/>
      <c r="AQ7" s="171"/>
      <c r="AR7" s="164"/>
      <c r="AS7" s="164"/>
      <c r="AT7" s="164"/>
      <c r="AU7" s="164"/>
      <c r="AV7" s="172"/>
      <c r="AW7" s="157"/>
      <c r="AX7" s="160"/>
      <c r="AY7" s="173"/>
      <c r="AZ7" s="154"/>
      <c r="BA7" s="174"/>
      <c r="BB7" s="153"/>
      <c r="BC7" s="175"/>
      <c r="BD7" s="176"/>
      <c r="BE7" s="153"/>
      <c r="BF7" s="177"/>
      <c r="BG7" s="176"/>
      <c r="BH7" s="153"/>
      <c r="BI7" s="177"/>
      <c r="BJ7" s="178"/>
      <c r="BK7" s="153"/>
      <c r="BL7" s="179"/>
      <c r="BM7" s="174"/>
      <c r="BN7" s="153"/>
      <c r="BO7" s="180"/>
      <c r="BP7" s="181"/>
      <c r="BQ7" s="174"/>
      <c r="BR7" s="182"/>
      <c r="BS7" s="183"/>
      <c r="BT7" s="181"/>
      <c r="BU7" s="174"/>
      <c r="BV7" s="153"/>
      <c r="BW7" s="180"/>
      <c r="BX7" s="181"/>
      <c r="BY7" s="184"/>
      <c r="BZ7" s="184"/>
      <c r="CA7" s="184"/>
      <c r="CB7" s="184"/>
      <c r="CC7" s="185"/>
      <c r="CD7" s="186"/>
      <c r="CE7" s="160"/>
      <c r="CF7" s="187"/>
      <c r="CG7" s="169"/>
      <c r="CH7" s="188"/>
      <c r="CI7" s="153"/>
      <c r="CJ7" s="189"/>
      <c r="CK7" s="184"/>
      <c r="CL7" s="190"/>
      <c r="CM7" s="191"/>
      <c r="CN7" s="189"/>
      <c r="CO7" s="154"/>
      <c r="CP7" s="154"/>
      <c r="CQ7" s="184"/>
      <c r="CR7" s="192"/>
      <c r="CS7" s="190"/>
      <c r="CT7" s="191"/>
      <c r="CU7" s="193"/>
      <c r="CV7" s="184"/>
      <c r="CW7" s="164"/>
    </row>
    <row r="8" spans="1:108" ht="16.5" customHeight="1">
      <c r="B8" s="122"/>
      <c r="E8" s="122"/>
      <c r="F8" s="194"/>
      <c r="G8" s="195"/>
      <c r="H8" s="195"/>
      <c r="I8" s="195"/>
      <c r="J8" s="196"/>
      <c r="K8" s="197"/>
      <c r="L8" s="198"/>
      <c r="M8" s="199"/>
      <c r="N8" s="200"/>
      <c r="O8" s="201"/>
      <c r="P8" s="201"/>
      <c r="Q8" s="201"/>
      <c r="R8" s="201"/>
      <c r="S8" s="201"/>
      <c r="T8" s="201"/>
      <c r="U8" s="201"/>
      <c r="V8" s="201"/>
      <c r="W8" s="201"/>
      <c r="X8" s="202"/>
      <c r="Y8" s="203"/>
      <c r="Z8" s="204"/>
      <c r="AA8" s="205"/>
      <c r="AB8" s="206"/>
      <c r="AC8" s="206"/>
      <c r="AD8" s="194"/>
      <c r="AE8" s="201"/>
      <c r="AF8" s="207"/>
      <c r="AG8" s="208"/>
      <c r="AH8" s="209"/>
      <c r="AI8" s="210"/>
      <c r="AJ8" s="197"/>
      <c r="AK8" s="201"/>
      <c r="AL8" s="196"/>
      <c r="AM8" s="201"/>
      <c r="AN8" s="201"/>
      <c r="AO8" s="201"/>
      <c r="AP8" s="211"/>
      <c r="AQ8" s="212"/>
      <c r="AR8" s="201"/>
      <c r="AS8" s="201"/>
      <c r="AT8" s="201"/>
      <c r="AU8" s="201"/>
      <c r="AV8" s="202"/>
      <c r="AW8" s="194"/>
      <c r="AX8" s="201"/>
      <c r="AY8" s="213"/>
      <c r="AZ8" s="214"/>
      <c r="BA8" s="215"/>
      <c r="BB8" s="216"/>
      <c r="BC8" s="217" t="str">
        <f>IF(OR($H8="", $BM8="", BB8=""), "", IF(ISERROR($BM8-BB8), "", $BM8-BB8))</f>
        <v/>
      </c>
      <c r="BD8" s="218"/>
      <c r="BE8" s="219"/>
      <c r="BF8" s="220"/>
      <c r="BG8" s="219"/>
      <c r="BH8" s="219"/>
      <c r="BI8" s="220"/>
      <c r="BJ8" s="218"/>
      <c r="BK8" s="219"/>
      <c r="BL8" s="197"/>
      <c r="BM8" s="215"/>
      <c r="BN8" s="221"/>
      <c r="BO8" s="222" t="str">
        <f>IF(OR(G8="", BM8="", BN8=""), "", IF(ISERROR(BN8-BM8+1), "", BN8-BM8+1))</f>
        <v/>
      </c>
      <c r="BP8" s="217" t="str">
        <f>IF(OR(G8="", BN8="", BY8=""), "", IF(ISERROR(BY8-BN8), "", BY8-BN8))</f>
        <v/>
      </c>
      <c r="BQ8" s="215"/>
      <c r="BR8" s="224"/>
      <c r="BS8" s="225"/>
      <c r="BT8" s="223"/>
      <c r="BU8" s="215"/>
      <c r="BV8" s="226"/>
      <c r="BW8" s="222" t="str">
        <f>IF(OR(H8="", BU8="", BV8=""), "", IF(ISERROR(BV8-BU8+1), "", BV8-BU8+1))</f>
        <v/>
      </c>
      <c r="BX8" s="223" t="str">
        <f>IF(OR(H8="", BV8="", CB8=""), "", IF(ISERROR(CB8-BV8), "", CB8-BV8))</f>
        <v/>
      </c>
      <c r="BY8" s="215"/>
      <c r="BZ8" s="227"/>
      <c r="CA8" s="227"/>
      <c r="CB8" s="228"/>
      <c r="CC8" s="229"/>
      <c r="CD8" s="230" t="str">
        <f>IF(OR($H8="",$BY8="",$CB8=""),"",IF((ISERROR($CB8-$BY8+1)),"",$CB8-$BY8+1))</f>
        <v/>
      </c>
      <c r="CE8" s="231" t="str">
        <f>IF(OR(CB8="", CC8=""),"", IF(ISERROR(CC8-CB8+1), "",CC8-CB8+1))</f>
        <v/>
      </c>
      <c r="CF8" s="232" t="str">
        <f>IF(OR(BY8="", CC8=""), "", IF(ISERROR(CC8-BY8+1), "",CC8-BY8+1))</f>
        <v/>
      </c>
      <c r="CG8" s="233" t="str">
        <f>IF(OR(G8="", CC8="", CV8=""), "", IF(ISERROR(CV8-CC8), "", CV8-CC8))</f>
        <v/>
      </c>
      <c r="CH8" s="207" t="str">
        <f>IF(OR(G8="",CC8= ""), "", IF(ISERROR(SMALL((CJ8,CN8,CV8), 1)-CC8), "",  SMALL((CJ8,CN8,CV8), 1)-CC8))</f>
        <v/>
      </c>
      <c r="CI8" s="234"/>
      <c r="CJ8" s="235"/>
      <c r="CK8" s="236"/>
      <c r="CL8" s="222" t="str">
        <f>IF(OR(G8="", CJ8="", CK8=""), "",   IF(ISERROR(CK8-CJ8+1), "",CK8-CJ8+1))</f>
        <v/>
      </c>
      <c r="CM8" s="237" t="str">
        <f>IF(OR(G8="", CJ8="",CK8=""), "", IF(ISERROR(SMALL((CN8,CV8), 1)-CK8), "",  SMALL((CN8,CV8), 1)-CK8))</f>
        <v/>
      </c>
      <c r="CN8" s="235"/>
      <c r="CO8" s="236"/>
      <c r="CP8" s="224" t="str">
        <f>IF(OR(G8="", CN8="", CO8=""), "",   IF(ISERROR(CO8-CN8+1), "",CO8-CN8+1))</f>
        <v/>
      </c>
      <c r="CQ8" s="235"/>
      <c r="CR8" s="236"/>
      <c r="CS8" s="222" t="str">
        <f>IF(OR(G8="", CQ8="", CR8=""), "",   IF(ISERROR(CR8-CQ8+1), "",CR8-CQ8+1))</f>
        <v/>
      </c>
      <c r="CT8" s="237" t="str">
        <f>IF(AND(G8="", CK8="",CR8=""), "",IF(CR8="", IF(ISERROR(CV8-CK8), "",  CV8-CK8),  IF(ISERROR(CV8-CR8), "", CV8-CR8)))</f>
        <v/>
      </c>
      <c r="CU8" s="238"/>
      <c r="CV8" s="239"/>
      <c r="CW8" s="240"/>
    </row>
    <row r="9" spans="1:108" ht="16.5" customHeight="1">
      <c r="B9" s="122"/>
      <c r="E9" s="122"/>
      <c r="F9" s="194"/>
      <c r="G9" s="195"/>
      <c r="H9" s="195"/>
      <c r="I9" s="195"/>
      <c r="J9" s="196"/>
      <c r="K9" s="197"/>
      <c r="L9" s="198"/>
      <c r="M9" s="199"/>
      <c r="N9" s="200"/>
      <c r="O9" s="201"/>
      <c r="P9" s="201"/>
      <c r="Q9" s="201"/>
      <c r="R9" s="201"/>
      <c r="S9" s="201"/>
      <c r="T9" s="201"/>
      <c r="U9" s="201"/>
      <c r="V9" s="201"/>
      <c r="W9" s="201"/>
      <c r="X9" s="202"/>
      <c r="Y9" s="203"/>
      <c r="Z9" s="204"/>
      <c r="AA9" s="205"/>
      <c r="AB9" s="206"/>
      <c r="AC9" s="206"/>
      <c r="AD9" s="194"/>
      <c r="AE9" s="201"/>
      <c r="AF9" s="207"/>
      <c r="AG9" s="208"/>
      <c r="AH9" s="209"/>
      <c r="AI9" s="210"/>
      <c r="AJ9" s="197"/>
      <c r="AK9" s="201"/>
      <c r="AL9" s="196"/>
      <c r="AM9" s="201"/>
      <c r="AN9" s="201"/>
      <c r="AO9" s="201"/>
      <c r="AP9" s="211"/>
      <c r="AQ9" s="212"/>
      <c r="AR9" s="201"/>
      <c r="AS9" s="201"/>
      <c r="AT9" s="201"/>
      <c r="AU9" s="201"/>
      <c r="AV9" s="202"/>
      <c r="AW9" s="194"/>
      <c r="AX9" s="201"/>
      <c r="AY9" s="213"/>
      <c r="AZ9" s="214"/>
      <c r="BA9" s="215"/>
      <c r="BB9" s="216"/>
      <c r="BC9" s="217" t="str">
        <f t="shared" ref="BC9:BC72" si="0">IF(OR($H9="", $BM9="", BB9=""), "", IF(ISERROR($BM9-BB9), "", $BM9-BB9))</f>
        <v/>
      </c>
      <c r="BD9" s="218"/>
      <c r="BE9" s="219"/>
      <c r="BF9" s="220"/>
      <c r="BG9" s="219"/>
      <c r="BH9" s="219"/>
      <c r="BI9" s="220"/>
      <c r="BJ9" s="218"/>
      <c r="BK9" s="219"/>
      <c r="BL9" s="197"/>
      <c r="BM9" s="215"/>
      <c r="BN9" s="221"/>
      <c r="BO9" s="222" t="str">
        <f t="shared" ref="BO9:BO72" si="1">IF(OR(G9="", BM9="", BN9=""), "", IF(ISERROR(BN9-BM9+1), "", BN9-BM9+1))</f>
        <v/>
      </c>
      <c r="BP9" s="217" t="str">
        <f t="shared" ref="BP9:BP72" si="2">IF(OR(G9="", BN9="", BY9=""), "", IF(ISERROR(BY9-BN9), "", BY9-BN9))</f>
        <v/>
      </c>
      <c r="BQ9" s="215"/>
      <c r="BR9" s="224"/>
      <c r="BS9" s="225"/>
      <c r="BT9" s="223"/>
      <c r="BU9" s="215"/>
      <c r="BV9" s="226"/>
      <c r="BW9" s="222" t="str">
        <f t="shared" ref="BW9:BW72" si="3">IF(OR(H9="", BU9="", BV9=""), "", IF(ISERROR(BV9-BU9+1), "", BV9-BU9+1))</f>
        <v/>
      </c>
      <c r="BX9" s="223" t="str">
        <f t="shared" ref="BX9:BX72" si="4">IF(OR(H9="", BV9="", CB9=""), "", IF(ISERROR(CB9-BV9), "", CB9-BV9))</f>
        <v/>
      </c>
      <c r="BY9" s="215"/>
      <c r="BZ9" s="227"/>
      <c r="CA9" s="227"/>
      <c r="CB9" s="228"/>
      <c r="CC9" s="229"/>
      <c r="CD9" s="230" t="str">
        <f t="shared" ref="CD9:CD72" si="5">IF(OR($H9="",$BY9="",$CB9=""),"",IF((ISERROR($CB9-$BY9+1)),"",$CB9-$BY9+1))</f>
        <v/>
      </c>
      <c r="CE9" s="231" t="str">
        <f t="shared" ref="CE9:CE72" si="6">IF(OR(CB9="", CC9=""),"", IF(ISERROR(CC9-CB9+1), "",CC9-CB9+1))</f>
        <v/>
      </c>
      <c r="CF9" s="232" t="str">
        <f t="shared" ref="CF9:CF72" si="7">IF(OR(BY9="", CC9=""), "", IF(ISERROR(CC9-BY9+1), "",CC9-BY9+1))</f>
        <v/>
      </c>
      <c r="CG9" s="233" t="str">
        <f t="shared" ref="CG9:CG72" si="8">IF(OR(G9="", CC9="", CV9=""), "", IF(ISERROR(CV9-CC9), "", CV9-CC9))</f>
        <v/>
      </c>
      <c r="CH9" s="207" t="str">
        <f>IF(OR(G9="",CC9= ""), "", IF(ISERROR(SMALL((CJ9,CN9,CV9), 1)-CC9), "",  SMALL((CJ9,CN9,CV9), 1)-CC9))</f>
        <v/>
      </c>
      <c r="CI9" s="234"/>
      <c r="CJ9" s="235"/>
      <c r="CK9" s="236"/>
      <c r="CL9" s="222" t="str">
        <f t="shared" ref="CL9:CL72" si="9">IF(OR(G9="", CJ9="", CK9=""), "",   IF(ISERROR(CK9-CJ9+1), "",CK9-CJ9+1))</f>
        <v/>
      </c>
      <c r="CM9" s="237" t="str">
        <f>IF(OR(G9="", CJ9="",CK9=""), "", IF(ISERROR(SMALL((CN9,CV9), 1)-CK9), "",  SMALL((CN9,CV9), 1)-CK9))</f>
        <v/>
      </c>
      <c r="CN9" s="235"/>
      <c r="CO9" s="236"/>
      <c r="CP9" s="224" t="str">
        <f t="shared" ref="CP9:CP72" si="10">IF(OR(G9="", CN9="", CO9=""), "",   IF(ISERROR(CO9-CN9+1), "",CO9-CN9+1))</f>
        <v/>
      </c>
      <c r="CQ9" s="235"/>
      <c r="CR9" s="236"/>
      <c r="CS9" s="222" t="str">
        <f t="shared" ref="CS9:CS72" si="11">IF(OR(G9="", CQ9="", CR9=""), "",   IF(ISERROR(CR9-CQ9+1), "",CR9-CQ9+1))</f>
        <v/>
      </c>
      <c r="CT9" s="237" t="str">
        <f t="shared" ref="CT9:CT72" si="12">IF(AND(G9="", CK9="",CR9=""), "",IF(CR9="", IF(ISERROR(CV9-CK9), "",  CV9-CK9),  IF(ISERROR(CV9-CR9), "", CV9-CR9)))</f>
        <v/>
      </c>
      <c r="CU9" s="238"/>
      <c r="CV9" s="239"/>
      <c r="CW9" s="240"/>
    </row>
    <row r="10" spans="1:108" ht="16.5" customHeight="1">
      <c r="B10" s="122"/>
      <c r="E10" s="122"/>
      <c r="F10" s="194"/>
      <c r="G10" s="195"/>
      <c r="H10" s="195"/>
      <c r="I10" s="195"/>
      <c r="J10" s="196"/>
      <c r="K10" s="197"/>
      <c r="L10" s="198"/>
      <c r="M10" s="199"/>
      <c r="N10" s="200"/>
      <c r="O10" s="201"/>
      <c r="P10" s="201"/>
      <c r="Q10" s="201"/>
      <c r="R10" s="201"/>
      <c r="S10" s="201"/>
      <c r="T10" s="201"/>
      <c r="U10" s="201"/>
      <c r="V10" s="201"/>
      <c r="W10" s="201"/>
      <c r="X10" s="202"/>
      <c r="Y10" s="203"/>
      <c r="Z10" s="204"/>
      <c r="AA10" s="205"/>
      <c r="AB10" s="206"/>
      <c r="AC10" s="206"/>
      <c r="AD10" s="194"/>
      <c r="AE10" s="201"/>
      <c r="AF10" s="207"/>
      <c r="AG10" s="208"/>
      <c r="AH10" s="209"/>
      <c r="AI10" s="210"/>
      <c r="AJ10" s="197"/>
      <c r="AK10" s="201"/>
      <c r="AL10" s="196"/>
      <c r="AM10" s="201"/>
      <c r="AN10" s="201"/>
      <c r="AO10" s="201"/>
      <c r="AP10" s="211"/>
      <c r="AQ10" s="212"/>
      <c r="AR10" s="201"/>
      <c r="AS10" s="201"/>
      <c r="AT10" s="201"/>
      <c r="AU10" s="201"/>
      <c r="AV10" s="202"/>
      <c r="AW10" s="194"/>
      <c r="AX10" s="201"/>
      <c r="AY10" s="213"/>
      <c r="AZ10" s="214"/>
      <c r="BA10" s="215"/>
      <c r="BB10" s="216"/>
      <c r="BC10" s="217" t="str">
        <f t="shared" si="0"/>
        <v/>
      </c>
      <c r="BD10" s="218"/>
      <c r="BE10" s="219"/>
      <c r="BF10" s="220"/>
      <c r="BG10" s="219"/>
      <c r="BH10" s="219"/>
      <c r="BI10" s="220"/>
      <c r="BJ10" s="218"/>
      <c r="BK10" s="219"/>
      <c r="BL10" s="197"/>
      <c r="BM10" s="215"/>
      <c r="BN10" s="221"/>
      <c r="BO10" s="222" t="str">
        <f t="shared" si="1"/>
        <v/>
      </c>
      <c r="BP10" s="217" t="str">
        <f t="shared" si="2"/>
        <v/>
      </c>
      <c r="BQ10" s="215"/>
      <c r="BR10" s="224"/>
      <c r="BS10" s="225"/>
      <c r="BT10" s="223"/>
      <c r="BU10" s="215"/>
      <c r="BV10" s="226"/>
      <c r="BW10" s="222" t="str">
        <f t="shared" si="3"/>
        <v/>
      </c>
      <c r="BX10" s="223" t="str">
        <f t="shared" si="4"/>
        <v/>
      </c>
      <c r="BY10" s="215"/>
      <c r="BZ10" s="227"/>
      <c r="CA10" s="227"/>
      <c r="CB10" s="228"/>
      <c r="CC10" s="229"/>
      <c r="CD10" s="230" t="str">
        <f t="shared" si="5"/>
        <v/>
      </c>
      <c r="CE10" s="231" t="str">
        <f t="shared" si="6"/>
        <v/>
      </c>
      <c r="CF10" s="232" t="str">
        <f t="shared" si="7"/>
        <v/>
      </c>
      <c r="CG10" s="233" t="str">
        <f t="shared" si="8"/>
        <v/>
      </c>
      <c r="CH10" s="207" t="str">
        <f>IF(OR(G10="",CC10= ""), "", IF(ISERROR(SMALL((CJ10,CN10,CV10), 1)-CC10), "",  SMALL((CJ10,CN10,CV10), 1)-CC10))</f>
        <v/>
      </c>
      <c r="CI10" s="234"/>
      <c r="CJ10" s="235"/>
      <c r="CK10" s="236"/>
      <c r="CL10" s="222" t="str">
        <f t="shared" si="9"/>
        <v/>
      </c>
      <c r="CM10" s="237" t="str">
        <f>IF(OR(G10="", CJ10="",CK10=""), "", IF(ISERROR(SMALL((CN10,CV10), 1)-CK10), "",  SMALL((CN10,CV10), 1)-CK10))</f>
        <v/>
      </c>
      <c r="CN10" s="235"/>
      <c r="CO10" s="236"/>
      <c r="CP10" s="224" t="str">
        <f t="shared" si="10"/>
        <v/>
      </c>
      <c r="CQ10" s="235"/>
      <c r="CR10" s="236"/>
      <c r="CS10" s="222" t="str">
        <f t="shared" si="11"/>
        <v/>
      </c>
      <c r="CT10" s="237" t="str">
        <f t="shared" si="12"/>
        <v/>
      </c>
      <c r="CU10" s="238"/>
      <c r="CV10" s="239"/>
      <c r="CW10" s="240"/>
    </row>
    <row r="11" spans="1:108" ht="16.5" customHeight="1">
      <c r="B11" s="122"/>
      <c r="E11" s="122"/>
      <c r="F11" s="194"/>
      <c r="G11" s="195"/>
      <c r="H11" s="195"/>
      <c r="I11" s="195"/>
      <c r="J11" s="196"/>
      <c r="K11" s="197"/>
      <c r="L11" s="198"/>
      <c r="M11" s="199"/>
      <c r="N11" s="200"/>
      <c r="O11" s="201"/>
      <c r="P11" s="201"/>
      <c r="Q11" s="201"/>
      <c r="R11" s="201"/>
      <c r="S11" s="201"/>
      <c r="T11" s="201"/>
      <c r="U11" s="201"/>
      <c r="V11" s="201"/>
      <c r="W11" s="201"/>
      <c r="X11" s="202"/>
      <c r="Y11" s="203"/>
      <c r="Z11" s="204"/>
      <c r="AA11" s="205"/>
      <c r="AB11" s="206"/>
      <c r="AC11" s="206"/>
      <c r="AD11" s="194"/>
      <c r="AE11" s="201"/>
      <c r="AF11" s="207"/>
      <c r="AG11" s="208"/>
      <c r="AH11" s="209"/>
      <c r="AI11" s="210"/>
      <c r="AJ11" s="197"/>
      <c r="AK11" s="201"/>
      <c r="AL11" s="196"/>
      <c r="AM11" s="201"/>
      <c r="AN11" s="201"/>
      <c r="AO11" s="201"/>
      <c r="AP11" s="211"/>
      <c r="AQ11" s="212"/>
      <c r="AR11" s="201"/>
      <c r="AS11" s="201"/>
      <c r="AT11" s="201"/>
      <c r="AU11" s="201"/>
      <c r="AV11" s="202"/>
      <c r="AW11" s="194"/>
      <c r="AX11" s="201"/>
      <c r="AY11" s="213"/>
      <c r="AZ11" s="214"/>
      <c r="BA11" s="215"/>
      <c r="BB11" s="216"/>
      <c r="BC11" s="217" t="str">
        <f t="shared" si="0"/>
        <v/>
      </c>
      <c r="BD11" s="218"/>
      <c r="BE11" s="219"/>
      <c r="BF11" s="220"/>
      <c r="BG11" s="219"/>
      <c r="BH11" s="219"/>
      <c r="BI11" s="220"/>
      <c r="BJ11" s="218"/>
      <c r="BK11" s="219"/>
      <c r="BL11" s="197"/>
      <c r="BM11" s="215"/>
      <c r="BN11" s="221"/>
      <c r="BO11" s="222" t="str">
        <f t="shared" si="1"/>
        <v/>
      </c>
      <c r="BP11" s="217" t="str">
        <f t="shared" si="2"/>
        <v/>
      </c>
      <c r="BQ11" s="215"/>
      <c r="BR11" s="224"/>
      <c r="BS11" s="225"/>
      <c r="BT11" s="223"/>
      <c r="BU11" s="215"/>
      <c r="BV11" s="226"/>
      <c r="BW11" s="222" t="str">
        <f t="shared" si="3"/>
        <v/>
      </c>
      <c r="BX11" s="223" t="str">
        <f t="shared" si="4"/>
        <v/>
      </c>
      <c r="BY11" s="215"/>
      <c r="BZ11" s="227"/>
      <c r="CA11" s="227"/>
      <c r="CB11" s="228"/>
      <c r="CC11" s="229"/>
      <c r="CD11" s="230" t="str">
        <f t="shared" si="5"/>
        <v/>
      </c>
      <c r="CE11" s="231" t="str">
        <f t="shared" si="6"/>
        <v/>
      </c>
      <c r="CF11" s="232" t="str">
        <f t="shared" si="7"/>
        <v/>
      </c>
      <c r="CG11" s="233" t="str">
        <f t="shared" si="8"/>
        <v/>
      </c>
      <c r="CH11" s="207" t="str">
        <f>IF(OR(G11="",CC11= ""), "", IF(ISERROR(SMALL((CJ11,CN11,CV11), 1)-CC11), "",  SMALL((CJ11,CN11,CV11), 1)-CC11))</f>
        <v/>
      </c>
      <c r="CI11" s="234"/>
      <c r="CJ11" s="235"/>
      <c r="CK11" s="236"/>
      <c r="CL11" s="222" t="str">
        <f t="shared" si="9"/>
        <v/>
      </c>
      <c r="CM11" s="237" t="str">
        <f>IF(OR(G11="", CJ11="",CK11=""), "", IF(ISERROR(SMALL((CN11,CV11), 1)-CK11), "",  SMALL((CN11,CV11), 1)-CK11))</f>
        <v/>
      </c>
      <c r="CN11" s="235"/>
      <c r="CO11" s="236"/>
      <c r="CP11" s="224" t="str">
        <f t="shared" si="10"/>
        <v/>
      </c>
      <c r="CQ11" s="235"/>
      <c r="CR11" s="236"/>
      <c r="CS11" s="222" t="str">
        <f t="shared" si="11"/>
        <v/>
      </c>
      <c r="CT11" s="237" t="str">
        <f t="shared" si="12"/>
        <v/>
      </c>
      <c r="CU11" s="238"/>
      <c r="CV11" s="239"/>
      <c r="CW11" s="240"/>
    </row>
    <row r="12" spans="1:108" ht="16.5" customHeight="1">
      <c r="B12" s="122"/>
      <c r="E12" s="122"/>
      <c r="F12" s="194"/>
      <c r="G12" s="195"/>
      <c r="H12" s="195"/>
      <c r="I12" s="195"/>
      <c r="J12" s="196"/>
      <c r="K12" s="197"/>
      <c r="L12" s="198"/>
      <c r="M12" s="199"/>
      <c r="N12" s="200"/>
      <c r="O12" s="201"/>
      <c r="P12" s="201"/>
      <c r="Q12" s="201"/>
      <c r="R12" s="201"/>
      <c r="S12" s="201"/>
      <c r="T12" s="201"/>
      <c r="U12" s="201"/>
      <c r="V12" s="201"/>
      <c r="W12" s="201"/>
      <c r="X12" s="202"/>
      <c r="Y12" s="203"/>
      <c r="Z12" s="204"/>
      <c r="AA12" s="205"/>
      <c r="AB12" s="206"/>
      <c r="AC12" s="206"/>
      <c r="AD12" s="194"/>
      <c r="AE12" s="201"/>
      <c r="AF12" s="207"/>
      <c r="AG12" s="208"/>
      <c r="AH12" s="209"/>
      <c r="AI12" s="210"/>
      <c r="AJ12" s="197"/>
      <c r="AK12" s="201"/>
      <c r="AL12" s="196"/>
      <c r="AM12" s="201"/>
      <c r="AN12" s="201"/>
      <c r="AO12" s="201"/>
      <c r="AP12" s="211"/>
      <c r="AQ12" s="212"/>
      <c r="AR12" s="201"/>
      <c r="AS12" s="201"/>
      <c r="AT12" s="201"/>
      <c r="AU12" s="201"/>
      <c r="AV12" s="202"/>
      <c r="AW12" s="194"/>
      <c r="AX12" s="201"/>
      <c r="AY12" s="213"/>
      <c r="AZ12" s="214"/>
      <c r="BA12" s="215"/>
      <c r="BB12" s="216"/>
      <c r="BC12" s="217" t="str">
        <f t="shared" si="0"/>
        <v/>
      </c>
      <c r="BD12" s="218"/>
      <c r="BE12" s="219"/>
      <c r="BF12" s="220"/>
      <c r="BG12" s="219"/>
      <c r="BH12" s="219"/>
      <c r="BI12" s="220"/>
      <c r="BJ12" s="218"/>
      <c r="BK12" s="219"/>
      <c r="BL12" s="197"/>
      <c r="BM12" s="215"/>
      <c r="BN12" s="221"/>
      <c r="BO12" s="222" t="str">
        <f t="shared" si="1"/>
        <v/>
      </c>
      <c r="BP12" s="217" t="str">
        <f t="shared" si="2"/>
        <v/>
      </c>
      <c r="BQ12" s="215"/>
      <c r="BR12" s="224"/>
      <c r="BS12" s="225"/>
      <c r="BT12" s="223"/>
      <c r="BU12" s="215"/>
      <c r="BV12" s="226"/>
      <c r="BW12" s="222" t="str">
        <f t="shared" si="3"/>
        <v/>
      </c>
      <c r="BX12" s="223" t="str">
        <f t="shared" si="4"/>
        <v/>
      </c>
      <c r="BY12" s="215"/>
      <c r="BZ12" s="227"/>
      <c r="CA12" s="227"/>
      <c r="CB12" s="228"/>
      <c r="CC12" s="229"/>
      <c r="CD12" s="230" t="str">
        <f t="shared" si="5"/>
        <v/>
      </c>
      <c r="CE12" s="231" t="str">
        <f t="shared" si="6"/>
        <v/>
      </c>
      <c r="CF12" s="232" t="str">
        <f t="shared" si="7"/>
        <v/>
      </c>
      <c r="CG12" s="233" t="str">
        <f t="shared" si="8"/>
        <v/>
      </c>
      <c r="CH12" s="207" t="str">
        <f>IF(OR(G12="",CC12= ""), "", IF(ISERROR(SMALL((CJ12,CN12,CV12), 1)-CC12), "",  SMALL((CJ12,CN12,CV12), 1)-CC12))</f>
        <v/>
      </c>
      <c r="CI12" s="234"/>
      <c r="CJ12" s="235"/>
      <c r="CK12" s="236"/>
      <c r="CL12" s="222" t="str">
        <f t="shared" si="9"/>
        <v/>
      </c>
      <c r="CM12" s="237" t="str">
        <f>IF(OR(G12="", CJ12="",CK12=""), "", IF(ISERROR(SMALL((CN12,CV12), 1)-CK12), "",  SMALL((CN12,CV12), 1)-CK12))</f>
        <v/>
      </c>
      <c r="CN12" s="235"/>
      <c r="CO12" s="236"/>
      <c r="CP12" s="224" t="str">
        <f t="shared" si="10"/>
        <v/>
      </c>
      <c r="CQ12" s="235"/>
      <c r="CR12" s="236"/>
      <c r="CS12" s="222" t="str">
        <f t="shared" si="11"/>
        <v/>
      </c>
      <c r="CT12" s="237" t="str">
        <f t="shared" si="12"/>
        <v/>
      </c>
      <c r="CU12" s="238"/>
      <c r="CV12" s="239"/>
      <c r="CW12" s="240"/>
    </row>
    <row r="13" spans="1:108" ht="16.5" customHeight="1">
      <c r="B13" s="122"/>
      <c r="E13" s="122"/>
      <c r="F13" s="194"/>
      <c r="G13" s="195"/>
      <c r="H13" s="195"/>
      <c r="I13" s="195"/>
      <c r="J13" s="196"/>
      <c r="K13" s="197"/>
      <c r="L13" s="198"/>
      <c r="M13" s="199"/>
      <c r="N13" s="200"/>
      <c r="O13" s="201"/>
      <c r="P13" s="201"/>
      <c r="Q13" s="201"/>
      <c r="R13" s="201"/>
      <c r="S13" s="201"/>
      <c r="T13" s="201"/>
      <c r="U13" s="201"/>
      <c r="V13" s="201"/>
      <c r="W13" s="201"/>
      <c r="X13" s="202"/>
      <c r="Y13" s="203"/>
      <c r="Z13" s="204"/>
      <c r="AA13" s="205"/>
      <c r="AB13" s="206"/>
      <c r="AC13" s="206"/>
      <c r="AD13" s="194"/>
      <c r="AE13" s="201"/>
      <c r="AF13" s="207"/>
      <c r="AG13" s="208"/>
      <c r="AH13" s="209"/>
      <c r="AI13" s="210"/>
      <c r="AJ13" s="197"/>
      <c r="AK13" s="201"/>
      <c r="AL13" s="196"/>
      <c r="AM13" s="201"/>
      <c r="AN13" s="201"/>
      <c r="AO13" s="201"/>
      <c r="AP13" s="211"/>
      <c r="AQ13" s="212"/>
      <c r="AR13" s="201"/>
      <c r="AS13" s="201"/>
      <c r="AT13" s="201"/>
      <c r="AU13" s="201"/>
      <c r="AV13" s="202"/>
      <c r="AW13" s="194"/>
      <c r="AX13" s="201"/>
      <c r="AY13" s="213"/>
      <c r="AZ13" s="214"/>
      <c r="BA13" s="215"/>
      <c r="BB13" s="216"/>
      <c r="BC13" s="217" t="str">
        <f t="shared" si="0"/>
        <v/>
      </c>
      <c r="BD13" s="218"/>
      <c r="BE13" s="219"/>
      <c r="BF13" s="220"/>
      <c r="BG13" s="219"/>
      <c r="BH13" s="219"/>
      <c r="BI13" s="220"/>
      <c r="BJ13" s="218"/>
      <c r="BK13" s="219"/>
      <c r="BL13" s="197"/>
      <c r="BM13" s="215"/>
      <c r="BN13" s="221"/>
      <c r="BO13" s="222" t="str">
        <f t="shared" si="1"/>
        <v/>
      </c>
      <c r="BP13" s="217" t="str">
        <f t="shared" si="2"/>
        <v/>
      </c>
      <c r="BQ13" s="215"/>
      <c r="BR13" s="224"/>
      <c r="BS13" s="225"/>
      <c r="BT13" s="223"/>
      <c r="BU13" s="215"/>
      <c r="BV13" s="226"/>
      <c r="BW13" s="222" t="str">
        <f t="shared" si="3"/>
        <v/>
      </c>
      <c r="BX13" s="223" t="str">
        <f t="shared" si="4"/>
        <v/>
      </c>
      <c r="BY13" s="215"/>
      <c r="BZ13" s="227"/>
      <c r="CA13" s="227"/>
      <c r="CB13" s="228"/>
      <c r="CC13" s="229"/>
      <c r="CD13" s="230" t="str">
        <f t="shared" si="5"/>
        <v/>
      </c>
      <c r="CE13" s="231" t="str">
        <f t="shared" si="6"/>
        <v/>
      </c>
      <c r="CF13" s="232" t="str">
        <f t="shared" si="7"/>
        <v/>
      </c>
      <c r="CG13" s="233" t="str">
        <f t="shared" si="8"/>
        <v/>
      </c>
      <c r="CH13" s="207" t="str">
        <f>IF(OR(G13="",CC13= ""), "", IF(ISERROR(SMALL((CJ13,CN13,CV13), 1)-CC13), "",  SMALL((CJ13,CN13,CV13), 1)-CC13))</f>
        <v/>
      </c>
      <c r="CI13" s="234"/>
      <c r="CJ13" s="235"/>
      <c r="CK13" s="236"/>
      <c r="CL13" s="222" t="str">
        <f t="shared" si="9"/>
        <v/>
      </c>
      <c r="CM13" s="237" t="str">
        <f>IF(OR(G13="", CJ13="",CK13=""), "", IF(ISERROR(SMALL((CN13,CV13), 1)-CK13), "",  SMALL((CN13,CV13), 1)-CK13))</f>
        <v/>
      </c>
      <c r="CN13" s="235"/>
      <c r="CO13" s="236"/>
      <c r="CP13" s="224" t="str">
        <f t="shared" si="10"/>
        <v/>
      </c>
      <c r="CQ13" s="235"/>
      <c r="CR13" s="236"/>
      <c r="CS13" s="222" t="str">
        <f t="shared" si="11"/>
        <v/>
      </c>
      <c r="CT13" s="237" t="str">
        <f t="shared" si="12"/>
        <v/>
      </c>
      <c r="CU13" s="238"/>
      <c r="CV13" s="239"/>
      <c r="CW13" s="240"/>
    </row>
    <row r="14" spans="1:108" ht="16.5" customHeight="1">
      <c r="B14" s="122"/>
      <c r="E14" s="122"/>
      <c r="F14" s="194"/>
      <c r="G14" s="195"/>
      <c r="H14" s="195"/>
      <c r="I14" s="195"/>
      <c r="J14" s="196"/>
      <c r="K14" s="197"/>
      <c r="L14" s="198"/>
      <c r="M14" s="199"/>
      <c r="N14" s="200"/>
      <c r="O14" s="201"/>
      <c r="P14" s="201"/>
      <c r="Q14" s="201"/>
      <c r="R14" s="201"/>
      <c r="S14" s="201"/>
      <c r="T14" s="201"/>
      <c r="U14" s="201"/>
      <c r="V14" s="201"/>
      <c r="W14" s="201"/>
      <c r="X14" s="202"/>
      <c r="Y14" s="203"/>
      <c r="Z14" s="204"/>
      <c r="AA14" s="205"/>
      <c r="AB14" s="206"/>
      <c r="AC14" s="206"/>
      <c r="AD14" s="194"/>
      <c r="AE14" s="201"/>
      <c r="AF14" s="207"/>
      <c r="AG14" s="208"/>
      <c r="AH14" s="209"/>
      <c r="AI14" s="210"/>
      <c r="AJ14" s="197"/>
      <c r="AK14" s="201"/>
      <c r="AL14" s="196"/>
      <c r="AM14" s="201"/>
      <c r="AN14" s="201"/>
      <c r="AO14" s="201"/>
      <c r="AP14" s="211"/>
      <c r="AQ14" s="212"/>
      <c r="AR14" s="201"/>
      <c r="AS14" s="201"/>
      <c r="AT14" s="201"/>
      <c r="AU14" s="201"/>
      <c r="AV14" s="202"/>
      <c r="AW14" s="194"/>
      <c r="AX14" s="201"/>
      <c r="AY14" s="213"/>
      <c r="AZ14" s="214"/>
      <c r="BA14" s="215"/>
      <c r="BB14" s="216"/>
      <c r="BC14" s="217" t="str">
        <f t="shared" si="0"/>
        <v/>
      </c>
      <c r="BD14" s="218"/>
      <c r="BE14" s="219"/>
      <c r="BF14" s="220"/>
      <c r="BG14" s="219"/>
      <c r="BH14" s="219"/>
      <c r="BI14" s="220"/>
      <c r="BJ14" s="218"/>
      <c r="BK14" s="219"/>
      <c r="BL14" s="197"/>
      <c r="BM14" s="215"/>
      <c r="BN14" s="221"/>
      <c r="BO14" s="222" t="str">
        <f t="shared" si="1"/>
        <v/>
      </c>
      <c r="BP14" s="217" t="str">
        <f t="shared" si="2"/>
        <v/>
      </c>
      <c r="BQ14" s="215"/>
      <c r="BR14" s="224"/>
      <c r="BS14" s="225"/>
      <c r="BT14" s="223"/>
      <c r="BU14" s="215"/>
      <c r="BV14" s="226"/>
      <c r="BW14" s="222" t="str">
        <f t="shared" si="3"/>
        <v/>
      </c>
      <c r="BX14" s="223" t="str">
        <f t="shared" si="4"/>
        <v/>
      </c>
      <c r="BY14" s="215"/>
      <c r="BZ14" s="227"/>
      <c r="CA14" s="227"/>
      <c r="CB14" s="228"/>
      <c r="CC14" s="229"/>
      <c r="CD14" s="230" t="str">
        <f t="shared" si="5"/>
        <v/>
      </c>
      <c r="CE14" s="231" t="str">
        <f t="shared" si="6"/>
        <v/>
      </c>
      <c r="CF14" s="232" t="str">
        <f t="shared" si="7"/>
        <v/>
      </c>
      <c r="CG14" s="233" t="str">
        <f t="shared" si="8"/>
        <v/>
      </c>
      <c r="CH14" s="207" t="str">
        <f>IF(OR(G14="",CC14= ""), "", IF(ISERROR(SMALL((CJ14,CN14,CV14), 1)-CC14), "",  SMALL((CJ14,CN14,CV14), 1)-CC14))</f>
        <v/>
      </c>
      <c r="CI14" s="234"/>
      <c r="CJ14" s="235"/>
      <c r="CK14" s="236"/>
      <c r="CL14" s="222" t="str">
        <f t="shared" si="9"/>
        <v/>
      </c>
      <c r="CM14" s="237" t="str">
        <f>IF(OR(G14="", CJ14="",CK14=""), "", IF(ISERROR(SMALL((CN14,CV14), 1)-CK14), "",  SMALL((CN14,CV14), 1)-CK14))</f>
        <v/>
      </c>
      <c r="CN14" s="235"/>
      <c r="CO14" s="236"/>
      <c r="CP14" s="224" t="str">
        <f t="shared" si="10"/>
        <v/>
      </c>
      <c r="CQ14" s="235"/>
      <c r="CR14" s="236"/>
      <c r="CS14" s="222" t="str">
        <f t="shared" si="11"/>
        <v/>
      </c>
      <c r="CT14" s="237" t="str">
        <f t="shared" si="12"/>
        <v/>
      </c>
      <c r="CU14" s="238"/>
      <c r="CV14" s="239"/>
      <c r="CW14" s="240"/>
    </row>
    <row r="15" spans="1:108" ht="16.5" customHeight="1">
      <c r="B15" s="122"/>
      <c r="E15" s="122"/>
      <c r="F15" s="194"/>
      <c r="G15" s="195"/>
      <c r="H15" s="195"/>
      <c r="I15" s="195"/>
      <c r="J15" s="196"/>
      <c r="K15" s="197"/>
      <c r="L15" s="198"/>
      <c r="M15" s="199"/>
      <c r="N15" s="200"/>
      <c r="O15" s="201"/>
      <c r="P15" s="201"/>
      <c r="Q15" s="201"/>
      <c r="R15" s="201"/>
      <c r="S15" s="201"/>
      <c r="T15" s="201"/>
      <c r="U15" s="201"/>
      <c r="V15" s="201"/>
      <c r="W15" s="201"/>
      <c r="X15" s="202"/>
      <c r="Y15" s="203"/>
      <c r="Z15" s="204"/>
      <c r="AA15" s="205"/>
      <c r="AB15" s="206"/>
      <c r="AC15" s="206"/>
      <c r="AD15" s="194"/>
      <c r="AE15" s="201"/>
      <c r="AF15" s="207"/>
      <c r="AG15" s="208"/>
      <c r="AH15" s="209"/>
      <c r="AI15" s="210"/>
      <c r="AJ15" s="197"/>
      <c r="AK15" s="201"/>
      <c r="AL15" s="196"/>
      <c r="AM15" s="201"/>
      <c r="AN15" s="201"/>
      <c r="AO15" s="201"/>
      <c r="AP15" s="211"/>
      <c r="AQ15" s="212"/>
      <c r="AR15" s="201"/>
      <c r="AS15" s="201"/>
      <c r="AT15" s="201"/>
      <c r="AU15" s="201"/>
      <c r="AV15" s="202"/>
      <c r="AW15" s="194"/>
      <c r="AX15" s="201"/>
      <c r="AY15" s="213"/>
      <c r="AZ15" s="214"/>
      <c r="BA15" s="215"/>
      <c r="BB15" s="216"/>
      <c r="BC15" s="217" t="str">
        <f t="shared" si="0"/>
        <v/>
      </c>
      <c r="BD15" s="218"/>
      <c r="BE15" s="219"/>
      <c r="BF15" s="220"/>
      <c r="BG15" s="219"/>
      <c r="BH15" s="219"/>
      <c r="BI15" s="220"/>
      <c r="BJ15" s="218"/>
      <c r="BK15" s="219"/>
      <c r="BL15" s="197"/>
      <c r="BM15" s="215"/>
      <c r="BN15" s="221"/>
      <c r="BO15" s="222" t="str">
        <f t="shared" si="1"/>
        <v/>
      </c>
      <c r="BP15" s="217" t="str">
        <f t="shared" si="2"/>
        <v/>
      </c>
      <c r="BQ15" s="215"/>
      <c r="BR15" s="224"/>
      <c r="BS15" s="225"/>
      <c r="BT15" s="223"/>
      <c r="BU15" s="215"/>
      <c r="BV15" s="226"/>
      <c r="BW15" s="222" t="str">
        <f t="shared" si="3"/>
        <v/>
      </c>
      <c r="BX15" s="223" t="str">
        <f t="shared" si="4"/>
        <v/>
      </c>
      <c r="BY15" s="215"/>
      <c r="BZ15" s="227"/>
      <c r="CA15" s="227"/>
      <c r="CB15" s="228"/>
      <c r="CC15" s="229"/>
      <c r="CD15" s="230" t="str">
        <f t="shared" si="5"/>
        <v/>
      </c>
      <c r="CE15" s="231" t="str">
        <f t="shared" si="6"/>
        <v/>
      </c>
      <c r="CF15" s="232" t="str">
        <f t="shared" si="7"/>
        <v/>
      </c>
      <c r="CG15" s="233" t="str">
        <f t="shared" si="8"/>
        <v/>
      </c>
      <c r="CH15" s="207" t="str">
        <f>IF(OR(G15="",CC15= ""), "", IF(ISERROR(SMALL((CJ15,CN15,CV15), 1)-CC15), "",  SMALL((CJ15,CN15,CV15), 1)-CC15))</f>
        <v/>
      </c>
      <c r="CI15" s="234"/>
      <c r="CJ15" s="235"/>
      <c r="CK15" s="236"/>
      <c r="CL15" s="222" t="str">
        <f t="shared" si="9"/>
        <v/>
      </c>
      <c r="CM15" s="237" t="str">
        <f>IF(OR(G15="", CJ15="",CK15=""), "", IF(ISERROR(SMALL((CN15,CV15), 1)-CK15), "",  SMALL((CN15,CV15), 1)-CK15))</f>
        <v/>
      </c>
      <c r="CN15" s="235"/>
      <c r="CO15" s="236"/>
      <c r="CP15" s="224" t="str">
        <f t="shared" si="10"/>
        <v/>
      </c>
      <c r="CQ15" s="235"/>
      <c r="CR15" s="236"/>
      <c r="CS15" s="222" t="str">
        <f t="shared" si="11"/>
        <v/>
      </c>
      <c r="CT15" s="237" t="str">
        <f t="shared" si="12"/>
        <v/>
      </c>
      <c r="CU15" s="238"/>
      <c r="CV15" s="239"/>
      <c r="CW15" s="240"/>
    </row>
    <row r="16" spans="1:108" ht="16.5" customHeight="1">
      <c r="B16" s="122"/>
      <c r="E16" s="122"/>
      <c r="F16" s="194"/>
      <c r="G16" s="195"/>
      <c r="H16" s="195"/>
      <c r="I16" s="195"/>
      <c r="J16" s="196"/>
      <c r="K16" s="197"/>
      <c r="L16" s="198"/>
      <c r="M16" s="199"/>
      <c r="N16" s="200"/>
      <c r="O16" s="201"/>
      <c r="P16" s="201"/>
      <c r="Q16" s="201"/>
      <c r="R16" s="201"/>
      <c r="S16" s="201"/>
      <c r="T16" s="201"/>
      <c r="U16" s="201"/>
      <c r="V16" s="201"/>
      <c r="W16" s="201"/>
      <c r="X16" s="202"/>
      <c r="Y16" s="203"/>
      <c r="Z16" s="204"/>
      <c r="AA16" s="205"/>
      <c r="AB16" s="206"/>
      <c r="AC16" s="206"/>
      <c r="AD16" s="194"/>
      <c r="AE16" s="201"/>
      <c r="AF16" s="207"/>
      <c r="AG16" s="208"/>
      <c r="AH16" s="209"/>
      <c r="AI16" s="210"/>
      <c r="AJ16" s="197"/>
      <c r="AK16" s="201"/>
      <c r="AL16" s="196"/>
      <c r="AM16" s="201"/>
      <c r="AN16" s="201"/>
      <c r="AO16" s="201"/>
      <c r="AP16" s="211"/>
      <c r="AQ16" s="212"/>
      <c r="AR16" s="201"/>
      <c r="AS16" s="201"/>
      <c r="AT16" s="201"/>
      <c r="AU16" s="201"/>
      <c r="AV16" s="202"/>
      <c r="AW16" s="194"/>
      <c r="AX16" s="201"/>
      <c r="AY16" s="213"/>
      <c r="AZ16" s="214"/>
      <c r="BA16" s="215"/>
      <c r="BB16" s="216"/>
      <c r="BC16" s="217" t="str">
        <f t="shared" si="0"/>
        <v/>
      </c>
      <c r="BD16" s="218"/>
      <c r="BE16" s="219"/>
      <c r="BF16" s="220"/>
      <c r="BG16" s="219"/>
      <c r="BH16" s="219"/>
      <c r="BI16" s="220"/>
      <c r="BJ16" s="218"/>
      <c r="BK16" s="219"/>
      <c r="BL16" s="197"/>
      <c r="BM16" s="215"/>
      <c r="BN16" s="221"/>
      <c r="BO16" s="222" t="str">
        <f t="shared" si="1"/>
        <v/>
      </c>
      <c r="BP16" s="217" t="str">
        <f t="shared" si="2"/>
        <v/>
      </c>
      <c r="BQ16" s="215"/>
      <c r="BR16" s="224"/>
      <c r="BS16" s="225"/>
      <c r="BT16" s="223"/>
      <c r="BU16" s="215"/>
      <c r="BV16" s="226"/>
      <c r="BW16" s="222" t="str">
        <f t="shared" si="3"/>
        <v/>
      </c>
      <c r="BX16" s="223" t="str">
        <f t="shared" si="4"/>
        <v/>
      </c>
      <c r="BY16" s="215"/>
      <c r="BZ16" s="227"/>
      <c r="CA16" s="227"/>
      <c r="CB16" s="228"/>
      <c r="CC16" s="229"/>
      <c r="CD16" s="230" t="str">
        <f t="shared" si="5"/>
        <v/>
      </c>
      <c r="CE16" s="231" t="str">
        <f t="shared" si="6"/>
        <v/>
      </c>
      <c r="CF16" s="232" t="str">
        <f t="shared" si="7"/>
        <v/>
      </c>
      <c r="CG16" s="233" t="str">
        <f t="shared" si="8"/>
        <v/>
      </c>
      <c r="CH16" s="207" t="str">
        <f>IF(OR(G16="",CC16= ""), "", IF(ISERROR(SMALL((CJ16,CN16,CV16), 1)-CC16), "",  SMALL((CJ16,CN16,CV16), 1)-CC16))</f>
        <v/>
      </c>
      <c r="CI16" s="234"/>
      <c r="CJ16" s="235"/>
      <c r="CK16" s="236"/>
      <c r="CL16" s="222" t="str">
        <f t="shared" si="9"/>
        <v/>
      </c>
      <c r="CM16" s="237" t="str">
        <f>IF(OR(G16="", CJ16="",CK16=""), "", IF(ISERROR(SMALL((CN16,CV16), 1)-CK16), "",  SMALL((CN16,CV16), 1)-CK16))</f>
        <v/>
      </c>
      <c r="CN16" s="235"/>
      <c r="CO16" s="236"/>
      <c r="CP16" s="224" t="str">
        <f t="shared" si="10"/>
        <v/>
      </c>
      <c r="CQ16" s="235"/>
      <c r="CR16" s="236"/>
      <c r="CS16" s="222" t="str">
        <f t="shared" si="11"/>
        <v/>
      </c>
      <c r="CT16" s="237" t="str">
        <f t="shared" si="12"/>
        <v/>
      </c>
      <c r="CU16" s="238"/>
      <c r="CV16" s="239"/>
      <c r="CW16" s="240"/>
    </row>
    <row r="17" spans="2:101" ht="16.5" customHeight="1">
      <c r="B17" s="122"/>
      <c r="E17" s="122"/>
      <c r="F17" s="194"/>
      <c r="G17" s="195"/>
      <c r="H17" s="195"/>
      <c r="I17" s="195"/>
      <c r="J17" s="196"/>
      <c r="K17" s="197"/>
      <c r="L17" s="198"/>
      <c r="M17" s="199"/>
      <c r="N17" s="200"/>
      <c r="O17" s="201"/>
      <c r="P17" s="201"/>
      <c r="Q17" s="201"/>
      <c r="R17" s="201"/>
      <c r="S17" s="201"/>
      <c r="T17" s="201"/>
      <c r="U17" s="201"/>
      <c r="V17" s="201"/>
      <c r="W17" s="201"/>
      <c r="X17" s="202"/>
      <c r="Y17" s="203"/>
      <c r="Z17" s="204"/>
      <c r="AA17" s="205"/>
      <c r="AB17" s="206"/>
      <c r="AC17" s="206"/>
      <c r="AD17" s="194"/>
      <c r="AE17" s="201"/>
      <c r="AF17" s="207"/>
      <c r="AG17" s="208"/>
      <c r="AH17" s="209"/>
      <c r="AI17" s="210"/>
      <c r="AJ17" s="197"/>
      <c r="AK17" s="201"/>
      <c r="AL17" s="196"/>
      <c r="AM17" s="201"/>
      <c r="AN17" s="201"/>
      <c r="AO17" s="201"/>
      <c r="AP17" s="211"/>
      <c r="AQ17" s="212"/>
      <c r="AR17" s="201"/>
      <c r="AS17" s="201"/>
      <c r="AT17" s="201"/>
      <c r="AU17" s="201"/>
      <c r="AV17" s="202"/>
      <c r="AW17" s="194"/>
      <c r="AX17" s="201"/>
      <c r="AY17" s="213"/>
      <c r="AZ17" s="214"/>
      <c r="BA17" s="215"/>
      <c r="BB17" s="216"/>
      <c r="BC17" s="217" t="str">
        <f t="shared" si="0"/>
        <v/>
      </c>
      <c r="BD17" s="218"/>
      <c r="BE17" s="219"/>
      <c r="BF17" s="220"/>
      <c r="BG17" s="219"/>
      <c r="BH17" s="219"/>
      <c r="BI17" s="220"/>
      <c r="BJ17" s="218"/>
      <c r="BK17" s="219"/>
      <c r="BL17" s="197"/>
      <c r="BM17" s="215"/>
      <c r="BN17" s="221"/>
      <c r="BO17" s="222" t="str">
        <f t="shared" si="1"/>
        <v/>
      </c>
      <c r="BP17" s="217" t="str">
        <f t="shared" si="2"/>
        <v/>
      </c>
      <c r="BQ17" s="215"/>
      <c r="BR17" s="224"/>
      <c r="BS17" s="225"/>
      <c r="BT17" s="223"/>
      <c r="BU17" s="215"/>
      <c r="BV17" s="226"/>
      <c r="BW17" s="222" t="str">
        <f t="shared" si="3"/>
        <v/>
      </c>
      <c r="BX17" s="223" t="str">
        <f t="shared" si="4"/>
        <v/>
      </c>
      <c r="BY17" s="215"/>
      <c r="BZ17" s="227"/>
      <c r="CA17" s="227"/>
      <c r="CB17" s="228"/>
      <c r="CC17" s="229"/>
      <c r="CD17" s="230" t="str">
        <f t="shared" si="5"/>
        <v/>
      </c>
      <c r="CE17" s="231" t="str">
        <f t="shared" si="6"/>
        <v/>
      </c>
      <c r="CF17" s="232" t="str">
        <f t="shared" si="7"/>
        <v/>
      </c>
      <c r="CG17" s="233" t="str">
        <f t="shared" si="8"/>
        <v/>
      </c>
      <c r="CH17" s="207" t="str">
        <f>IF(OR(G17="",CC17= ""), "", IF(ISERROR(SMALL((CJ17,CN17,CV17), 1)-CC17), "",  SMALL((CJ17,CN17,CV17), 1)-CC17))</f>
        <v/>
      </c>
      <c r="CI17" s="234"/>
      <c r="CJ17" s="235"/>
      <c r="CK17" s="236"/>
      <c r="CL17" s="222" t="str">
        <f t="shared" si="9"/>
        <v/>
      </c>
      <c r="CM17" s="237" t="str">
        <f>IF(OR(G17="", CJ17="",CK17=""), "", IF(ISERROR(SMALL((CN17,CV17), 1)-CK17), "",  SMALL((CN17,CV17), 1)-CK17))</f>
        <v/>
      </c>
      <c r="CN17" s="235"/>
      <c r="CO17" s="236"/>
      <c r="CP17" s="224" t="str">
        <f t="shared" si="10"/>
        <v/>
      </c>
      <c r="CQ17" s="235"/>
      <c r="CR17" s="236"/>
      <c r="CS17" s="222" t="str">
        <f t="shared" si="11"/>
        <v/>
      </c>
      <c r="CT17" s="237" t="str">
        <f t="shared" si="12"/>
        <v/>
      </c>
      <c r="CU17" s="238"/>
      <c r="CV17" s="239"/>
      <c r="CW17" s="240"/>
    </row>
    <row r="18" spans="2:101" ht="16.5" customHeight="1">
      <c r="B18" s="122"/>
      <c r="E18" s="122"/>
      <c r="F18" s="194"/>
      <c r="G18" s="195"/>
      <c r="H18" s="195"/>
      <c r="I18" s="195"/>
      <c r="J18" s="196"/>
      <c r="K18" s="197"/>
      <c r="L18" s="198"/>
      <c r="M18" s="199"/>
      <c r="N18" s="200"/>
      <c r="O18" s="201"/>
      <c r="P18" s="201"/>
      <c r="Q18" s="201"/>
      <c r="R18" s="201"/>
      <c r="S18" s="201"/>
      <c r="T18" s="201"/>
      <c r="U18" s="201"/>
      <c r="V18" s="201"/>
      <c r="W18" s="201"/>
      <c r="X18" s="202"/>
      <c r="Y18" s="203"/>
      <c r="Z18" s="204"/>
      <c r="AA18" s="205"/>
      <c r="AB18" s="206"/>
      <c r="AC18" s="206"/>
      <c r="AD18" s="194"/>
      <c r="AE18" s="201"/>
      <c r="AF18" s="207"/>
      <c r="AG18" s="208"/>
      <c r="AH18" s="209"/>
      <c r="AI18" s="210"/>
      <c r="AJ18" s="197"/>
      <c r="AK18" s="201"/>
      <c r="AL18" s="196"/>
      <c r="AM18" s="201"/>
      <c r="AN18" s="201"/>
      <c r="AO18" s="201"/>
      <c r="AP18" s="211"/>
      <c r="AQ18" s="212"/>
      <c r="AR18" s="201"/>
      <c r="AS18" s="201"/>
      <c r="AT18" s="201"/>
      <c r="AU18" s="201"/>
      <c r="AV18" s="202"/>
      <c r="AW18" s="194"/>
      <c r="AX18" s="201"/>
      <c r="AY18" s="213"/>
      <c r="AZ18" s="214"/>
      <c r="BA18" s="215"/>
      <c r="BB18" s="216"/>
      <c r="BC18" s="217" t="str">
        <f t="shared" si="0"/>
        <v/>
      </c>
      <c r="BD18" s="218"/>
      <c r="BE18" s="219"/>
      <c r="BF18" s="220"/>
      <c r="BG18" s="219"/>
      <c r="BH18" s="219"/>
      <c r="BI18" s="220"/>
      <c r="BJ18" s="218"/>
      <c r="BK18" s="219"/>
      <c r="BL18" s="197"/>
      <c r="BM18" s="215"/>
      <c r="BN18" s="221"/>
      <c r="BO18" s="222" t="str">
        <f t="shared" si="1"/>
        <v/>
      </c>
      <c r="BP18" s="217" t="str">
        <f t="shared" si="2"/>
        <v/>
      </c>
      <c r="BQ18" s="215"/>
      <c r="BR18" s="224"/>
      <c r="BS18" s="225"/>
      <c r="BT18" s="223"/>
      <c r="BU18" s="215"/>
      <c r="BV18" s="226"/>
      <c r="BW18" s="222" t="str">
        <f t="shared" si="3"/>
        <v/>
      </c>
      <c r="BX18" s="223" t="str">
        <f t="shared" si="4"/>
        <v/>
      </c>
      <c r="BY18" s="215"/>
      <c r="BZ18" s="227"/>
      <c r="CA18" s="227"/>
      <c r="CB18" s="228"/>
      <c r="CC18" s="229"/>
      <c r="CD18" s="230" t="str">
        <f t="shared" si="5"/>
        <v/>
      </c>
      <c r="CE18" s="231" t="str">
        <f t="shared" si="6"/>
        <v/>
      </c>
      <c r="CF18" s="232" t="str">
        <f t="shared" si="7"/>
        <v/>
      </c>
      <c r="CG18" s="233" t="str">
        <f t="shared" si="8"/>
        <v/>
      </c>
      <c r="CH18" s="207" t="str">
        <f>IF(OR(G18="",CC18= ""), "", IF(ISERROR(SMALL((CJ18,CN18,CV18), 1)-CC18), "",  SMALL((CJ18,CN18,CV18), 1)-CC18))</f>
        <v/>
      </c>
      <c r="CI18" s="234"/>
      <c r="CJ18" s="235"/>
      <c r="CK18" s="236"/>
      <c r="CL18" s="222" t="str">
        <f t="shared" si="9"/>
        <v/>
      </c>
      <c r="CM18" s="237" t="str">
        <f>IF(OR(G18="", CJ18="",CK18=""), "", IF(ISERROR(SMALL((CN18,CV18), 1)-CK18), "",  SMALL((CN18,CV18), 1)-CK18))</f>
        <v/>
      </c>
      <c r="CN18" s="235"/>
      <c r="CO18" s="236"/>
      <c r="CP18" s="224" t="str">
        <f t="shared" si="10"/>
        <v/>
      </c>
      <c r="CQ18" s="235"/>
      <c r="CR18" s="236"/>
      <c r="CS18" s="222" t="str">
        <f t="shared" si="11"/>
        <v/>
      </c>
      <c r="CT18" s="237" t="str">
        <f t="shared" si="12"/>
        <v/>
      </c>
      <c r="CU18" s="238"/>
      <c r="CV18" s="239"/>
      <c r="CW18" s="240"/>
    </row>
    <row r="19" spans="2:101" ht="16.5" customHeight="1">
      <c r="B19" s="122"/>
      <c r="E19" s="122"/>
      <c r="F19" s="194"/>
      <c r="G19" s="195"/>
      <c r="H19" s="195"/>
      <c r="I19" s="195"/>
      <c r="J19" s="196"/>
      <c r="K19" s="197"/>
      <c r="L19" s="198"/>
      <c r="M19" s="199"/>
      <c r="N19" s="200"/>
      <c r="O19" s="201"/>
      <c r="P19" s="201"/>
      <c r="Q19" s="201"/>
      <c r="R19" s="201"/>
      <c r="S19" s="201"/>
      <c r="T19" s="201"/>
      <c r="U19" s="201"/>
      <c r="V19" s="201"/>
      <c r="W19" s="201"/>
      <c r="X19" s="202"/>
      <c r="Y19" s="203"/>
      <c r="Z19" s="204"/>
      <c r="AA19" s="205"/>
      <c r="AB19" s="206"/>
      <c r="AC19" s="206"/>
      <c r="AD19" s="194"/>
      <c r="AE19" s="201"/>
      <c r="AF19" s="207"/>
      <c r="AG19" s="208"/>
      <c r="AH19" s="209"/>
      <c r="AI19" s="210"/>
      <c r="AJ19" s="197"/>
      <c r="AK19" s="201"/>
      <c r="AL19" s="196"/>
      <c r="AM19" s="201"/>
      <c r="AN19" s="201"/>
      <c r="AO19" s="201"/>
      <c r="AP19" s="211"/>
      <c r="AQ19" s="212"/>
      <c r="AR19" s="201"/>
      <c r="AS19" s="201"/>
      <c r="AT19" s="201"/>
      <c r="AU19" s="201"/>
      <c r="AV19" s="202"/>
      <c r="AW19" s="194"/>
      <c r="AX19" s="201"/>
      <c r="AY19" s="213"/>
      <c r="AZ19" s="214"/>
      <c r="BA19" s="215"/>
      <c r="BB19" s="216"/>
      <c r="BC19" s="217" t="str">
        <f t="shared" si="0"/>
        <v/>
      </c>
      <c r="BD19" s="218"/>
      <c r="BE19" s="219"/>
      <c r="BF19" s="220"/>
      <c r="BG19" s="219"/>
      <c r="BH19" s="219"/>
      <c r="BI19" s="220"/>
      <c r="BJ19" s="218"/>
      <c r="BK19" s="219"/>
      <c r="BL19" s="197"/>
      <c r="BM19" s="215"/>
      <c r="BN19" s="221"/>
      <c r="BO19" s="222" t="str">
        <f t="shared" si="1"/>
        <v/>
      </c>
      <c r="BP19" s="217" t="str">
        <f t="shared" si="2"/>
        <v/>
      </c>
      <c r="BQ19" s="215"/>
      <c r="BR19" s="224"/>
      <c r="BS19" s="225"/>
      <c r="BT19" s="223"/>
      <c r="BU19" s="215"/>
      <c r="BV19" s="226"/>
      <c r="BW19" s="222" t="str">
        <f t="shared" si="3"/>
        <v/>
      </c>
      <c r="BX19" s="223" t="str">
        <f t="shared" si="4"/>
        <v/>
      </c>
      <c r="BY19" s="215"/>
      <c r="BZ19" s="227"/>
      <c r="CA19" s="227"/>
      <c r="CB19" s="228"/>
      <c r="CC19" s="229"/>
      <c r="CD19" s="230" t="str">
        <f t="shared" si="5"/>
        <v/>
      </c>
      <c r="CE19" s="231" t="str">
        <f t="shared" si="6"/>
        <v/>
      </c>
      <c r="CF19" s="232" t="str">
        <f t="shared" si="7"/>
        <v/>
      </c>
      <c r="CG19" s="233" t="str">
        <f t="shared" si="8"/>
        <v/>
      </c>
      <c r="CH19" s="207" t="str">
        <f>IF(OR(G19="",CC19= ""), "", IF(ISERROR(SMALL((CJ19,CN19,CV19), 1)-CC19), "",  SMALL((CJ19,CN19,CV19), 1)-CC19))</f>
        <v/>
      </c>
      <c r="CI19" s="234"/>
      <c r="CJ19" s="235"/>
      <c r="CK19" s="236"/>
      <c r="CL19" s="222" t="str">
        <f t="shared" si="9"/>
        <v/>
      </c>
      <c r="CM19" s="237" t="str">
        <f>IF(OR(G19="", CJ19="",CK19=""), "", IF(ISERROR(SMALL((CN19,CV19), 1)-CK19), "",  SMALL((CN19,CV19), 1)-CK19))</f>
        <v/>
      </c>
      <c r="CN19" s="235"/>
      <c r="CO19" s="236"/>
      <c r="CP19" s="224" t="str">
        <f t="shared" si="10"/>
        <v/>
      </c>
      <c r="CQ19" s="235"/>
      <c r="CR19" s="236"/>
      <c r="CS19" s="222" t="str">
        <f t="shared" si="11"/>
        <v/>
      </c>
      <c r="CT19" s="237" t="str">
        <f t="shared" si="12"/>
        <v/>
      </c>
      <c r="CU19" s="238"/>
      <c r="CV19" s="239"/>
      <c r="CW19" s="240"/>
    </row>
    <row r="20" spans="2:101" ht="16.5" customHeight="1">
      <c r="B20" s="122"/>
      <c r="E20" s="122"/>
      <c r="F20" s="194"/>
      <c r="G20" s="195"/>
      <c r="H20" s="195"/>
      <c r="I20" s="195"/>
      <c r="J20" s="196"/>
      <c r="K20" s="197"/>
      <c r="L20" s="198"/>
      <c r="M20" s="199"/>
      <c r="N20" s="200"/>
      <c r="O20" s="201"/>
      <c r="P20" s="201"/>
      <c r="Q20" s="201"/>
      <c r="R20" s="201"/>
      <c r="S20" s="201"/>
      <c r="T20" s="201"/>
      <c r="U20" s="201"/>
      <c r="V20" s="201"/>
      <c r="W20" s="201"/>
      <c r="X20" s="202"/>
      <c r="Y20" s="203"/>
      <c r="Z20" s="204"/>
      <c r="AA20" s="205"/>
      <c r="AB20" s="206"/>
      <c r="AC20" s="206"/>
      <c r="AD20" s="194"/>
      <c r="AE20" s="201"/>
      <c r="AF20" s="207"/>
      <c r="AG20" s="208"/>
      <c r="AH20" s="209"/>
      <c r="AI20" s="210"/>
      <c r="AJ20" s="197"/>
      <c r="AK20" s="201"/>
      <c r="AL20" s="196"/>
      <c r="AM20" s="201"/>
      <c r="AN20" s="201"/>
      <c r="AO20" s="201"/>
      <c r="AP20" s="211"/>
      <c r="AQ20" s="212"/>
      <c r="AR20" s="201"/>
      <c r="AS20" s="201"/>
      <c r="AT20" s="201"/>
      <c r="AU20" s="201"/>
      <c r="AV20" s="202"/>
      <c r="AW20" s="194"/>
      <c r="AX20" s="201"/>
      <c r="AY20" s="213"/>
      <c r="AZ20" s="214"/>
      <c r="BA20" s="215"/>
      <c r="BB20" s="216"/>
      <c r="BC20" s="217" t="str">
        <f t="shared" si="0"/>
        <v/>
      </c>
      <c r="BD20" s="218"/>
      <c r="BE20" s="219"/>
      <c r="BF20" s="220"/>
      <c r="BG20" s="219"/>
      <c r="BH20" s="219"/>
      <c r="BI20" s="220"/>
      <c r="BJ20" s="218"/>
      <c r="BK20" s="219"/>
      <c r="BL20" s="197"/>
      <c r="BM20" s="215"/>
      <c r="BN20" s="221"/>
      <c r="BO20" s="222" t="str">
        <f t="shared" si="1"/>
        <v/>
      </c>
      <c r="BP20" s="217" t="str">
        <f t="shared" si="2"/>
        <v/>
      </c>
      <c r="BQ20" s="215"/>
      <c r="BR20" s="224"/>
      <c r="BS20" s="225"/>
      <c r="BT20" s="223"/>
      <c r="BU20" s="215"/>
      <c r="BV20" s="226"/>
      <c r="BW20" s="222" t="str">
        <f t="shared" si="3"/>
        <v/>
      </c>
      <c r="BX20" s="223" t="str">
        <f t="shared" si="4"/>
        <v/>
      </c>
      <c r="BY20" s="215"/>
      <c r="BZ20" s="227"/>
      <c r="CA20" s="227"/>
      <c r="CB20" s="228"/>
      <c r="CC20" s="229"/>
      <c r="CD20" s="230" t="str">
        <f t="shared" si="5"/>
        <v/>
      </c>
      <c r="CE20" s="231" t="str">
        <f t="shared" si="6"/>
        <v/>
      </c>
      <c r="CF20" s="232" t="str">
        <f t="shared" si="7"/>
        <v/>
      </c>
      <c r="CG20" s="233" t="str">
        <f t="shared" si="8"/>
        <v/>
      </c>
      <c r="CH20" s="207" t="str">
        <f>IF(OR(G20="",CC20= ""), "", IF(ISERROR(SMALL((CJ20,CN20,CV20), 1)-CC20), "",  SMALL((CJ20,CN20,CV20), 1)-CC20))</f>
        <v/>
      </c>
      <c r="CI20" s="234"/>
      <c r="CJ20" s="235"/>
      <c r="CK20" s="236"/>
      <c r="CL20" s="222" t="str">
        <f t="shared" si="9"/>
        <v/>
      </c>
      <c r="CM20" s="237" t="str">
        <f>IF(OR(G20="", CJ20="",CK20=""), "", IF(ISERROR(SMALL((CN20,CV20), 1)-CK20), "",  SMALL((CN20,CV20), 1)-CK20))</f>
        <v/>
      </c>
      <c r="CN20" s="235"/>
      <c r="CO20" s="236"/>
      <c r="CP20" s="224" t="str">
        <f t="shared" si="10"/>
        <v/>
      </c>
      <c r="CQ20" s="235"/>
      <c r="CR20" s="236"/>
      <c r="CS20" s="222" t="str">
        <f t="shared" si="11"/>
        <v/>
      </c>
      <c r="CT20" s="237" t="str">
        <f t="shared" si="12"/>
        <v/>
      </c>
      <c r="CU20" s="238"/>
      <c r="CV20" s="239"/>
      <c r="CW20" s="240"/>
    </row>
    <row r="21" spans="2:101" ht="16.5" customHeight="1">
      <c r="B21" s="122"/>
      <c r="E21" s="122"/>
      <c r="F21" s="194"/>
      <c r="G21" s="195"/>
      <c r="H21" s="195"/>
      <c r="I21" s="195"/>
      <c r="J21" s="196"/>
      <c r="K21" s="197"/>
      <c r="L21" s="198"/>
      <c r="M21" s="199"/>
      <c r="N21" s="200"/>
      <c r="O21" s="201"/>
      <c r="P21" s="201"/>
      <c r="Q21" s="201"/>
      <c r="R21" s="201"/>
      <c r="S21" s="201"/>
      <c r="T21" s="201"/>
      <c r="U21" s="201"/>
      <c r="V21" s="201"/>
      <c r="W21" s="201"/>
      <c r="X21" s="202"/>
      <c r="Y21" s="203"/>
      <c r="Z21" s="204"/>
      <c r="AA21" s="205"/>
      <c r="AB21" s="206"/>
      <c r="AC21" s="206"/>
      <c r="AD21" s="194"/>
      <c r="AE21" s="201"/>
      <c r="AF21" s="207"/>
      <c r="AG21" s="208"/>
      <c r="AH21" s="209"/>
      <c r="AI21" s="210"/>
      <c r="AJ21" s="197"/>
      <c r="AK21" s="201"/>
      <c r="AL21" s="196"/>
      <c r="AM21" s="201"/>
      <c r="AN21" s="201"/>
      <c r="AO21" s="201"/>
      <c r="AP21" s="211"/>
      <c r="AQ21" s="212"/>
      <c r="AR21" s="201"/>
      <c r="AS21" s="201"/>
      <c r="AT21" s="201"/>
      <c r="AU21" s="201"/>
      <c r="AV21" s="202"/>
      <c r="AW21" s="194"/>
      <c r="AX21" s="201"/>
      <c r="AY21" s="213"/>
      <c r="AZ21" s="214"/>
      <c r="BA21" s="215"/>
      <c r="BB21" s="216"/>
      <c r="BC21" s="217" t="str">
        <f t="shared" si="0"/>
        <v/>
      </c>
      <c r="BD21" s="218"/>
      <c r="BE21" s="219"/>
      <c r="BF21" s="220"/>
      <c r="BG21" s="219"/>
      <c r="BH21" s="219"/>
      <c r="BI21" s="220"/>
      <c r="BJ21" s="218"/>
      <c r="BK21" s="219"/>
      <c r="BL21" s="197"/>
      <c r="BM21" s="215"/>
      <c r="BN21" s="221"/>
      <c r="BO21" s="222" t="str">
        <f t="shared" si="1"/>
        <v/>
      </c>
      <c r="BP21" s="217" t="str">
        <f t="shared" si="2"/>
        <v/>
      </c>
      <c r="BQ21" s="215"/>
      <c r="BR21" s="224"/>
      <c r="BS21" s="225"/>
      <c r="BT21" s="223"/>
      <c r="BU21" s="215"/>
      <c r="BV21" s="226"/>
      <c r="BW21" s="222" t="str">
        <f t="shared" si="3"/>
        <v/>
      </c>
      <c r="BX21" s="223" t="str">
        <f t="shared" si="4"/>
        <v/>
      </c>
      <c r="BY21" s="215"/>
      <c r="BZ21" s="227"/>
      <c r="CA21" s="227"/>
      <c r="CB21" s="228"/>
      <c r="CC21" s="229"/>
      <c r="CD21" s="230" t="str">
        <f t="shared" si="5"/>
        <v/>
      </c>
      <c r="CE21" s="231" t="str">
        <f t="shared" si="6"/>
        <v/>
      </c>
      <c r="CF21" s="232" t="str">
        <f t="shared" si="7"/>
        <v/>
      </c>
      <c r="CG21" s="233" t="str">
        <f t="shared" si="8"/>
        <v/>
      </c>
      <c r="CH21" s="207" t="str">
        <f>IF(OR(G21="",CC21= ""), "", IF(ISERROR(SMALL((CJ21,CN21,CV21), 1)-CC21), "",  SMALL((CJ21,CN21,CV21), 1)-CC21))</f>
        <v/>
      </c>
      <c r="CI21" s="234"/>
      <c r="CJ21" s="235"/>
      <c r="CK21" s="236"/>
      <c r="CL21" s="222" t="str">
        <f t="shared" si="9"/>
        <v/>
      </c>
      <c r="CM21" s="237" t="str">
        <f>IF(OR(G21="", CJ21="",CK21=""), "", IF(ISERROR(SMALL((CN21,CV21), 1)-CK21), "",  SMALL((CN21,CV21), 1)-CK21))</f>
        <v/>
      </c>
      <c r="CN21" s="235"/>
      <c r="CO21" s="236"/>
      <c r="CP21" s="224" t="str">
        <f t="shared" si="10"/>
        <v/>
      </c>
      <c r="CQ21" s="235"/>
      <c r="CR21" s="236"/>
      <c r="CS21" s="222" t="str">
        <f t="shared" si="11"/>
        <v/>
      </c>
      <c r="CT21" s="237" t="str">
        <f t="shared" si="12"/>
        <v/>
      </c>
      <c r="CU21" s="238"/>
      <c r="CV21" s="239"/>
      <c r="CW21" s="240"/>
    </row>
    <row r="22" spans="2:101" ht="16.5" customHeight="1">
      <c r="B22" s="122"/>
      <c r="E22" s="122"/>
      <c r="F22" s="194"/>
      <c r="G22" s="195"/>
      <c r="H22" s="195"/>
      <c r="I22" s="195"/>
      <c r="J22" s="196"/>
      <c r="K22" s="197"/>
      <c r="L22" s="198"/>
      <c r="M22" s="199"/>
      <c r="N22" s="200"/>
      <c r="O22" s="201"/>
      <c r="P22" s="201"/>
      <c r="Q22" s="201"/>
      <c r="R22" s="201"/>
      <c r="S22" s="201"/>
      <c r="T22" s="201"/>
      <c r="U22" s="201"/>
      <c r="V22" s="201"/>
      <c r="W22" s="201"/>
      <c r="X22" s="202"/>
      <c r="Y22" s="203"/>
      <c r="Z22" s="204"/>
      <c r="AA22" s="205"/>
      <c r="AB22" s="206"/>
      <c r="AC22" s="206"/>
      <c r="AD22" s="194"/>
      <c r="AE22" s="201"/>
      <c r="AF22" s="207"/>
      <c r="AG22" s="208"/>
      <c r="AH22" s="209"/>
      <c r="AI22" s="210"/>
      <c r="AJ22" s="197"/>
      <c r="AK22" s="201"/>
      <c r="AL22" s="196"/>
      <c r="AM22" s="201"/>
      <c r="AN22" s="201"/>
      <c r="AO22" s="201"/>
      <c r="AP22" s="211"/>
      <c r="AQ22" s="212"/>
      <c r="AR22" s="201"/>
      <c r="AS22" s="201"/>
      <c r="AT22" s="201"/>
      <c r="AU22" s="201"/>
      <c r="AV22" s="202"/>
      <c r="AW22" s="194"/>
      <c r="AX22" s="201"/>
      <c r="AY22" s="213"/>
      <c r="AZ22" s="214"/>
      <c r="BA22" s="215"/>
      <c r="BB22" s="216"/>
      <c r="BC22" s="217" t="str">
        <f t="shared" si="0"/>
        <v/>
      </c>
      <c r="BD22" s="218"/>
      <c r="BE22" s="219"/>
      <c r="BF22" s="220"/>
      <c r="BG22" s="219"/>
      <c r="BH22" s="219"/>
      <c r="BI22" s="220"/>
      <c r="BJ22" s="218"/>
      <c r="BK22" s="219"/>
      <c r="BL22" s="197"/>
      <c r="BM22" s="215"/>
      <c r="BN22" s="221"/>
      <c r="BO22" s="222" t="str">
        <f t="shared" si="1"/>
        <v/>
      </c>
      <c r="BP22" s="217" t="str">
        <f t="shared" si="2"/>
        <v/>
      </c>
      <c r="BQ22" s="215"/>
      <c r="BR22" s="224"/>
      <c r="BS22" s="225"/>
      <c r="BT22" s="223"/>
      <c r="BU22" s="215"/>
      <c r="BV22" s="226"/>
      <c r="BW22" s="222" t="str">
        <f t="shared" si="3"/>
        <v/>
      </c>
      <c r="BX22" s="223" t="str">
        <f t="shared" si="4"/>
        <v/>
      </c>
      <c r="BY22" s="215"/>
      <c r="BZ22" s="227"/>
      <c r="CA22" s="227"/>
      <c r="CB22" s="228"/>
      <c r="CC22" s="229"/>
      <c r="CD22" s="230" t="str">
        <f t="shared" si="5"/>
        <v/>
      </c>
      <c r="CE22" s="231" t="str">
        <f t="shared" si="6"/>
        <v/>
      </c>
      <c r="CF22" s="232" t="str">
        <f t="shared" si="7"/>
        <v/>
      </c>
      <c r="CG22" s="233" t="str">
        <f t="shared" si="8"/>
        <v/>
      </c>
      <c r="CH22" s="207" t="str">
        <f>IF(OR(G22="",CC22= ""), "", IF(ISERROR(SMALL((CJ22,CN22,CV22), 1)-CC22), "",  SMALL((CJ22,CN22,CV22), 1)-CC22))</f>
        <v/>
      </c>
      <c r="CI22" s="234"/>
      <c r="CJ22" s="235"/>
      <c r="CK22" s="236"/>
      <c r="CL22" s="222" t="str">
        <f t="shared" si="9"/>
        <v/>
      </c>
      <c r="CM22" s="237" t="str">
        <f>IF(OR(G22="", CJ22="",CK22=""), "", IF(ISERROR(SMALL((CN22,CV22), 1)-CK22), "",  SMALL((CN22,CV22), 1)-CK22))</f>
        <v/>
      </c>
      <c r="CN22" s="235"/>
      <c r="CO22" s="236"/>
      <c r="CP22" s="224" t="str">
        <f t="shared" si="10"/>
        <v/>
      </c>
      <c r="CQ22" s="235"/>
      <c r="CR22" s="236"/>
      <c r="CS22" s="222" t="str">
        <f t="shared" si="11"/>
        <v/>
      </c>
      <c r="CT22" s="237" t="str">
        <f t="shared" si="12"/>
        <v/>
      </c>
      <c r="CU22" s="238"/>
      <c r="CV22" s="239"/>
      <c r="CW22" s="240"/>
    </row>
    <row r="23" spans="2:101" ht="16.5" customHeight="1">
      <c r="B23" s="122"/>
      <c r="E23" s="122"/>
      <c r="F23" s="194"/>
      <c r="G23" s="195"/>
      <c r="H23" s="195"/>
      <c r="I23" s="195"/>
      <c r="J23" s="196"/>
      <c r="K23" s="197"/>
      <c r="L23" s="198"/>
      <c r="M23" s="199"/>
      <c r="N23" s="200"/>
      <c r="O23" s="201"/>
      <c r="P23" s="201"/>
      <c r="Q23" s="201"/>
      <c r="R23" s="201"/>
      <c r="S23" s="201"/>
      <c r="T23" s="201"/>
      <c r="U23" s="201"/>
      <c r="V23" s="201"/>
      <c r="W23" s="201"/>
      <c r="X23" s="202"/>
      <c r="Y23" s="203"/>
      <c r="Z23" s="204"/>
      <c r="AA23" s="205"/>
      <c r="AB23" s="206"/>
      <c r="AC23" s="206"/>
      <c r="AD23" s="194"/>
      <c r="AE23" s="201"/>
      <c r="AF23" s="207"/>
      <c r="AG23" s="208"/>
      <c r="AH23" s="209"/>
      <c r="AI23" s="210"/>
      <c r="AJ23" s="197"/>
      <c r="AK23" s="201"/>
      <c r="AL23" s="196"/>
      <c r="AM23" s="201"/>
      <c r="AN23" s="201"/>
      <c r="AO23" s="201"/>
      <c r="AP23" s="211"/>
      <c r="AQ23" s="212"/>
      <c r="AR23" s="201"/>
      <c r="AS23" s="201"/>
      <c r="AT23" s="201"/>
      <c r="AU23" s="201"/>
      <c r="AV23" s="202"/>
      <c r="AW23" s="194"/>
      <c r="AX23" s="201"/>
      <c r="AY23" s="213"/>
      <c r="AZ23" s="214"/>
      <c r="BA23" s="215"/>
      <c r="BB23" s="216"/>
      <c r="BC23" s="217" t="str">
        <f t="shared" si="0"/>
        <v/>
      </c>
      <c r="BD23" s="218"/>
      <c r="BE23" s="219"/>
      <c r="BF23" s="220"/>
      <c r="BG23" s="219"/>
      <c r="BH23" s="219"/>
      <c r="BI23" s="220"/>
      <c r="BJ23" s="218"/>
      <c r="BK23" s="219"/>
      <c r="BL23" s="197"/>
      <c r="BM23" s="215"/>
      <c r="BN23" s="221"/>
      <c r="BO23" s="222" t="str">
        <f t="shared" si="1"/>
        <v/>
      </c>
      <c r="BP23" s="217" t="str">
        <f t="shared" si="2"/>
        <v/>
      </c>
      <c r="BQ23" s="215"/>
      <c r="BR23" s="224"/>
      <c r="BS23" s="225"/>
      <c r="BT23" s="223"/>
      <c r="BU23" s="215"/>
      <c r="BV23" s="226"/>
      <c r="BW23" s="222" t="str">
        <f t="shared" si="3"/>
        <v/>
      </c>
      <c r="BX23" s="223" t="str">
        <f t="shared" si="4"/>
        <v/>
      </c>
      <c r="BY23" s="215"/>
      <c r="BZ23" s="227"/>
      <c r="CA23" s="227"/>
      <c r="CB23" s="228"/>
      <c r="CC23" s="229"/>
      <c r="CD23" s="230" t="str">
        <f t="shared" si="5"/>
        <v/>
      </c>
      <c r="CE23" s="231" t="str">
        <f t="shared" si="6"/>
        <v/>
      </c>
      <c r="CF23" s="232" t="str">
        <f t="shared" si="7"/>
        <v/>
      </c>
      <c r="CG23" s="233" t="str">
        <f t="shared" si="8"/>
        <v/>
      </c>
      <c r="CH23" s="207" t="str">
        <f>IF(OR(G23="",CC23= ""), "", IF(ISERROR(SMALL((CJ23,CN23,CV23), 1)-CC23), "",  SMALL((CJ23,CN23,CV23), 1)-CC23))</f>
        <v/>
      </c>
      <c r="CI23" s="234"/>
      <c r="CJ23" s="235"/>
      <c r="CK23" s="236"/>
      <c r="CL23" s="222" t="str">
        <f t="shared" si="9"/>
        <v/>
      </c>
      <c r="CM23" s="237" t="str">
        <f>IF(OR(G23="", CJ23="",CK23=""), "", IF(ISERROR(SMALL((CN23,CV23), 1)-CK23), "",  SMALL((CN23,CV23), 1)-CK23))</f>
        <v/>
      </c>
      <c r="CN23" s="235"/>
      <c r="CO23" s="236"/>
      <c r="CP23" s="224" t="str">
        <f t="shared" si="10"/>
        <v/>
      </c>
      <c r="CQ23" s="235"/>
      <c r="CR23" s="236"/>
      <c r="CS23" s="222" t="str">
        <f t="shared" si="11"/>
        <v/>
      </c>
      <c r="CT23" s="237" t="str">
        <f t="shared" si="12"/>
        <v/>
      </c>
      <c r="CU23" s="238"/>
      <c r="CV23" s="239"/>
      <c r="CW23" s="240"/>
    </row>
    <row r="24" spans="2:101" ht="16.5" customHeight="1">
      <c r="B24" s="122"/>
      <c r="E24" s="122"/>
      <c r="F24" s="194"/>
      <c r="G24" s="195"/>
      <c r="H24" s="195"/>
      <c r="I24" s="195"/>
      <c r="J24" s="196"/>
      <c r="K24" s="197"/>
      <c r="L24" s="198"/>
      <c r="M24" s="199"/>
      <c r="N24" s="200"/>
      <c r="O24" s="201"/>
      <c r="P24" s="201"/>
      <c r="Q24" s="201"/>
      <c r="R24" s="201"/>
      <c r="S24" s="201"/>
      <c r="T24" s="201"/>
      <c r="U24" s="201"/>
      <c r="V24" s="201"/>
      <c r="W24" s="201"/>
      <c r="X24" s="202"/>
      <c r="Y24" s="203"/>
      <c r="Z24" s="204"/>
      <c r="AA24" s="205"/>
      <c r="AB24" s="206"/>
      <c r="AC24" s="206"/>
      <c r="AD24" s="194"/>
      <c r="AE24" s="201"/>
      <c r="AF24" s="207"/>
      <c r="AG24" s="208"/>
      <c r="AH24" s="209"/>
      <c r="AI24" s="210"/>
      <c r="AJ24" s="197"/>
      <c r="AK24" s="201"/>
      <c r="AL24" s="196"/>
      <c r="AM24" s="201"/>
      <c r="AN24" s="201"/>
      <c r="AO24" s="201"/>
      <c r="AP24" s="211"/>
      <c r="AQ24" s="212"/>
      <c r="AR24" s="201"/>
      <c r="AS24" s="201"/>
      <c r="AT24" s="201"/>
      <c r="AU24" s="201"/>
      <c r="AV24" s="202"/>
      <c r="AW24" s="194"/>
      <c r="AX24" s="201"/>
      <c r="AY24" s="213"/>
      <c r="AZ24" s="214"/>
      <c r="BA24" s="215"/>
      <c r="BB24" s="216"/>
      <c r="BC24" s="217" t="str">
        <f t="shared" si="0"/>
        <v/>
      </c>
      <c r="BD24" s="218"/>
      <c r="BE24" s="219"/>
      <c r="BF24" s="220"/>
      <c r="BG24" s="219"/>
      <c r="BH24" s="219"/>
      <c r="BI24" s="220"/>
      <c r="BJ24" s="218"/>
      <c r="BK24" s="219"/>
      <c r="BL24" s="197"/>
      <c r="BM24" s="215"/>
      <c r="BN24" s="221"/>
      <c r="BO24" s="222" t="str">
        <f t="shared" si="1"/>
        <v/>
      </c>
      <c r="BP24" s="217" t="str">
        <f t="shared" si="2"/>
        <v/>
      </c>
      <c r="BQ24" s="215"/>
      <c r="BR24" s="224"/>
      <c r="BS24" s="225"/>
      <c r="BT24" s="223"/>
      <c r="BU24" s="215"/>
      <c r="BV24" s="226"/>
      <c r="BW24" s="222" t="str">
        <f t="shared" si="3"/>
        <v/>
      </c>
      <c r="BX24" s="223" t="str">
        <f t="shared" si="4"/>
        <v/>
      </c>
      <c r="BY24" s="215"/>
      <c r="BZ24" s="227"/>
      <c r="CA24" s="227"/>
      <c r="CB24" s="228"/>
      <c r="CC24" s="229"/>
      <c r="CD24" s="230" t="str">
        <f t="shared" si="5"/>
        <v/>
      </c>
      <c r="CE24" s="231" t="str">
        <f t="shared" si="6"/>
        <v/>
      </c>
      <c r="CF24" s="232" t="str">
        <f t="shared" si="7"/>
        <v/>
      </c>
      <c r="CG24" s="233" t="str">
        <f t="shared" si="8"/>
        <v/>
      </c>
      <c r="CH24" s="207" t="str">
        <f>IF(OR(G24="",CC24= ""), "", IF(ISERROR(SMALL((CJ24,CN24,CV24), 1)-CC24), "",  SMALL((CJ24,CN24,CV24), 1)-CC24))</f>
        <v/>
      </c>
      <c r="CI24" s="234"/>
      <c r="CJ24" s="235"/>
      <c r="CK24" s="236"/>
      <c r="CL24" s="222" t="str">
        <f t="shared" si="9"/>
        <v/>
      </c>
      <c r="CM24" s="237" t="str">
        <f>IF(OR(G24="", CJ24="",CK24=""), "", IF(ISERROR(SMALL((CN24,CV24), 1)-CK24), "",  SMALL((CN24,CV24), 1)-CK24))</f>
        <v/>
      </c>
      <c r="CN24" s="235"/>
      <c r="CO24" s="236"/>
      <c r="CP24" s="224" t="str">
        <f t="shared" si="10"/>
        <v/>
      </c>
      <c r="CQ24" s="235"/>
      <c r="CR24" s="236"/>
      <c r="CS24" s="222" t="str">
        <f t="shared" si="11"/>
        <v/>
      </c>
      <c r="CT24" s="237" t="str">
        <f t="shared" si="12"/>
        <v/>
      </c>
      <c r="CU24" s="238"/>
      <c r="CV24" s="239"/>
      <c r="CW24" s="240"/>
    </row>
    <row r="25" spans="2:101" ht="16.5" customHeight="1">
      <c r="B25" s="122"/>
      <c r="E25" s="122"/>
      <c r="F25" s="194"/>
      <c r="G25" s="195"/>
      <c r="H25" s="195"/>
      <c r="I25" s="195"/>
      <c r="J25" s="196"/>
      <c r="K25" s="197"/>
      <c r="L25" s="198"/>
      <c r="M25" s="199"/>
      <c r="N25" s="200"/>
      <c r="O25" s="201"/>
      <c r="P25" s="201"/>
      <c r="Q25" s="201"/>
      <c r="R25" s="201"/>
      <c r="S25" s="201"/>
      <c r="T25" s="201"/>
      <c r="U25" s="201"/>
      <c r="V25" s="201"/>
      <c r="W25" s="201"/>
      <c r="X25" s="202"/>
      <c r="Y25" s="203"/>
      <c r="Z25" s="204"/>
      <c r="AA25" s="205"/>
      <c r="AB25" s="206"/>
      <c r="AC25" s="206"/>
      <c r="AD25" s="194"/>
      <c r="AE25" s="201"/>
      <c r="AF25" s="207"/>
      <c r="AG25" s="208"/>
      <c r="AH25" s="209"/>
      <c r="AI25" s="210"/>
      <c r="AJ25" s="197"/>
      <c r="AK25" s="201"/>
      <c r="AL25" s="196"/>
      <c r="AM25" s="201"/>
      <c r="AN25" s="201"/>
      <c r="AO25" s="201"/>
      <c r="AP25" s="211"/>
      <c r="AQ25" s="212"/>
      <c r="AR25" s="201"/>
      <c r="AS25" s="201"/>
      <c r="AT25" s="201"/>
      <c r="AU25" s="201"/>
      <c r="AV25" s="202"/>
      <c r="AW25" s="194"/>
      <c r="AX25" s="201"/>
      <c r="AY25" s="213"/>
      <c r="AZ25" s="214"/>
      <c r="BA25" s="215"/>
      <c r="BB25" s="216"/>
      <c r="BC25" s="217" t="str">
        <f t="shared" si="0"/>
        <v/>
      </c>
      <c r="BD25" s="218"/>
      <c r="BE25" s="219"/>
      <c r="BF25" s="220"/>
      <c r="BG25" s="219"/>
      <c r="BH25" s="219"/>
      <c r="BI25" s="220"/>
      <c r="BJ25" s="218"/>
      <c r="BK25" s="219"/>
      <c r="BL25" s="197"/>
      <c r="BM25" s="215"/>
      <c r="BN25" s="221"/>
      <c r="BO25" s="222" t="str">
        <f t="shared" si="1"/>
        <v/>
      </c>
      <c r="BP25" s="217" t="str">
        <f t="shared" si="2"/>
        <v/>
      </c>
      <c r="BQ25" s="215"/>
      <c r="BR25" s="224"/>
      <c r="BS25" s="225"/>
      <c r="BT25" s="223"/>
      <c r="BU25" s="215"/>
      <c r="BV25" s="226"/>
      <c r="BW25" s="222" t="str">
        <f t="shared" si="3"/>
        <v/>
      </c>
      <c r="BX25" s="223" t="str">
        <f t="shared" si="4"/>
        <v/>
      </c>
      <c r="BY25" s="215"/>
      <c r="BZ25" s="227"/>
      <c r="CA25" s="227"/>
      <c r="CB25" s="228"/>
      <c r="CC25" s="229"/>
      <c r="CD25" s="230" t="str">
        <f t="shared" si="5"/>
        <v/>
      </c>
      <c r="CE25" s="231" t="str">
        <f t="shared" si="6"/>
        <v/>
      </c>
      <c r="CF25" s="232" t="str">
        <f t="shared" si="7"/>
        <v/>
      </c>
      <c r="CG25" s="233" t="str">
        <f t="shared" si="8"/>
        <v/>
      </c>
      <c r="CH25" s="207" t="str">
        <f>IF(OR(G25="",CC25= ""), "", IF(ISERROR(SMALL((CJ25,CN25,CV25), 1)-CC25), "",  SMALL((CJ25,CN25,CV25), 1)-CC25))</f>
        <v/>
      </c>
      <c r="CI25" s="234"/>
      <c r="CJ25" s="235"/>
      <c r="CK25" s="236"/>
      <c r="CL25" s="222" t="str">
        <f t="shared" si="9"/>
        <v/>
      </c>
      <c r="CM25" s="237" t="str">
        <f>IF(OR(G25="", CJ25="",CK25=""), "", IF(ISERROR(SMALL((CN25,CV25), 1)-CK25), "",  SMALL((CN25,CV25), 1)-CK25))</f>
        <v/>
      </c>
      <c r="CN25" s="235"/>
      <c r="CO25" s="236"/>
      <c r="CP25" s="224" t="str">
        <f t="shared" si="10"/>
        <v/>
      </c>
      <c r="CQ25" s="235"/>
      <c r="CR25" s="236"/>
      <c r="CS25" s="222" t="str">
        <f t="shared" si="11"/>
        <v/>
      </c>
      <c r="CT25" s="237" t="str">
        <f t="shared" si="12"/>
        <v/>
      </c>
      <c r="CU25" s="238"/>
      <c r="CV25" s="239"/>
      <c r="CW25" s="240"/>
    </row>
    <row r="26" spans="2:101" ht="16.5" customHeight="1">
      <c r="B26" s="122"/>
      <c r="E26" s="122"/>
      <c r="F26" s="194"/>
      <c r="G26" s="195"/>
      <c r="H26" s="195"/>
      <c r="I26" s="195"/>
      <c r="J26" s="196"/>
      <c r="K26" s="197"/>
      <c r="L26" s="198"/>
      <c r="M26" s="199"/>
      <c r="N26" s="200"/>
      <c r="O26" s="201"/>
      <c r="P26" s="201"/>
      <c r="Q26" s="201"/>
      <c r="R26" s="201"/>
      <c r="S26" s="201"/>
      <c r="T26" s="201"/>
      <c r="U26" s="201"/>
      <c r="V26" s="201"/>
      <c r="W26" s="201"/>
      <c r="X26" s="202"/>
      <c r="Y26" s="203"/>
      <c r="Z26" s="204"/>
      <c r="AA26" s="205"/>
      <c r="AB26" s="206"/>
      <c r="AC26" s="206"/>
      <c r="AD26" s="194"/>
      <c r="AE26" s="201"/>
      <c r="AF26" s="207"/>
      <c r="AG26" s="208"/>
      <c r="AH26" s="209"/>
      <c r="AI26" s="210"/>
      <c r="AJ26" s="197"/>
      <c r="AK26" s="201"/>
      <c r="AL26" s="196"/>
      <c r="AM26" s="201"/>
      <c r="AN26" s="201"/>
      <c r="AO26" s="201"/>
      <c r="AP26" s="211"/>
      <c r="AQ26" s="212"/>
      <c r="AR26" s="201"/>
      <c r="AS26" s="201"/>
      <c r="AT26" s="201"/>
      <c r="AU26" s="201"/>
      <c r="AV26" s="202"/>
      <c r="AW26" s="194"/>
      <c r="AX26" s="201"/>
      <c r="AY26" s="213"/>
      <c r="AZ26" s="214"/>
      <c r="BA26" s="215"/>
      <c r="BB26" s="216"/>
      <c r="BC26" s="217" t="str">
        <f t="shared" si="0"/>
        <v/>
      </c>
      <c r="BD26" s="218"/>
      <c r="BE26" s="219"/>
      <c r="BF26" s="220"/>
      <c r="BG26" s="219"/>
      <c r="BH26" s="219"/>
      <c r="BI26" s="220"/>
      <c r="BJ26" s="218"/>
      <c r="BK26" s="219"/>
      <c r="BL26" s="197"/>
      <c r="BM26" s="215"/>
      <c r="BN26" s="221"/>
      <c r="BO26" s="222" t="str">
        <f t="shared" si="1"/>
        <v/>
      </c>
      <c r="BP26" s="217" t="str">
        <f t="shared" si="2"/>
        <v/>
      </c>
      <c r="BQ26" s="215"/>
      <c r="BR26" s="224"/>
      <c r="BS26" s="225"/>
      <c r="BT26" s="223"/>
      <c r="BU26" s="215"/>
      <c r="BV26" s="226"/>
      <c r="BW26" s="222" t="str">
        <f t="shared" si="3"/>
        <v/>
      </c>
      <c r="BX26" s="223" t="str">
        <f t="shared" si="4"/>
        <v/>
      </c>
      <c r="BY26" s="215"/>
      <c r="BZ26" s="227"/>
      <c r="CA26" s="227"/>
      <c r="CB26" s="228"/>
      <c r="CC26" s="229"/>
      <c r="CD26" s="230" t="str">
        <f t="shared" si="5"/>
        <v/>
      </c>
      <c r="CE26" s="231" t="str">
        <f t="shared" si="6"/>
        <v/>
      </c>
      <c r="CF26" s="232" t="str">
        <f t="shared" si="7"/>
        <v/>
      </c>
      <c r="CG26" s="233" t="str">
        <f t="shared" si="8"/>
        <v/>
      </c>
      <c r="CH26" s="207" t="str">
        <f>IF(OR(G26="",CC26= ""), "", IF(ISERROR(SMALL((CJ26,CN26,CV26), 1)-CC26), "",  SMALL((CJ26,CN26,CV26), 1)-CC26))</f>
        <v/>
      </c>
      <c r="CI26" s="234"/>
      <c r="CJ26" s="235"/>
      <c r="CK26" s="236"/>
      <c r="CL26" s="222" t="str">
        <f t="shared" si="9"/>
        <v/>
      </c>
      <c r="CM26" s="237" t="str">
        <f>IF(OR(G26="", CJ26="",CK26=""), "", IF(ISERROR(SMALL((CN26,CV26), 1)-CK26), "",  SMALL((CN26,CV26), 1)-CK26))</f>
        <v/>
      </c>
      <c r="CN26" s="235"/>
      <c r="CO26" s="236"/>
      <c r="CP26" s="224" t="str">
        <f t="shared" si="10"/>
        <v/>
      </c>
      <c r="CQ26" s="235"/>
      <c r="CR26" s="236"/>
      <c r="CS26" s="222" t="str">
        <f t="shared" si="11"/>
        <v/>
      </c>
      <c r="CT26" s="237" t="str">
        <f t="shared" si="12"/>
        <v/>
      </c>
      <c r="CU26" s="238"/>
      <c r="CV26" s="239"/>
      <c r="CW26" s="240"/>
    </row>
    <row r="27" spans="2:101" ht="16.5" customHeight="1">
      <c r="B27" s="122"/>
      <c r="E27" s="122"/>
      <c r="F27" s="194"/>
      <c r="G27" s="195"/>
      <c r="H27" s="195"/>
      <c r="I27" s="195"/>
      <c r="J27" s="196"/>
      <c r="K27" s="197"/>
      <c r="L27" s="198"/>
      <c r="M27" s="199"/>
      <c r="N27" s="200"/>
      <c r="O27" s="201"/>
      <c r="P27" s="201"/>
      <c r="Q27" s="201"/>
      <c r="R27" s="201"/>
      <c r="S27" s="201"/>
      <c r="T27" s="201"/>
      <c r="U27" s="201"/>
      <c r="V27" s="201"/>
      <c r="W27" s="201"/>
      <c r="X27" s="202"/>
      <c r="Y27" s="203"/>
      <c r="Z27" s="204"/>
      <c r="AA27" s="205"/>
      <c r="AB27" s="206"/>
      <c r="AC27" s="206"/>
      <c r="AD27" s="194"/>
      <c r="AE27" s="201"/>
      <c r="AF27" s="207"/>
      <c r="AG27" s="208"/>
      <c r="AH27" s="209"/>
      <c r="AI27" s="210"/>
      <c r="AJ27" s="197"/>
      <c r="AK27" s="201"/>
      <c r="AL27" s="196"/>
      <c r="AM27" s="201"/>
      <c r="AN27" s="201"/>
      <c r="AO27" s="201"/>
      <c r="AP27" s="211"/>
      <c r="AQ27" s="212"/>
      <c r="AR27" s="201"/>
      <c r="AS27" s="201"/>
      <c r="AT27" s="201"/>
      <c r="AU27" s="201"/>
      <c r="AV27" s="202"/>
      <c r="AW27" s="194"/>
      <c r="AX27" s="201"/>
      <c r="AY27" s="213"/>
      <c r="AZ27" s="214"/>
      <c r="BA27" s="215"/>
      <c r="BB27" s="216"/>
      <c r="BC27" s="217" t="str">
        <f t="shared" si="0"/>
        <v/>
      </c>
      <c r="BD27" s="218"/>
      <c r="BE27" s="219"/>
      <c r="BF27" s="220"/>
      <c r="BG27" s="219"/>
      <c r="BH27" s="219"/>
      <c r="BI27" s="220"/>
      <c r="BJ27" s="218"/>
      <c r="BK27" s="219"/>
      <c r="BL27" s="197"/>
      <c r="BM27" s="215"/>
      <c r="BN27" s="221"/>
      <c r="BO27" s="222" t="str">
        <f t="shared" si="1"/>
        <v/>
      </c>
      <c r="BP27" s="217" t="str">
        <f t="shared" si="2"/>
        <v/>
      </c>
      <c r="BQ27" s="215"/>
      <c r="BR27" s="224"/>
      <c r="BS27" s="225"/>
      <c r="BT27" s="223"/>
      <c r="BU27" s="215"/>
      <c r="BV27" s="226"/>
      <c r="BW27" s="222" t="str">
        <f t="shared" si="3"/>
        <v/>
      </c>
      <c r="BX27" s="223" t="str">
        <f t="shared" si="4"/>
        <v/>
      </c>
      <c r="BY27" s="215"/>
      <c r="BZ27" s="227"/>
      <c r="CA27" s="227"/>
      <c r="CB27" s="228"/>
      <c r="CC27" s="229"/>
      <c r="CD27" s="230" t="str">
        <f t="shared" si="5"/>
        <v/>
      </c>
      <c r="CE27" s="231" t="str">
        <f t="shared" si="6"/>
        <v/>
      </c>
      <c r="CF27" s="232" t="str">
        <f t="shared" si="7"/>
        <v/>
      </c>
      <c r="CG27" s="233" t="str">
        <f t="shared" si="8"/>
        <v/>
      </c>
      <c r="CH27" s="207" t="str">
        <f>IF(OR(G27="",CC27= ""), "", IF(ISERROR(SMALL((CJ27,CN27,CV27), 1)-CC27), "",  SMALL((CJ27,CN27,CV27), 1)-CC27))</f>
        <v/>
      </c>
      <c r="CI27" s="234"/>
      <c r="CJ27" s="235"/>
      <c r="CK27" s="236"/>
      <c r="CL27" s="222" t="str">
        <f t="shared" si="9"/>
        <v/>
      </c>
      <c r="CM27" s="237" t="str">
        <f>IF(OR(G27="", CJ27="",CK27=""), "", IF(ISERROR(SMALL((CN27,CV27), 1)-CK27), "",  SMALL((CN27,CV27), 1)-CK27))</f>
        <v/>
      </c>
      <c r="CN27" s="235"/>
      <c r="CO27" s="236"/>
      <c r="CP27" s="224" t="str">
        <f t="shared" si="10"/>
        <v/>
      </c>
      <c r="CQ27" s="235"/>
      <c r="CR27" s="236"/>
      <c r="CS27" s="222" t="str">
        <f t="shared" si="11"/>
        <v/>
      </c>
      <c r="CT27" s="237" t="str">
        <f t="shared" si="12"/>
        <v/>
      </c>
      <c r="CU27" s="238"/>
      <c r="CV27" s="239"/>
      <c r="CW27" s="240"/>
    </row>
    <row r="28" spans="2:101" ht="16.5" customHeight="1">
      <c r="B28" s="122"/>
      <c r="E28" s="122"/>
      <c r="F28" s="194"/>
      <c r="G28" s="195"/>
      <c r="H28" s="195"/>
      <c r="I28" s="195"/>
      <c r="J28" s="196"/>
      <c r="K28" s="197"/>
      <c r="L28" s="198"/>
      <c r="M28" s="199"/>
      <c r="N28" s="200"/>
      <c r="O28" s="201"/>
      <c r="P28" s="201"/>
      <c r="Q28" s="201"/>
      <c r="R28" s="201"/>
      <c r="S28" s="201"/>
      <c r="T28" s="201"/>
      <c r="U28" s="201"/>
      <c r="V28" s="201"/>
      <c r="W28" s="201"/>
      <c r="X28" s="202"/>
      <c r="Y28" s="203"/>
      <c r="Z28" s="204"/>
      <c r="AA28" s="205"/>
      <c r="AB28" s="206"/>
      <c r="AC28" s="206"/>
      <c r="AD28" s="194"/>
      <c r="AE28" s="201"/>
      <c r="AF28" s="207"/>
      <c r="AG28" s="208"/>
      <c r="AH28" s="209"/>
      <c r="AI28" s="210"/>
      <c r="AJ28" s="197"/>
      <c r="AK28" s="201"/>
      <c r="AL28" s="196"/>
      <c r="AM28" s="201"/>
      <c r="AN28" s="201"/>
      <c r="AO28" s="201"/>
      <c r="AP28" s="211"/>
      <c r="AQ28" s="212"/>
      <c r="AR28" s="201"/>
      <c r="AS28" s="201"/>
      <c r="AT28" s="201"/>
      <c r="AU28" s="201"/>
      <c r="AV28" s="202"/>
      <c r="AW28" s="194"/>
      <c r="AX28" s="201"/>
      <c r="AY28" s="213"/>
      <c r="AZ28" s="214"/>
      <c r="BA28" s="215"/>
      <c r="BB28" s="216"/>
      <c r="BC28" s="217" t="str">
        <f t="shared" si="0"/>
        <v/>
      </c>
      <c r="BD28" s="218"/>
      <c r="BE28" s="219"/>
      <c r="BF28" s="220"/>
      <c r="BG28" s="219"/>
      <c r="BH28" s="219"/>
      <c r="BI28" s="220"/>
      <c r="BJ28" s="218"/>
      <c r="BK28" s="219"/>
      <c r="BL28" s="197"/>
      <c r="BM28" s="215"/>
      <c r="BN28" s="221"/>
      <c r="BO28" s="222" t="str">
        <f t="shared" si="1"/>
        <v/>
      </c>
      <c r="BP28" s="217" t="str">
        <f t="shared" si="2"/>
        <v/>
      </c>
      <c r="BQ28" s="215"/>
      <c r="BR28" s="224"/>
      <c r="BS28" s="225"/>
      <c r="BT28" s="223"/>
      <c r="BU28" s="215"/>
      <c r="BV28" s="226"/>
      <c r="BW28" s="222" t="str">
        <f t="shared" si="3"/>
        <v/>
      </c>
      <c r="BX28" s="223" t="str">
        <f t="shared" si="4"/>
        <v/>
      </c>
      <c r="BY28" s="215"/>
      <c r="BZ28" s="227"/>
      <c r="CA28" s="227"/>
      <c r="CB28" s="228"/>
      <c r="CC28" s="229"/>
      <c r="CD28" s="230" t="str">
        <f t="shared" si="5"/>
        <v/>
      </c>
      <c r="CE28" s="231" t="str">
        <f t="shared" si="6"/>
        <v/>
      </c>
      <c r="CF28" s="232" t="str">
        <f t="shared" si="7"/>
        <v/>
      </c>
      <c r="CG28" s="233" t="str">
        <f t="shared" si="8"/>
        <v/>
      </c>
      <c r="CH28" s="207" t="str">
        <f>IF(OR(G28="",CC28= ""), "", IF(ISERROR(SMALL((CJ28,CN28,CV28), 1)-CC28), "",  SMALL((CJ28,CN28,CV28), 1)-CC28))</f>
        <v/>
      </c>
      <c r="CI28" s="234"/>
      <c r="CJ28" s="235"/>
      <c r="CK28" s="236"/>
      <c r="CL28" s="222" t="str">
        <f t="shared" si="9"/>
        <v/>
      </c>
      <c r="CM28" s="237" t="str">
        <f>IF(OR(G28="", CJ28="",CK28=""), "", IF(ISERROR(SMALL((CN28,CV28), 1)-CK28), "",  SMALL((CN28,CV28), 1)-CK28))</f>
        <v/>
      </c>
      <c r="CN28" s="235"/>
      <c r="CO28" s="236"/>
      <c r="CP28" s="224" t="str">
        <f t="shared" si="10"/>
        <v/>
      </c>
      <c r="CQ28" s="235"/>
      <c r="CR28" s="236"/>
      <c r="CS28" s="222" t="str">
        <f t="shared" si="11"/>
        <v/>
      </c>
      <c r="CT28" s="237" t="str">
        <f t="shared" si="12"/>
        <v/>
      </c>
      <c r="CU28" s="238"/>
      <c r="CV28" s="239"/>
      <c r="CW28" s="240"/>
    </row>
    <row r="29" spans="2:101" ht="16.5" customHeight="1">
      <c r="B29" s="122"/>
      <c r="E29" s="122"/>
      <c r="F29" s="194"/>
      <c r="G29" s="195"/>
      <c r="H29" s="195"/>
      <c r="I29" s="195"/>
      <c r="J29" s="196"/>
      <c r="K29" s="197"/>
      <c r="L29" s="198"/>
      <c r="M29" s="199"/>
      <c r="N29" s="200"/>
      <c r="O29" s="201"/>
      <c r="P29" s="201"/>
      <c r="Q29" s="201"/>
      <c r="R29" s="201"/>
      <c r="S29" s="201"/>
      <c r="T29" s="201"/>
      <c r="U29" s="201"/>
      <c r="V29" s="201"/>
      <c r="W29" s="201"/>
      <c r="X29" s="202"/>
      <c r="Y29" s="203"/>
      <c r="Z29" s="204"/>
      <c r="AA29" s="205"/>
      <c r="AB29" s="206"/>
      <c r="AC29" s="206"/>
      <c r="AD29" s="194"/>
      <c r="AE29" s="201"/>
      <c r="AF29" s="207"/>
      <c r="AG29" s="208"/>
      <c r="AH29" s="209"/>
      <c r="AI29" s="210"/>
      <c r="AJ29" s="197"/>
      <c r="AK29" s="201"/>
      <c r="AL29" s="196"/>
      <c r="AM29" s="201"/>
      <c r="AN29" s="201"/>
      <c r="AO29" s="201"/>
      <c r="AP29" s="211"/>
      <c r="AQ29" s="212"/>
      <c r="AR29" s="201"/>
      <c r="AS29" s="201"/>
      <c r="AT29" s="201"/>
      <c r="AU29" s="201"/>
      <c r="AV29" s="202"/>
      <c r="AW29" s="194"/>
      <c r="AX29" s="201"/>
      <c r="AY29" s="213"/>
      <c r="AZ29" s="214"/>
      <c r="BA29" s="215"/>
      <c r="BB29" s="216"/>
      <c r="BC29" s="217" t="str">
        <f t="shared" si="0"/>
        <v/>
      </c>
      <c r="BD29" s="218"/>
      <c r="BE29" s="219"/>
      <c r="BF29" s="220"/>
      <c r="BG29" s="219"/>
      <c r="BH29" s="219"/>
      <c r="BI29" s="220"/>
      <c r="BJ29" s="218"/>
      <c r="BK29" s="219"/>
      <c r="BL29" s="197"/>
      <c r="BM29" s="215"/>
      <c r="BN29" s="221"/>
      <c r="BO29" s="222" t="str">
        <f t="shared" si="1"/>
        <v/>
      </c>
      <c r="BP29" s="217" t="str">
        <f t="shared" si="2"/>
        <v/>
      </c>
      <c r="BQ29" s="215"/>
      <c r="BR29" s="224"/>
      <c r="BS29" s="225"/>
      <c r="BT29" s="223"/>
      <c r="BU29" s="215"/>
      <c r="BV29" s="226"/>
      <c r="BW29" s="222" t="str">
        <f t="shared" si="3"/>
        <v/>
      </c>
      <c r="BX29" s="223" t="str">
        <f t="shared" si="4"/>
        <v/>
      </c>
      <c r="BY29" s="215"/>
      <c r="BZ29" s="227"/>
      <c r="CA29" s="227"/>
      <c r="CB29" s="228"/>
      <c r="CC29" s="229"/>
      <c r="CD29" s="230" t="str">
        <f t="shared" si="5"/>
        <v/>
      </c>
      <c r="CE29" s="231" t="str">
        <f t="shared" si="6"/>
        <v/>
      </c>
      <c r="CF29" s="232" t="str">
        <f t="shared" si="7"/>
        <v/>
      </c>
      <c r="CG29" s="233" t="str">
        <f t="shared" si="8"/>
        <v/>
      </c>
      <c r="CH29" s="207" t="str">
        <f>IF(OR(G29="",CC29= ""), "", IF(ISERROR(SMALL((CJ29,CN29,CV29), 1)-CC29), "",  SMALL((CJ29,CN29,CV29), 1)-CC29))</f>
        <v/>
      </c>
      <c r="CI29" s="234"/>
      <c r="CJ29" s="235"/>
      <c r="CK29" s="236"/>
      <c r="CL29" s="222" t="str">
        <f t="shared" si="9"/>
        <v/>
      </c>
      <c r="CM29" s="237" t="str">
        <f>IF(OR(G29="", CJ29="",CK29=""), "", IF(ISERROR(SMALL((CN29,CV29), 1)-CK29), "",  SMALL((CN29,CV29), 1)-CK29))</f>
        <v/>
      </c>
      <c r="CN29" s="235"/>
      <c r="CO29" s="236"/>
      <c r="CP29" s="224" t="str">
        <f t="shared" si="10"/>
        <v/>
      </c>
      <c r="CQ29" s="235"/>
      <c r="CR29" s="236"/>
      <c r="CS29" s="222" t="str">
        <f t="shared" si="11"/>
        <v/>
      </c>
      <c r="CT29" s="237" t="str">
        <f t="shared" si="12"/>
        <v/>
      </c>
      <c r="CU29" s="238"/>
      <c r="CV29" s="239"/>
      <c r="CW29" s="240"/>
    </row>
    <row r="30" spans="2:101" ht="16.5" customHeight="1">
      <c r="B30" s="122"/>
      <c r="E30" s="122"/>
      <c r="F30" s="194"/>
      <c r="G30" s="195"/>
      <c r="H30" s="195"/>
      <c r="I30" s="195"/>
      <c r="J30" s="196"/>
      <c r="K30" s="197"/>
      <c r="L30" s="198"/>
      <c r="M30" s="199"/>
      <c r="N30" s="200"/>
      <c r="O30" s="201"/>
      <c r="P30" s="201"/>
      <c r="Q30" s="201"/>
      <c r="R30" s="201"/>
      <c r="S30" s="201"/>
      <c r="T30" s="201"/>
      <c r="U30" s="201"/>
      <c r="V30" s="201"/>
      <c r="W30" s="201"/>
      <c r="X30" s="202"/>
      <c r="Y30" s="203"/>
      <c r="Z30" s="204"/>
      <c r="AA30" s="205"/>
      <c r="AB30" s="206"/>
      <c r="AC30" s="206"/>
      <c r="AD30" s="194"/>
      <c r="AE30" s="201"/>
      <c r="AF30" s="207"/>
      <c r="AG30" s="208"/>
      <c r="AH30" s="209"/>
      <c r="AI30" s="210"/>
      <c r="AJ30" s="197"/>
      <c r="AK30" s="201"/>
      <c r="AL30" s="196"/>
      <c r="AM30" s="201"/>
      <c r="AN30" s="201"/>
      <c r="AO30" s="201"/>
      <c r="AP30" s="211"/>
      <c r="AQ30" s="212"/>
      <c r="AR30" s="201"/>
      <c r="AS30" s="201"/>
      <c r="AT30" s="201"/>
      <c r="AU30" s="201"/>
      <c r="AV30" s="202"/>
      <c r="AW30" s="194"/>
      <c r="AX30" s="201"/>
      <c r="AY30" s="213"/>
      <c r="AZ30" s="214"/>
      <c r="BA30" s="215"/>
      <c r="BB30" s="216"/>
      <c r="BC30" s="217" t="str">
        <f t="shared" si="0"/>
        <v/>
      </c>
      <c r="BD30" s="218"/>
      <c r="BE30" s="219"/>
      <c r="BF30" s="220"/>
      <c r="BG30" s="219"/>
      <c r="BH30" s="219"/>
      <c r="BI30" s="220"/>
      <c r="BJ30" s="218"/>
      <c r="BK30" s="219"/>
      <c r="BL30" s="197"/>
      <c r="BM30" s="215"/>
      <c r="BN30" s="221"/>
      <c r="BO30" s="222" t="str">
        <f t="shared" si="1"/>
        <v/>
      </c>
      <c r="BP30" s="217" t="str">
        <f t="shared" si="2"/>
        <v/>
      </c>
      <c r="BQ30" s="215"/>
      <c r="BR30" s="224"/>
      <c r="BS30" s="225"/>
      <c r="BT30" s="223"/>
      <c r="BU30" s="215"/>
      <c r="BV30" s="226"/>
      <c r="BW30" s="222" t="str">
        <f t="shared" si="3"/>
        <v/>
      </c>
      <c r="BX30" s="223" t="str">
        <f t="shared" si="4"/>
        <v/>
      </c>
      <c r="BY30" s="215"/>
      <c r="BZ30" s="227"/>
      <c r="CA30" s="227"/>
      <c r="CB30" s="228"/>
      <c r="CC30" s="229"/>
      <c r="CD30" s="230" t="str">
        <f t="shared" si="5"/>
        <v/>
      </c>
      <c r="CE30" s="231" t="str">
        <f t="shared" si="6"/>
        <v/>
      </c>
      <c r="CF30" s="232" t="str">
        <f t="shared" si="7"/>
        <v/>
      </c>
      <c r="CG30" s="233" t="str">
        <f t="shared" si="8"/>
        <v/>
      </c>
      <c r="CH30" s="207" t="str">
        <f>IF(OR(G30="",CC30= ""), "", IF(ISERROR(SMALL((CJ30,CN30,CV30), 1)-CC30), "",  SMALL((CJ30,CN30,CV30), 1)-CC30))</f>
        <v/>
      </c>
      <c r="CI30" s="234"/>
      <c r="CJ30" s="235"/>
      <c r="CK30" s="236"/>
      <c r="CL30" s="222" t="str">
        <f t="shared" si="9"/>
        <v/>
      </c>
      <c r="CM30" s="237" t="str">
        <f>IF(OR(G30="", CJ30="",CK30=""), "", IF(ISERROR(SMALL((CN30,CV30), 1)-CK30), "",  SMALL((CN30,CV30), 1)-CK30))</f>
        <v/>
      </c>
      <c r="CN30" s="235"/>
      <c r="CO30" s="236"/>
      <c r="CP30" s="224" t="str">
        <f t="shared" si="10"/>
        <v/>
      </c>
      <c r="CQ30" s="235"/>
      <c r="CR30" s="236"/>
      <c r="CS30" s="222" t="str">
        <f t="shared" si="11"/>
        <v/>
      </c>
      <c r="CT30" s="237" t="str">
        <f t="shared" si="12"/>
        <v/>
      </c>
      <c r="CU30" s="238"/>
      <c r="CV30" s="239"/>
      <c r="CW30" s="240"/>
    </row>
    <row r="31" spans="2:101" ht="16.5" customHeight="1">
      <c r="B31" s="122"/>
      <c r="E31" s="122"/>
      <c r="F31" s="194"/>
      <c r="G31" s="195"/>
      <c r="H31" s="195"/>
      <c r="I31" s="195"/>
      <c r="J31" s="196"/>
      <c r="K31" s="197"/>
      <c r="L31" s="198"/>
      <c r="M31" s="199"/>
      <c r="N31" s="200"/>
      <c r="O31" s="201"/>
      <c r="P31" s="201"/>
      <c r="Q31" s="201"/>
      <c r="R31" s="201"/>
      <c r="S31" s="201"/>
      <c r="T31" s="201"/>
      <c r="U31" s="201"/>
      <c r="V31" s="201"/>
      <c r="W31" s="201"/>
      <c r="X31" s="202"/>
      <c r="Y31" s="203"/>
      <c r="Z31" s="204"/>
      <c r="AA31" s="205"/>
      <c r="AB31" s="206"/>
      <c r="AC31" s="206"/>
      <c r="AD31" s="194"/>
      <c r="AE31" s="201"/>
      <c r="AF31" s="207"/>
      <c r="AG31" s="208"/>
      <c r="AH31" s="209"/>
      <c r="AI31" s="210"/>
      <c r="AJ31" s="197"/>
      <c r="AK31" s="201"/>
      <c r="AL31" s="196"/>
      <c r="AM31" s="201"/>
      <c r="AN31" s="201"/>
      <c r="AO31" s="201"/>
      <c r="AP31" s="211"/>
      <c r="AQ31" s="212"/>
      <c r="AR31" s="201"/>
      <c r="AS31" s="201"/>
      <c r="AT31" s="201"/>
      <c r="AU31" s="201"/>
      <c r="AV31" s="202"/>
      <c r="AW31" s="194"/>
      <c r="AX31" s="201"/>
      <c r="AY31" s="213"/>
      <c r="AZ31" s="214"/>
      <c r="BA31" s="215"/>
      <c r="BB31" s="216"/>
      <c r="BC31" s="217" t="str">
        <f t="shared" si="0"/>
        <v/>
      </c>
      <c r="BD31" s="218"/>
      <c r="BE31" s="219"/>
      <c r="BF31" s="220"/>
      <c r="BG31" s="219"/>
      <c r="BH31" s="219"/>
      <c r="BI31" s="220"/>
      <c r="BJ31" s="218"/>
      <c r="BK31" s="219"/>
      <c r="BL31" s="197"/>
      <c r="BM31" s="215"/>
      <c r="BN31" s="221"/>
      <c r="BO31" s="222" t="str">
        <f t="shared" si="1"/>
        <v/>
      </c>
      <c r="BP31" s="217" t="str">
        <f t="shared" si="2"/>
        <v/>
      </c>
      <c r="BQ31" s="215"/>
      <c r="BR31" s="224"/>
      <c r="BS31" s="225"/>
      <c r="BT31" s="223"/>
      <c r="BU31" s="215"/>
      <c r="BV31" s="226"/>
      <c r="BW31" s="222" t="str">
        <f t="shared" si="3"/>
        <v/>
      </c>
      <c r="BX31" s="223" t="str">
        <f t="shared" si="4"/>
        <v/>
      </c>
      <c r="BY31" s="215"/>
      <c r="BZ31" s="227"/>
      <c r="CA31" s="227"/>
      <c r="CB31" s="228"/>
      <c r="CC31" s="229"/>
      <c r="CD31" s="230" t="str">
        <f t="shared" si="5"/>
        <v/>
      </c>
      <c r="CE31" s="231" t="str">
        <f t="shared" si="6"/>
        <v/>
      </c>
      <c r="CF31" s="232" t="str">
        <f t="shared" si="7"/>
        <v/>
      </c>
      <c r="CG31" s="233" t="str">
        <f t="shared" si="8"/>
        <v/>
      </c>
      <c r="CH31" s="207" t="str">
        <f>IF(OR(G31="",CC31= ""), "", IF(ISERROR(SMALL((CJ31,CN31,CV31), 1)-CC31), "",  SMALL((CJ31,CN31,CV31), 1)-CC31))</f>
        <v/>
      </c>
      <c r="CI31" s="234"/>
      <c r="CJ31" s="235"/>
      <c r="CK31" s="236"/>
      <c r="CL31" s="222" t="str">
        <f t="shared" si="9"/>
        <v/>
      </c>
      <c r="CM31" s="237" t="str">
        <f>IF(OR(G31="", CJ31="",CK31=""), "", IF(ISERROR(SMALL((CN31,CV31), 1)-CK31), "",  SMALL((CN31,CV31), 1)-CK31))</f>
        <v/>
      </c>
      <c r="CN31" s="235"/>
      <c r="CO31" s="236"/>
      <c r="CP31" s="224" t="str">
        <f t="shared" si="10"/>
        <v/>
      </c>
      <c r="CQ31" s="235"/>
      <c r="CR31" s="236"/>
      <c r="CS31" s="222" t="str">
        <f t="shared" si="11"/>
        <v/>
      </c>
      <c r="CT31" s="237" t="str">
        <f t="shared" si="12"/>
        <v/>
      </c>
      <c r="CU31" s="238"/>
      <c r="CV31" s="239"/>
      <c r="CW31" s="240"/>
    </row>
    <row r="32" spans="2:101" ht="16.5" customHeight="1">
      <c r="B32" s="122"/>
      <c r="E32" s="122"/>
      <c r="F32" s="194"/>
      <c r="G32" s="195"/>
      <c r="H32" s="195"/>
      <c r="I32" s="195"/>
      <c r="J32" s="196"/>
      <c r="K32" s="197"/>
      <c r="L32" s="198"/>
      <c r="M32" s="199"/>
      <c r="N32" s="200"/>
      <c r="O32" s="201"/>
      <c r="P32" s="201"/>
      <c r="Q32" s="201"/>
      <c r="R32" s="201"/>
      <c r="S32" s="201"/>
      <c r="T32" s="201"/>
      <c r="U32" s="201"/>
      <c r="V32" s="201"/>
      <c r="W32" s="201"/>
      <c r="X32" s="202"/>
      <c r="Y32" s="203"/>
      <c r="Z32" s="204"/>
      <c r="AA32" s="205"/>
      <c r="AB32" s="206"/>
      <c r="AC32" s="206"/>
      <c r="AD32" s="194"/>
      <c r="AE32" s="201"/>
      <c r="AF32" s="207"/>
      <c r="AG32" s="208"/>
      <c r="AH32" s="209"/>
      <c r="AI32" s="210"/>
      <c r="AJ32" s="197"/>
      <c r="AK32" s="201"/>
      <c r="AL32" s="196"/>
      <c r="AM32" s="201"/>
      <c r="AN32" s="201"/>
      <c r="AO32" s="201"/>
      <c r="AP32" s="211"/>
      <c r="AQ32" s="212"/>
      <c r="AR32" s="201"/>
      <c r="AS32" s="201"/>
      <c r="AT32" s="201"/>
      <c r="AU32" s="201"/>
      <c r="AV32" s="202"/>
      <c r="AW32" s="194"/>
      <c r="AX32" s="201"/>
      <c r="AY32" s="213"/>
      <c r="AZ32" s="214"/>
      <c r="BA32" s="215"/>
      <c r="BB32" s="216"/>
      <c r="BC32" s="217" t="str">
        <f t="shared" si="0"/>
        <v/>
      </c>
      <c r="BD32" s="218"/>
      <c r="BE32" s="219"/>
      <c r="BF32" s="220"/>
      <c r="BG32" s="219"/>
      <c r="BH32" s="219"/>
      <c r="BI32" s="220"/>
      <c r="BJ32" s="218"/>
      <c r="BK32" s="219"/>
      <c r="BL32" s="197"/>
      <c r="BM32" s="215"/>
      <c r="BN32" s="221"/>
      <c r="BO32" s="222" t="str">
        <f t="shared" si="1"/>
        <v/>
      </c>
      <c r="BP32" s="217" t="str">
        <f t="shared" si="2"/>
        <v/>
      </c>
      <c r="BQ32" s="215"/>
      <c r="BR32" s="224"/>
      <c r="BS32" s="225"/>
      <c r="BT32" s="223"/>
      <c r="BU32" s="215"/>
      <c r="BV32" s="226"/>
      <c r="BW32" s="222" t="str">
        <f t="shared" si="3"/>
        <v/>
      </c>
      <c r="BX32" s="223" t="str">
        <f t="shared" si="4"/>
        <v/>
      </c>
      <c r="BY32" s="215"/>
      <c r="BZ32" s="227"/>
      <c r="CA32" s="227"/>
      <c r="CB32" s="228"/>
      <c r="CC32" s="229"/>
      <c r="CD32" s="230" t="str">
        <f t="shared" si="5"/>
        <v/>
      </c>
      <c r="CE32" s="231" t="str">
        <f t="shared" si="6"/>
        <v/>
      </c>
      <c r="CF32" s="232" t="str">
        <f t="shared" si="7"/>
        <v/>
      </c>
      <c r="CG32" s="233" t="str">
        <f t="shared" si="8"/>
        <v/>
      </c>
      <c r="CH32" s="207" t="str">
        <f>IF(OR(G32="",CC32= ""), "", IF(ISERROR(SMALL((CJ32,CN32,CV32), 1)-CC32), "",  SMALL((CJ32,CN32,CV32), 1)-CC32))</f>
        <v/>
      </c>
      <c r="CI32" s="234"/>
      <c r="CJ32" s="235"/>
      <c r="CK32" s="236"/>
      <c r="CL32" s="222" t="str">
        <f t="shared" si="9"/>
        <v/>
      </c>
      <c r="CM32" s="237" t="str">
        <f>IF(OR(G32="", CJ32="",CK32=""), "", IF(ISERROR(SMALL((CN32,CV32), 1)-CK32), "",  SMALL((CN32,CV32), 1)-CK32))</f>
        <v/>
      </c>
      <c r="CN32" s="235"/>
      <c r="CO32" s="236"/>
      <c r="CP32" s="224" t="str">
        <f t="shared" si="10"/>
        <v/>
      </c>
      <c r="CQ32" s="235"/>
      <c r="CR32" s="236"/>
      <c r="CS32" s="222" t="str">
        <f t="shared" si="11"/>
        <v/>
      </c>
      <c r="CT32" s="237" t="str">
        <f t="shared" si="12"/>
        <v/>
      </c>
      <c r="CU32" s="238"/>
      <c r="CV32" s="239"/>
      <c r="CW32" s="240"/>
    </row>
    <row r="33" spans="2:101" ht="16.5" customHeight="1">
      <c r="B33" s="122"/>
      <c r="E33" s="122"/>
      <c r="F33" s="194"/>
      <c r="G33" s="195"/>
      <c r="H33" s="195"/>
      <c r="I33" s="195"/>
      <c r="J33" s="196"/>
      <c r="K33" s="197"/>
      <c r="L33" s="198"/>
      <c r="M33" s="199"/>
      <c r="N33" s="200"/>
      <c r="O33" s="201"/>
      <c r="P33" s="201"/>
      <c r="Q33" s="201"/>
      <c r="R33" s="201"/>
      <c r="S33" s="201"/>
      <c r="T33" s="201"/>
      <c r="U33" s="201"/>
      <c r="V33" s="201"/>
      <c r="W33" s="201"/>
      <c r="X33" s="202"/>
      <c r="Y33" s="203"/>
      <c r="Z33" s="204"/>
      <c r="AA33" s="205"/>
      <c r="AB33" s="206"/>
      <c r="AC33" s="206"/>
      <c r="AD33" s="194"/>
      <c r="AE33" s="201"/>
      <c r="AF33" s="207"/>
      <c r="AG33" s="208"/>
      <c r="AH33" s="209"/>
      <c r="AI33" s="210"/>
      <c r="AJ33" s="197"/>
      <c r="AK33" s="201"/>
      <c r="AL33" s="196"/>
      <c r="AM33" s="201"/>
      <c r="AN33" s="201"/>
      <c r="AO33" s="201"/>
      <c r="AP33" s="211"/>
      <c r="AQ33" s="212"/>
      <c r="AR33" s="201"/>
      <c r="AS33" s="201"/>
      <c r="AT33" s="201"/>
      <c r="AU33" s="201"/>
      <c r="AV33" s="202"/>
      <c r="AW33" s="194"/>
      <c r="AX33" s="201"/>
      <c r="AY33" s="213"/>
      <c r="AZ33" s="214"/>
      <c r="BA33" s="215"/>
      <c r="BB33" s="216"/>
      <c r="BC33" s="217" t="str">
        <f t="shared" si="0"/>
        <v/>
      </c>
      <c r="BD33" s="218"/>
      <c r="BE33" s="219"/>
      <c r="BF33" s="220"/>
      <c r="BG33" s="219"/>
      <c r="BH33" s="219"/>
      <c r="BI33" s="220"/>
      <c r="BJ33" s="218"/>
      <c r="BK33" s="219"/>
      <c r="BL33" s="197"/>
      <c r="BM33" s="215"/>
      <c r="BN33" s="221"/>
      <c r="BO33" s="222" t="str">
        <f t="shared" si="1"/>
        <v/>
      </c>
      <c r="BP33" s="217" t="str">
        <f t="shared" si="2"/>
        <v/>
      </c>
      <c r="BQ33" s="215"/>
      <c r="BR33" s="224"/>
      <c r="BS33" s="225"/>
      <c r="BT33" s="223"/>
      <c r="BU33" s="215"/>
      <c r="BV33" s="226"/>
      <c r="BW33" s="222" t="str">
        <f t="shared" si="3"/>
        <v/>
      </c>
      <c r="BX33" s="223" t="str">
        <f t="shared" si="4"/>
        <v/>
      </c>
      <c r="BY33" s="215"/>
      <c r="BZ33" s="227"/>
      <c r="CA33" s="227"/>
      <c r="CB33" s="228"/>
      <c r="CC33" s="229"/>
      <c r="CD33" s="230" t="str">
        <f t="shared" si="5"/>
        <v/>
      </c>
      <c r="CE33" s="231" t="str">
        <f t="shared" si="6"/>
        <v/>
      </c>
      <c r="CF33" s="232" t="str">
        <f t="shared" si="7"/>
        <v/>
      </c>
      <c r="CG33" s="233" t="str">
        <f t="shared" si="8"/>
        <v/>
      </c>
      <c r="CH33" s="207" t="str">
        <f>IF(OR(G33="",CC33= ""), "", IF(ISERROR(SMALL((CJ33,CN33,CV33), 1)-CC33), "",  SMALL((CJ33,CN33,CV33), 1)-CC33))</f>
        <v/>
      </c>
      <c r="CI33" s="234"/>
      <c r="CJ33" s="235"/>
      <c r="CK33" s="236"/>
      <c r="CL33" s="222" t="str">
        <f t="shared" si="9"/>
        <v/>
      </c>
      <c r="CM33" s="237" t="str">
        <f>IF(OR(G33="", CJ33="",CK33=""), "", IF(ISERROR(SMALL((CN33,CV33), 1)-CK33), "",  SMALL((CN33,CV33), 1)-CK33))</f>
        <v/>
      </c>
      <c r="CN33" s="235"/>
      <c r="CO33" s="236"/>
      <c r="CP33" s="224" t="str">
        <f t="shared" si="10"/>
        <v/>
      </c>
      <c r="CQ33" s="235"/>
      <c r="CR33" s="236"/>
      <c r="CS33" s="222" t="str">
        <f t="shared" si="11"/>
        <v/>
      </c>
      <c r="CT33" s="237" t="str">
        <f t="shared" si="12"/>
        <v/>
      </c>
      <c r="CU33" s="238"/>
      <c r="CV33" s="239"/>
      <c r="CW33" s="240"/>
    </row>
    <row r="34" spans="2:101" ht="16.5" customHeight="1">
      <c r="B34" s="122"/>
      <c r="E34" s="122"/>
      <c r="F34" s="194"/>
      <c r="G34" s="195"/>
      <c r="H34" s="195"/>
      <c r="I34" s="195"/>
      <c r="J34" s="196"/>
      <c r="K34" s="197"/>
      <c r="L34" s="198"/>
      <c r="M34" s="199"/>
      <c r="N34" s="200"/>
      <c r="O34" s="201"/>
      <c r="P34" s="201"/>
      <c r="Q34" s="201"/>
      <c r="R34" s="201"/>
      <c r="S34" s="201"/>
      <c r="T34" s="201"/>
      <c r="U34" s="201"/>
      <c r="V34" s="201"/>
      <c r="W34" s="201"/>
      <c r="X34" s="202"/>
      <c r="Y34" s="203"/>
      <c r="Z34" s="204"/>
      <c r="AA34" s="205"/>
      <c r="AB34" s="206"/>
      <c r="AC34" s="206"/>
      <c r="AD34" s="194"/>
      <c r="AE34" s="201"/>
      <c r="AF34" s="207"/>
      <c r="AG34" s="208"/>
      <c r="AH34" s="209"/>
      <c r="AI34" s="210"/>
      <c r="AJ34" s="197"/>
      <c r="AK34" s="201"/>
      <c r="AL34" s="196"/>
      <c r="AM34" s="201"/>
      <c r="AN34" s="201"/>
      <c r="AO34" s="201"/>
      <c r="AP34" s="211"/>
      <c r="AQ34" s="212"/>
      <c r="AR34" s="201"/>
      <c r="AS34" s="201"/>
      <c r="AT34" s="201"/>
      <c r="AU34" s="201"/>
      <c r="AV34" s="202"/>
      <c r="AW34" s="194"/>
      <c r="AX34" s="201"/>
      <c r="AY34" s="213"/>
      <c r="AZ34" s="214"/>
      <c r="BA34" s="215"/>
      <c r="BB34" s="216"/>
      <c r="BC34" s="217" t="str">
        <f t="shared" si="0"/>
        <v/>
      </c>
      <c r="BD34" s="218"/>
      <c r="BE34" s="219"/>
      <c r="BF34" s="220"/>
      <c r="BG34" s="219"/>
      <c r="BH34" s="219"/>
      <c r="BI34" s="220"/>
      <c r="BJ34" s="218"/>
      <c r="BK34" s="219"/>
      <c r="BL34" s="197"/>
      <c r="BM34" s="215"/>
      <c r="BN34" s="221"/>
      <c r="BO34" s="222" t="str">
        <f t="shared" si="1"/>
        <v/>
      </c>
      <c r="BP34" s="217" t="str">
        <f t="shared" si="2"/>
        <v/>
      </c>
      <c r="BQ34" s="215"/>
      <c r="BR34" s="224"/>
      <c r="BS34" s="225"/>
      <c r="BT34" s="223"/>
      <c r="BU34" s="215"/>
      <c r="BV34" s="226"/>
      <c r="BW34" s="222" t="str">
        <f t="shared" si="3"/>
        <v/>
      </c>
      <c r="BX34" s="223" t="str">
        <f t="shared" si="4"/>
        <v/>
      </c>
      <c r="BY34" s="215"/>
      <c r="BZ34" s="227"/>
      <c r="CA34" s="227"/>
      <c r="CB34" s="228"/>
      <c r="CC34" s="229"/>
      <c r="CD34" s="230" t="str">
        <f t="shared" si="5"/>
        <v/>
      </c>
      <c r="CE34" s="231" t="str">
        <f t="shared" si="6"/>
        <v/>
      </c>
      <c r="CF34" s="232" t="str">
        <f t="shared" si="7"/>
        <v/>
      </c>
      <c r="CG34" s="233" t="str">
        <f t="shared" si="8"/>
        <v/>
      </c>
      <c r="CH34" s="207" t="str">
        <f>IF(OR(G34="",CC34= ""), "", IF(ISERROR(SMALL((CJ34,CN34,CV34), 1)-CC34), "",  SMALL((CJ34,CN34,CV34), 1)-CC34))</f>
        <v/>
      </c>
      <c r="CI34" s="234"/>
      <c r="CJ34" s="235"/>
      <c r="CK34" s="236"/>
      <c r="CL34" s="222" t="str">
        <f t="shared" si="9"/>
        <v/>
      </c>
      <c r="CM34" s="237" t="str">
        <f>IF(OR(G34="", CJ34="",CK34=""), "", IF(ISERROR(SMALL((CN34,CV34), 1)-CK34), "",  SMALL((CN34,CV34), 1)-CK34))</f>
        <v/>
      </c>
      <c r="CN34" s="235"/>
      <c r="CO34" s="236"/>
      <c r="CP34" s="224" t="str">
        <f t="shared" si="10"/>
        <v/>
      </c>
      <c r="CQ34" s="235"/>
      <c r="CR34" s="236"/>
      <c r="CS34" s="222" t="str">
        <f t="shared" si="11"/>
        <v/>
      </c>
      <c r="CT34" s="237" t="str">
        <f t="shared" si="12"/>
        <v/>
      </c>
      <c r="CU34" s="238"/>
      <c r="CV34" s="239"/>
      <c r="CW34" s="240"/>
    </row>
    <row r="35" spans="2:101" ht="16.5" customHeight="1">
      <c r="B35" s="122"/>
      <c r="E35" s="122"/>
      <c r="F35" s="194"/>
      <c r="G35" s="195"/>
      <c r="H35" s="195"/>
      <c r="I35" s="195"/>
      <c r="J35" s="196"/>
      <c r="K35" s="197"/>
      <c r="L35" s="198"/>
      <c r="M35" s="199"/>
      <c r="N35" s="200"/>
      <c r="O35" s="201"/>
      <c r="P35" s="201"/>
      <c r="Q35" s="201"/>
      <c r="R35" s="201"/>
      <c r="S35" s="201"/>
      <c r="T35" s="201"/>
      <c r="U35" s="201"/>
      <c r="V35" s="201"/>
      <c r="W35" s="201"/>
      <c r="X35" s="202"/>
      <c r="Y35" s="203"/>
      <c r="Z35" s="204"/>
      <c r="AA35" s="205"/>
      <c r="AB35" s="206"/>
      <c r="AC35" s="206"/>
      <c r="AD35" s="194"/>
      <c r="AE35" s="201"/>
      <c r="AF35" s="207"/>
      <c r="AG35" s="208"/>
      <c r="AH35" s="209"/>
      <c r="AI35" s="210"/>
      <c r="AJ35" s="197"/>
      <c r="AK35" s="201"/>
      <c r="AL35" s="196"/>
      <c r="AM35" s="201"/>
      <c r="AN35" s="201"/>
      <c r="AO35" s="201"/>
      <c r="AP35" s="211"/>
      <c r="AQ35" s="212"/>
      <c r="AR35" s="201"/>
      <c r="AS35" s="201"/>
      <c r="AT35" s="201"/>
      <c r="AU35" s="201"/>
      <c r="AV35" s="202"/>
      <c r="AW35" s="194"/>
      <c r="AX35" s="201"/>
      <c r="AY35" s="213"/>
      <c r="AZ35" s="214"/>
      <c r="BA35" s="215"/>
      <c r="BB35" s="216"/>
      <c r="BC35" s="217" t="str">
        <f t="shared" si="0"/>
        <v/>
      </c>
      <c r="BD35" s="218"/>
      <c r="BE35" s="219"/>
      <c r="BF35" s="220"/>
      <c r="BG35" s="219"/>
      <c r="BH35" s="219"/>
      <c r="BI35" s="220"/>
      <c r="BJ35" s="218"/>
      <c r="BK35" s="219"/>
      <c r="BL35" s="197"/>
      <c r="BM35" s="215"/>
      <c r="BN35" s="221"/>
      <c r="BO35" s="222" t="str">
        <f t="shared" si="1"/>
        <v/>
      </c>
      <c r="BP35" s="217" t="str">
        <f t="shared" si="2"/>
        <v/>
      </c>
      <c r="BQ35" s="215"/>
      <c r="BR35" s="224"/>
      <c r="BS35" s="225"/>
      <c r="BT35" s="223"/>
      <c r="BU35" s="215"/>
      <c r="BV35" s="226"/>
      <c r="BW35" s="222" t="str">
        <f t="shared" si="3"/>
        <v/>
      </c>
      <c r="BX35" s="223" t="str">
        <f t="shared" si="4"/>
        <v/>
      </c>
      <c r="BY35" s="215"/>
      <c r="BZ35" s="227"/>
      <c r="CA35" s="227"/>
      <c r="CB35" s="228"/>
      <c r="CC35" s="229"/>
      <c r="CD35" s="230" t="str">
        <f t="shared" si="5"/>
        <v/>
      </c>
      <c r="CE35" s="231" t="str">
        <f t="shared" si="6"/>
        <v/>
      </c>
      <c r="CF35" s="232" t="str">
        <f t="shared" si="7"/>
        <v/>
      </c>
      <c r="CG35" s="233" t="str">
        <f t="shared" si="8"/>
        <v/>
      </c>
      <c r="CH35" s="207" t="str">
        <f>IF(OR(G35="",CC35= ""), "", IF(ISERROR(SMALL((CJ35,CN35,CV35), 1)-CC35), "",  SMALL((CJ35,CN35,CV35), 1)-CC35))</f>
        <v/>
      </c>
      <c r="CI35" s="234"/>
      <c r="CJ35" s="235"/>
      <c r="CK35" s="236"/>
      <c r="CL35" s="222" t="str">
        <f t="shared" si="9"/>
        <v/>
      </c>
      <c r="CM35" s="237" t="str">
        <f>IF(OR(G35="", CJ35="",CK35=""), "", IF(ISERROR(SMALL((CN35,CV35), 1)-CK35), "",  SMALL((CN35,CV35), 1)-CK35))</f>
        <v/>
      </c>
      <c r="CN35" s="235"/>
      <c r="CO35" s="236"/>
      <c r="CP35" s="224" t="str">
        <f t="shared" si="10"/>
        <v/>
      </c>
      <c r="CQ35" s="235"/>
      <c r="CR35" s="236"/>
      <c r="CS35" s="222" t="str">
        <f t="shared" si="11"/>
        <v/>
      </c>
      <c r="CT35" s="237" t="str">
        <f t="shared" si="12"/>
        <v/>
      </c>
      <c r="CU35" s="238"/>
      <c r="CV35" s="239"/>
      <c r="CW35" s="240"/>
    </row>
    <row r="36" spans="2:101" ht="16.5" customHeight="1">
      <c r="B36" s="122"/>
      <c r="E36" s="122"/>
      <c r="F36" s="194"/>
      <c r="G36" s="195"/>
      <c r="H36" s="195"/>
      <c r="I36" s="195"/>
      <c r="J36" s="196"/>
      <c r="K36" s="197"/>
      <c r="L36" s="198"/>
      <c r="M36" s="199"/>
      <c r="N36" s="200"/>
      <c r="O36" s="201"/>
      <c r="P36" s="201"/>
      <c r="Q36" s="201"/>
      <c r="R36" s="201"/>
      <c r="S36" s="201"/>
      <c r="T36" s="201"/>
      <c r="U36" s="201"/>
      <c r="V36" s="201"/>
      <c r="W36" s="201"/>
      <c r="X36" s="202"/>
      <c r="Y36" s="203"/>
      <c r="Z36" s="204"/>
      <c r="AA36" s="205"/>
      <c r="AB36" s="206"/>
      <c r="AC36" s="206"/>
      <c r="AD36" s="194"/>
      <c r="AE36" s="201"/>
      <c r="AF36" s="207"/>
      <c r="AG36" s="208"/>
      <c r="AH36" s="209"/>
      <c r="AI36" s="210"/>
      <c r="AJ36" s="197"/>
      <c r="AK36" s="201"/>
      <c r="AL36" s="196"/>
      <c r="AM36" s="201"/>
      <c r="AN36" s="201"/>
      <c r="AO36" s="201"/>
      <c r="AP36" s="211"/>
      <c r="AQ36" s="212"/>
      <c r="AR36" s="201"/>
      <c r="AS36" s="201"/>
      <c r="AT36" s="201"/>
      <c r="AU36" s="201"/>
      <c r="AV36" s="202"/>
      <c r="AW36" s="194"/>
      <c r="AX36" s="201"/>
      <c r="AY36" s="213"/>
      <c r="AZ36" s="214"/>
      <c r="BA36" s="215"/>
      <c r="BB36" s="216"/>
      <c r="BC36" s="217" t="str">
        <f t="shared" si="0"/>
        <v/>
      </c>
      <c r="BD36" s="218"/>
      <c r="BE36" s="219"/>
      <c r="BF36" s="220"/>
      <c r="BG36" s="219"/>
      <c r="BH36" s="219"/>
      <c r="BI36" s="220"/>
      <c r="BJ36" s="218"/>
      <c r="BK36" s="219"/>
      <c r="BL36" s="197"/>
      <c r="BM36" s="215"/>
      <c r="BN36" s="221"/>
      <c r="BO36" s="222" t="str">
        <f t="shared" si="1"/>
        <v/>
      </c>
      <c r="BP36" s="217" t="str">
        <f t="shared" si="2"/>
        <v/>
      </c>
      <c r="BQ36" s="215"/>
      <c r="BR36" s="224"/>
      <c r="BS36" s="225"/>
      <c r="BT36" s="223"/>
      <c r="BU36" s="215"/>
      <c r="BV36" s="226"/>
      <c r="BW36" s="222" t="str">
        <f t="shared" si="3"/>
        <v/>
      </c>
      <c r="BX36" s="223" t="str">
        <f t="shared" si="4"/>
        <v/>
      </c>
      <c r="BY36" s="215"/>
      <c r="BZ36" s="227"/>
      <c r="CA36" s="227"/>
      <c r="CB36" s="228"/>
      <c r="CC36" s="229"/>
      <c r="CD36" s="230" t="str">
        <f t="shared" si="5"/>
        <v/>
      </c>
      <c r="CE36" s="231" t="str">
        <f t="shared" si="6"/>
        <v/>
      </c>
      <c r="CF36" s="232" t="str">
        <f t="shared" si="7"/>
        <v/>
      </c>
      <c r="CG36" s="233" t="str">
        <f t="shared" si="8"/>
        <v/>
      </c>
      <c r="CH36" s="207" t="str">
        <f>IF(OR(G36="",CC36= ""), "", IF(ISERROR(SMALL((CJ36,CN36,CV36), 1)-CC36), "",  SMALL((CJ36,CN36,CV36), 1)-CC36))</f>
        <v/>
      </c>
      <c r="CI36" s="234"/>
      <c r="CJ36" s="235"/>
      <c r="CK36" s="236"/>
      <c r="CL36" s="222" t="str">
        <f t="shared" si="9"/>
        <v/>
      </c>
      <c r="CM36" s="237" t="str">
        <f>IF(OR(G36="", CJ36="",CK36=""), "", IF(ISERROR(SMALL((CN36,CV36), 1)-CK36), "",  SMALL((CN36,CV36), 1)-CK36))</f>
        <v/>
      </c>
      <c r="CN36" s="235"/>
      <c r="CO36" s="236"/>
      <c r="CP36" s="224" t="str">
        <f t="shared" si="10"/>
        <v/>
      </c>
      <c r="CQ36" s="235"/>
      <c r="CR36" s="236"/>
      <c r="CS36" s="222" t="str">
        <f t="shared" si="11"/>
        <v/>
      </c>
      <c r="CT36" s="237" t="str">
        <f t="shared" si="12"/>
        <v/>
      </c>
      <c r="CU36" s="238"/>
      <c r="CV36" s="239"/>
      <c r="CW36" s="240"/>
    </row>
    <row r="37" spans="2:101" ht="16.5" customHeight="1">
      <c r="B37" s="122"/>
      <c r="E37" s="122"/>
      <c r="F37" s="194"/>
      <c r="G37" s="195"/>
      <c r="H37" s="195"/>
      <c r="I37" s="195"/>
      <c r="J37" s="196"/>
      <c r="K37" s="197"/>
      <c r="L37" s="198"/>
      <c r="M37" s="199"/>
      <c r="N37" s="200"/>
      <c r="O37" s="201"/>
      <c r="P37" s="201"/>
      <c r="Q37" s="201"/>
      <c r="R37" s="201"/>
      <c r="S37" s="201"/>
      <c r="T37" s="201"/>
      <c r="U37" s="201"/>
      <c r="V37" s="201"/>
      <c r="W37" s="201"/>
      <c r="X37" s="202"/>
      <c r="Y37" s="203"/>
      <c r="Z37" s="204"/>
      <c r="AA37" s="205"/>
      <c r="AB37" s="206"/>
      <c r="AC37" s="206"/>
      <c r="AD37" s="194"/>
      <c r="AE37" s="201"/>
      <c r="AF37" s="207"/>
      <c r="AG37" s="208"/>
      <c r="AH37" s="209"/>
      <c r="AI37" s="210"/>
      <c r="AJ37" s="197"/>
      <c r="AK37" s="201"/>
      <c r="AL37" s="196"/>
      <c r="AM37" s="201"/>
      <c r="AN37" s="201"/>
      <c r="AO37" s="201"/>
      <c r="AP37" s="211"/>
      <c r="AQ37" s="212"/>
      <c r="AR37" s="201"/>
      <c r="AS37" s="201"/>
      <c r="AT37" s="201"/>
      <c r="AU37" s="201"/>
      <c r="AV37" s="202"/>
      <c r="AW37" s="194"/>
      <c r="AX37" s="201"/>
      <c r="AY37" s="213"/>
      <c r="AZ37" s="214"/>
      <c r="BA37" s="215"/>
      <c r="BB37" s="216"/>
      <c r="BC37" s="217" t="str">
        <f t="shared" si="0"/>
        <v/>
      </c>
      <c r="BD37" s="218"/>
      <c r="BE37" s="219"/>
      <c r="BF37" s="220"/>
      <c r="BG37" s="219"/>
      <c r="BH37" s="219"/>
      <c r="BI37" s="220"/>
      <c r="BJ37" s="218"/>
      <c r="BK37" s="219"/>
      <c r="BL37" s="197"/>
      <c r="BM37" s="215"/>
      <c r="BN37" s="221"/>
      <c r="BO37" s="222" t="str">
        <f t="shared" si="1"/>
        <v/>
      </c>
      <c r="BP37" s="217" t="str">
        <f t="shared" si="2"/>
        <v/>
      </c>
      <c r="BQ37" s="215"/>
      <c r="BR37" s="224"/>
      <c r="BS37" s="225"/>
      <c r="BT37" s="223"/>
      <c r="BU37" s="215"/>
      <c r="BV37" s="226"/>
      <c r="BW37" s="222" t="str">
        <f t="shared" si="3"/>
        <v/>
      </c>
      <c r="BX37" s="223" t="str">
        <f t="shared" si="4"/>
        <v/>
      </c>
      <c r="BY37" s="215"/>
      <c r="BZ37" s="227"/>
      <c r="CA37" s="227"/>
      <c r="CB37" s="228"/>
      <c r="CC37" s="229"/>
      <c r="CD37" s="230" t="str">
        <f t="shared" si="5"/>
        <v/>
      </c>
      <c r="CE37" s="231" t="str">
        <f t="shared" si="6"/>
        <v/>
      </c>
      <c r="CF37" s="232" t="str">
        <f t="shared" si="7"/>
        <v/>
      </c>
      <c r="CG37" s="233" t="str">
        <f t="shared" si="8"/>
        <v/>
      </c>
      <c r="CH37" s="207" t="str">
        <f>IF(OR(G37="",CC37= ""), "", IF(ISERROR(SMALL((CJ37,CN37,CV37), 1)-CC37), "",  SMALL((CJ37,CN37,CV37), 1)-CC37))</f>
        <v/>
      </c>
      <c r="CI37" s="234"/>
      <c r="CJ37" s="235"/>
      <c r="CK37" s="236"/>
      <c r="CL37" s="222" t="str">
        <f t="shared" si="9"/>
        <v/>
      </c>
      <c r="CM37" s="237" t="str">
        <f>IF(OR(G37="", CJ37="",CK37=""), "", IF(ISERROR(SMALL((CN37,CV37), 1)-CK37), "",  SMALL((CN37,CV37), 1)-CK37))</f>
        <v/>
      </c>
      <c r="CN37" s="235"/>
      <c r="CO37" s="236"/>
      <c r="CP37" s="224" t="str">
        <f t="shared" si="10"/>
        <v/>
      </c>
      <c r="CQ37" s="235"/>
      <c r="CR37" s="236"/>
      <c r="CS37" s="222" t="str">
        <f t="shared" si="11"/>
        <v/>
      </c>
      <c r="CT37" s="237" t="str">
        <f t="shared" si="12"/>
        <v/>
      </c>
      <c r="CU37" s="238"/>
      <c r="CV37" s="239"/>
      <c r="CW37" s="240"/>
    </row>
    <row r="38" spans="2:101" ht="16.5" customHeight="1">
      <c r="B38" s="122"/>
      <c r="E38" s="122"/>
      <c r="F38" s="194"/>
      <c r="G38" s="195"/>
      <c r="H38" s="195"/>
      <c r="I38" s="195"/>
      <c r="J38" s="196"/>
      <c r="K38" s="197"/>
      <c r="L38" s="198"/>
      <c r="M38" s="199"/>
      <c r="N38" s="200"/>
      <c r="O38" s="201"/>
      <c r="P38" s="201"/>
      <c r="Q38" s="201"/>
      <c r="R38" s="201"/>
      <c r="S38" s="201"/>
      <c r="T38" s="201"/>
      <c r="U38" s="201"/>
      <c r="V38" s="201"/>
      <c r="W38" s="201"/>
      <c r="X38" s="202"/>
      <c r="Y38" s="203"/>
      <c r="Z38" s="204"/>
      <c r="AA38" s="205"/>
      <c r="AB38" s="206"/>
      <c r="AC38" s="206"/>
      <c r="AD38" s="194"/>
      <c r="AE38" s="201"/>
      <c r="AF38" s="207"/>
      <c r="AG38" s="208"/>
      <c r="AH38" s="209"/>
      <c r="AI38" s="210"/>
      <c r="AJ38" s="197"/>
      <c r="AK38" s="201"/>
      <c r="AL38" s="196"/>
      <c r="AM38" s="201"/>
      <c r="AN38" s="201"/>
      <c r="AO38" s="201"/>
      <c r="AP38" s="211"/>
      <c r="AQ38" s="212"/>
      <c r="AR38" s="201"/>
      <c r="AS38" s="201"/>
      <c r="AT38" s="201"/>
      <c r="AU38" s="201"/>
      <c r="AV38" s="202"/>
      <c r="AW38" s="194"/>
      <c r="AX38" s="201"/>
      <c r="AY38" s="213"/>
      <c r="AZ38" s="214"/>
      <c r="BA38" s="215"/>
      <c r="BB38" s="216"/>
      <c r="BC38" s="217" t="str">
        <f t="shared" si="0"/>
        <v/>
      </c>
      <c r="BD38" s="218"/>
      <c r="BE38" s="219"/>
      <c r="BF38" s="220"/>
      <c r="BG38" s="219"/>
      <c r="BH38" s="219"/>
      <c r="BI38" s="220"/>
      <c r="BJ38" s="218"/>
      <c r="BK38" s="219"/>
      <c r="BL38" s="197"/>
      <c r="BM38" s="215"/>
      <c r="BN38" s="221"/>
      <c r="BO38" s="222" t="str">
        <f t="shared" si="1"/>
        <v/>
      </c>
      <c r="BP38" s="217" t="str">
        <f t="shared" si="2"/>
        <v/>
      </c>
      <c r="BQ38" s="215"/>
      <c r="BR38" s="224"/>
      <c r="BS38" s="225"/>
      <c r="BT38" s="223"/>
      <c r="BU38" s="215"/>
      <c r="BV38" s="226"/>
      <c r="BW38" s="222" t="str">
        <f t="shared" si="3"/>
        <v/>
      </c>
      <c r="BX38" s="223" t="str">
        <f t="shared" si="4"/>
        <v/>
      </c>
      <c r="BY38" s="215"/>
      <c r="BZ38" s="227"/>
      <c r="CA38" s="227"/>
      <c r="CB38" s="228"/>
      <c r="CC38" s="229"/>
      <c r="CD38" s="230" t="str">
        <f t="shared" si="5"/>
        <v/>
      </c>
      <c r="CE38" s="231" t="str">
        <f t="shared" si="6"/>
        <v/>
      </c>
      <c r="CF38" s="232" t="str">
        <f t="shared" si="7"/>
        <v/>
      </c>
      <c r="CG38" s="233" t="str">
        <f t="shared" si="8"/>
        <v/>
      </c>
      <c r="CH38" s="207" t="str">
        <f>IF(OR(G38="",CC38= ""), "", IF(ISERROR(SMALL((CJ38,CN38,CV38), 1)-CC38), "",  SMALL((CJ38,CN38,CV38), 1)-CC38))</f>
        <v/>
      </c>
      <c r="CI38" s="234"/>
      <c r="CJ38" s="235"/>
      <c r="CK38" s="236"/>
      <c r="CL38" s="222" t="str">
        <f t="shared" si="9"/>
        <v/>
      </c>
      <c r="CM38" s="237" t="str">
        <f>IF(OR(G38="", CJ38="",CK38=""), "", IF(ISERROR(SMALL((CN38,CV38), 1)-CK38), "",  SMALL((CN38,CV38), 1)-CK38))</f>
        <v/>
      </c>
      <c r="CN38" s="235"/>
      <c r="CO38" s="236"/>
      <c r="CP38" s="224" t="str">
        <f t="shared" si="10"/>
        <v/>
      </c>
      <c r="CQ38" s="235"/>
      <c r="CR38" s="236"/>
      <c r="CS38" s="222" t="str">
        <f t="shared" si="11"/>
        <v/>
      </c>
      <c r="CT38" s="237" t="str">
        <f t="shared" si="12"/>
        <v/>
      </c>
      <c r="CU38" s="238"/>
      <c r="CV38" s="239"/>
      <c r="CW38" s="240"/>
    </row>
    <row r="39" spans="2:101" ht="16.5" customHeight="1">
      <c r="B39" s="122"/>
      <c r="E39" s="122"/>
      <c r="F39" s="194"/>
      <c r="G39" s="195"/>
      <c r="H39" s="195"/>
      <c r="I39" s="195"/>
      <c r="J39" s="196"/>
      <c r="K39" s="197"/>
      <c r="L39" s="198"/>
      <c r="M39" s="199"/>
      <c r="N39" s="200"/>
      <c r="O39" s="201"/>
      <c r="P39" s="201"/>
      <c r="Q39" s="201"/>
      <c r="R39" s="201"/>
      <c r="S39" s="201"/>
      <c r="T39" s="201"/>
      <c r="U39" s="201"/>
      <c r="V39" s="201"/>
      <c r="W39" s="201"/>
      <c r="X39" s="202"/>
      <c r="Y39" s="203"/>
      <c r="Z39" s="204"/>
      <c r="AA39" s="205"/>
      <c r="AB39" s="206"/>
      <c r="AC39" s="206"/>
      <c r="AD39" s="194"/>
      <c r="AE39" s="201"/>
      <c r="AF39" s="207"/>
      <c r="AG39" s="208"/>
      <c r="AH39" s="209"/>
      <c r="AI39" s="210"/>
      <c r="AJ39" s="197"/>
      <c r="AK39" s="201"/>
      <c r="AL39" s="196"/>
      <c r="AM39" s="201"/>
      <c r="AN39" s="201"/>
      <c r="AO39" s="201"/>
      <c r="AP39" s="211"/>
      <c r="AQ39" s="212"/>
      <c r="AR39" s="201"/>
      <c r="AS39" s="201"/>
      <c r="AT39" s="201"/>
      <c r="AU39" s="201"/>
      <c r="AV39" s="202"/>
      <c r="AW39" s="194"/>
      <c r="AX39" s="201"/>
      <c r="AY39" s="213"/>
      <c r="AZ39" s="214"/>
      <c r="BA39" s="215"/>
      <c r="BB39" s="216"/>
      <c r="BC39" s="217" t="str">
        <f t="shared" si="0"/>
        <v/>
      </c>
      <c r="BD39" s="218"/>
      <c r="BE39" s="219"/>
      <c r="BF39" s="220"/>
      <c r="BG39" s="219"/>
      <c r="BH39" s="219"/>
      <c r="BI39" s="220"/>
      <c r="BJ39" s="218"/>
      <c r="BK39" s="219"/>
      <c r="BL39" s="197"/>
      <c r="BM39" s="215"/>
      <c r="BN39" s="221"/>
      <c r="BO39" s="222" t="str">
        <f t="shared" si="1"/>
        <v/>
      </c>
      <c r="BP39" s="217" t="str">
        <f t="shared" si="2"/>
        <v/>
      </c>
      <c r="BQ39" s="215"/>
      <c r="BR39" s="224"/>
      <c r="BS39" s="225"/>
      <c r="BT39" s="223"/>
      <c r="BU39" s="215"/>
      <c r="BV39" s="226"/>
      <c r="BW39" s="222" t="str">
        <f t="shared" si="3"/>
        <v/>
      </c>
      <c r="BX39" s="223" t="str">
        <f t="shared" si="4"/>
        <v/>
      </c>
      <c r="BY39" s="215"/>
      <c r="BZ39" s="227"/>
      <c r="CA39" s="227"/>
      <c r="CB39" s="228"/>
      <c r="CC39" s="229"/>
      <c r="CD39" s="230" t="str">
        <f t="shared" si="5"/>
        <v/>
      </c>
      <c r="CE39" s="231" t="str">
        <f t="shared" si="6"/>
        <v/>
      </c>
      <c r="CF39" s="232" t="str">
        <f t="shared" si="7"/>
        <v/>
      </c>
      <c r="CG39" s="233" t="str">
        <f t="shared" si="8"/>
        <v/>
      </c>
      <c r="CH39" s="207" t="str">
        <f>IF(OR(G39="",CC39= ""), "", IF(ISERROR(SMALL((CJ39,CN39,CV39), 1)-CC39), "",  SMALL((CJ39,CN39,CV39), 1)-CC39))</f>
        <v/>
      </c>
      <c r="CI39" s="234"/>
      <c r="CJ39" s="235"/>
      <c r="CK39" s="236"/>
      <c r="CL39" s="222" t="str">
        <f t="shared" si="9"/>
        <v/>
      </c>
      <c r="CM39" s="237" t="str">
        <f>IF(OR(G39="", CJ39="",CK39=""), "", IF(ISERROR(SMALL((CN39,CV39), 1)-CK39), "",  SMALL((CN39,CV39), 1)-CK39))</f>
        <v/>
      </c>
      <c r="CN39" s="235"/>
      <c r="CO39" s="236"/>
      <c r="CP39" s="224" t="str">
        <f t="shared" si="10"/>
        <v/>
      </c>
      <c r="CQ39" s="235"/>
      <c r="CR39" s="236"/>
      <c r="CS39" s="222" t="str">
        <f t="shared" si="11"/>
        <v/>
      </c>
      <c r="CT39" s="237" t="str">
        <f t="shared" si="12"/>
        <v/>
      </c>
      <c r="CU39" s="238"/>
      <c r="CV39" s="239"/>
      <c r="CW39" s="240"/>
    </row>
    <row r="40" spans="2:101" ht="16.5" customHeight="1">
      <c r="B40" s="122"/>
      <c r="E40" s="122"/>
      <c r="F40" s="194"/>
      <c r="G40" s="195"/>
      <c r="H40" s="195"/>
      <c r="I40" s="195"/>
      <c r="J40" s="196"/>
      <c r="K40" s="197"/>
      <c r="L40" s="198"/>
      <c r="M40" s="199"/>
      <c r="N40" s="200"/>
      <c r="O40" s="201"/>
      <c r="P40" s="201"/>
      <c r="Q40" s="201"/>
      <c r="R40" s="201"/>
      <c r="S40" s="201"/>
      <c r="T40" s="201"/>
      <c r="U40" s="201"/>
      <c r="V40" s="201"/>
      <c r="W40" s="201"/>
      <c r="X40" s="202"/>
      <c r="Y40" s="203"/>
      <c r="Z40" s="204"/>
      <c r="AA40" s="205"/>
      <c r="AB40" s="206"/>
      <c r="AC40" s="206"/>
      <c r="AD40" s="194"/>
      <c r="AE40" s="201"/>
      <c r="AF40" s="207"/>
      <c r="AG40" s="208"/>
      <c r="AH40" s="209"/>
      <c r="AI40" s="210"/>
      <c r="AJ40" s="197"/>
      <c r="AK40" s="201"/>
      <c r="AL40" s="196"/>
      <c r="AM40" s="201"/>
      <c r="AN40" s="201"/>
      <c r="AO40" s="201"/>
      <c r="AP40" s="211"/>
      <c r="AQ40" s="212"/>
      <c r="AR40" s="201"/>
      <c r="AS40" s="201"/>
      <c r="AT40" s="201"/>
      <c r="AU40" s="201"/>
      <c r="AV40" s="202"/>
      <c r="AW40" s="194"/>
      <c r="AX40" s="201"/>
      <c r="AY40" s="213"/>
      <c r="AZ40" s="214"/>
      <c r="BA40" s="215"/>
      <c r="BB40" s="216"/>
      <c r="BC40" s="217" t="str">
        <f t="shared" si="0"/>
        <v/>
      </c>
      <c r="BD40" s="218"/>
      <c r="BE40" s="219"/>
      <c r="BF40" s="220"/>
      <c r="BG40" s="219"/>
      <c r="BH40" s="219"/>
      <c r="BI40" s="220"/>
      <c r="BJ40" s="218"/>
      <c r="BK40" s="219"/>
      <c r="BL40" s="197"/>
      <c r="BM40" s="215"/>
      <c r="BN40" s="221"/>
      <c r="BO40" s="222" t="str">
        <f t="shared" si="1"/>
        <v/>
      </c>
      <c r="BP40" s="217" t="str">
        <f t="shared" si="2"/>
        <v/>
      </c>
      <c r="BQ40" s="215"/>
      <c r="BR40" s="224"/>
      <c r="BS40" s="225"/>
      <c r="BT40" s="223"/>
      <c r="BU40" s="215"/>
      <c r="BV40" s="226"/>
      <c r="BW40" s="222" t="str">
        <f t="shared" si="3"/>
        <v/>
      </c>
      <c r="BX40" s="223" t="str">
        <f t="shared" si="4"/>
        <v/>
      </c>
      <c r="BY40" s="215"/>
      <c r="BZ40" s="227"/>
      <c r="CA40" s="227"/>
      <c r="CB40" s="228"/>
      <c r="CC40" s="229"/>
      <c r="CD40" s="230" t="str">
        <f t="shared" si="5"/>
        <v/>
      </c>
      <c r="CE40" s="231" t="str">
        <f t="shared" si="6"/>
        <v/>
      </c>
      <c r="CF40" s="232" t="str">
        <f t="shared" si="7"/>
        <v/>
      </c>
      <c r="CG40" s="233" t="str">
        <f t="shared" si="8"/>
        <v/>
      </c>
      <c r="CH40" s="207" t="str">
        <f>IF(OR(G40="",CC40= ""), "", IF(ISERROR(SMALL((CJ40,CN40,CV40), 1)-CC40), "",  SMALL((CJ40,CN40,CV40), 1)-CC40))</f>
        <v/>
      </c>
      <c r="CI40" s="234"/>
      <c r="CJ40" s="235"/>
      <c r="CK40" s="236"/>
      <c r="CL40" s="222" t="str">
        <f t="shared" si="9"/>
        <v/>
      </c>
      <c r="CM40" s="237" t="str">
        <f>IF(OR(G40="", CJ40="",CK40=""), "", IF(ISERROR(SMALL((CN40,CV40), 1)-CK40), "",  SMALL((CN40,CV40), 1)-CK40))</f>
        <v/>
      </c>
      <c r="CN40" s="235"/>
      <c r="CO40" s="236"/>
      <c r="CP40" s="224" t="str">
        <f t="shared" si="10"/>
        <v/>
      </c>
      <c r="CQ40" s="235"/>
      <c r="CR40" s="236"/>
      <c r="CS40" s="222" t="str">
        <f t="shared" si="11"/>
        <v/>
      </c>
      <c r="CT40" s="237" t="str">
        <f t="shared" si="12"/>
        <v/>
      </c>
      <c r="CU40" s="238"/>
      <c r="CV40" s="239"/>
      <c r="CW40" s="240"/>
    </row>
    <row r="41" spans="2:101" ht="16.5" customHeight="1">
      <c r="B41" s="122"/>
      <c r="E41" s="122"/>
      <c r="F41" s="194"/>
      <c r="G41" s="195"/>
      <c r="H41" s="195"/>
      <c r="I41" s="195"/>
      <c r="J41" s="196"/>
      <c r="K41" s="197"/>
      <c r="L41" s="198"/>
      <c r="M41" s="199"/>
      <c r="N41" s="200"/>
      <c r="O41" s="201"/>
      <c r="P41" s="201"/>
      <c r="Q41" s="201"/>
      <c r="R41" s="201"/>
      <c r="S41" s="201"/>
      <c r="T41" s="201"/>
      <c r="U41" s="201"/>
      <c r="V41" s="201"/>
      <c r="W41" s="201"/>
      <c r="X41" s="202"/>
      <c r="Y41" s="203"/>
      <c r="Z41" s="204"/>
      <c r="AA41" s="205"/>
      <c r="AB41" s="206"/>
      <c r="AC41" s="206"/>
      <c r="AD41" s="194"/>
      <c r="AE41" s="201"/>
      <c r="AF41" s="207"/>
      <c r="AG41" s="208"/>
      <c r="AH41" s="209"/>
      <c r="AI41" s="210"/>
      <c r="AJ41" s="197"/>
      <c r="AK41" s="201"/>
      <c r="AL41" s="196"/>
      <c r="AM41" s="201"/>
      <c r="AN41" s="201"/>
      <c r="AO41" s="201"/>
      <c r="AP41" s="211"/>
      <c r="AQ41" s="212"/>
      <c r="AR41" s="201"/>
      <c r="AS41" s="201"/>
      <c r="AT41" s="201"/>
      <c r="AU41" s="201"/>
      <c r="AV41" s="202"/>
      <c r="AW41" s="194"/>
      <c r="AX41" s="201"/>
      <c r="AY41" s="213"/>
      <c r="AZ41" s="214"/>
      <c r="BA41" s="215"/>
      <c r="BB41" s="216"/>
      <c r="BC41" s="217" t="str">
        <f t="shared" si="0"/>
        <v/>
      </c>
      <c r="BD41" s="218"/>
      <c r="BE41" s="219"/>
      <c r="BF41" s="220"/>
      <c r="BG41" s="219"/>
      <c r="BH41" s="219"/>
      <c r="BI41" s="220"/>
      <c r="BJ41" s="218"/>
      <c r="BK41" s="219"/>
      <c r="BL41" s="197"/>
      <c r="BM41" s="215"/>
      <c r="BN41" s="221"/>
      <c r="BO41" s="222" t="str">
        <f t="shared" si="1"/>
        <v/>
      </c>
      <c r="BP41" s="217" t="str">
        <f t="shared" si="2"/>
        <v/>
      </c>
      <c r="BQ41" s="215"/>
      <c r="BR41" s="224"/>
      <c r="BS41" s="225"/>
      <c r="BT41" s="223"/>
      <c r="BU41" s="215"/>
      <c r="BV41" s="226"/>
      <c r="BW41" s="222" t="str">
        <f t="shared" si="3"/>
        <v/>
      </c>
      <c r="BX41" s="223" t="str">
        <f t="shared" si="4"/>
        <v/>
      </c>
      <c r="BY41" s="215"/>
      <c r="BZ41" s="227"/>
      <c r="CA41" s="227"/>
      <c r="CB41" s="228"/>
      <c r="CC41" s="229"/>
      <c r="CD41" s="230" t="str">
        <f t="shared" si="5"/>
        <v/>
      </c>
      <c r="CE41" s="231" t="str">
        <f t="shared" si="6"/>
        <v/>
      </c>
      <c r="CF41" s="232" t="str">
        <f t="shared" si="7"/>
        <v/>
      </c>
      <c r="CG41" s="233" t="str">
        <f t="shared" si="8"/>
        <v/>
      </c>
      <c r="CH41" s="207" t="str">
        <f>IF(OR(G41="",CC41= ""), "", IF(ISERROR(SMALL((CJ41,CN41,CV41), 1)-CC41), "",  SMALL((CJ41,CN41,CV41), 1)-CC41))</f>
        <v/>
      </c>
      <c r="CI41" s="234"/>
      <c r="CJ41" s="235"/>
      <c r="CK41" s="236"/>
      <c r="CL41" s="222" t="str">
        <f t="shared" si="9"/>
        <v/>
      </c>
      <c r="CM41" s="237" t="str">
        <f>IF(OR(G41="", CJ41="",CK41=""), "", IF(ISERROR(SMALL((CN41,CV41), 1)-CK41), "",  SMALL((CN41,CV41), 1)-CK41))</f>
        <v/>
      </c>
      <c r="CN41" s="235"/>
      <c r="CO41" s="236"/>
      <c r="CP41" s="224" t="str">
        <f t="shared" si="10"/>
        <v/>
      </c>
      <c r="CQ41" s="235"/>
      <c r="CR41" s="236"/>
      <c r="CS41" s="222" t="str">
        <f t="shared" si="11"/>
        <v/>
      </c>
      <c r="CT41" s="237" t="str">
        <f t="shared" si="12"/>
        <v/>
      </c>
      <c r="CU41" s="238"/>
      <c r="CV41" s="239"/>
      <c r="CW41" s="240"/>
    </row>
    <row r="42" spans="2:101" ht="16.5" customHeight="1">
      <c r="B42" s="122"/>
      <c r="E42" s="122"/>
      <c r="F42" s="194"/>
      <c r="G42" s="195"/>
      <c r="H42" s="195"/>
      <c r="I42" s="195"/>
      <c r="J42" s="196"/>
      <c r="K42" s="197"/>
      <c r="L42" s="198"/>
      <c r="M42" s="199"/>
      <c r="N42" s="200"/>
      <c r="O42" s="201"/>
      <c r="P42" s="201"/>
      <c r="Q42" s="201"/>
      <c r="R42" s="201"/>
      <c r="S42" s="201"/>
      <c r="T42" s="201"/>
      <c r="U42" s="201"/>
      <c r="V42" s="201"/>
      <c r="W42" s="201"/>
      <c r="X42" s="202"/>
      <c r="Y42" s="203"/>
      <c r="Z42" s="204"/>
      <c r="AA42" s="205"/>
      <c r="AB42" s="206"/>
      <c r="AC42" s="206"/>
      <c r="AD42" s="194"/>
      <c r="AE42" s="201"/>
      <c r="AF42" s="207"/>
      <c r="AG42" s="208"/>
      <c r="AH42" s="209"/>
      <c r="AI42" s="210"/>
      <c r="AJ42" s="197"/>
      <c r="AK42" s="201"/>
      <c r="AL42" s="196"/>
      <c r="AM42" s="201"/>
      <c r="AN42" s="201"/>
      <c r="AO42" s="201"/>
      <c r="AP42" s="211"/>
      <c r="AQ42" s="212"/>
      <c r="AR42" s="201"/>
      <c r="AS42" s="201"/>
      <c r="AT42" s="201"/>
      <c r="AU42" s="201"/>
      <c r="AV42" s="202"/>
      <c r="AW42" s="194"/>
      <c r="AX42" s="201"/>
      <c r="AY42" s="213"/>
      <c r="AZ42" s="214"/>
      <c r="BA42" s="215"/>
      <c r="BB42" s="216"/>
      <c r="BC42" s="217" t="str">
        <f t="shared" si="0"/>
        <v/>
      </c>
      <c r="BD42" s="218"/>
      <c r="BE42" s="219"/>
      <c r="BF42" s="220"/>
      <c r="BG42" s="219"/>
      <c r="BH42" s="219"/>
      <c r="BI42" s="220"/>
      <c r="BJ42" s="218"/>
      <c r="BK42" s="219"/>
      <c r="BL42" s="197"/>
      <c r="BM42" s="215"/>
      <c r="BN42" s="221"/>
      <c r="BO42" s="222" t="str">
        <f t="shared" si="1"/>
        <v/>
      </c>
      <c r="BP42" s="217" t="str">
        <f t="shared" si="2"/>
        <v/>
      </c>
      <c r="BQ42" s="215"/>
      <c r="BR42" s="224"/>
      <c r="BS42" s="225"/>
      <c r="BT42" s="223"/>
      <c r="BU42" s="215"/>
      <c r="BV42" s="226"/>
      <c r="BW42" s="222" t="str">
        <f t="shared" si="3"/>
        <v/>
      </c>
      <c r="BX42" s="223" t="str">
        <f t="shared" si="4"/>
        <v/>
      </c>
      <c r="BY42" s="215"/>
      <c r="BZ42" s="227"/>
      <c r="CA42" s="227"/>
      <c r="CB42" s="228"/>
      <c r="CC42" s="229"/>
      <c r="CD42" s="230" t="str">
        <f t="shared" si="5"/>
        <v/>
      </c>
      <c r="CE42" s="231" t="str">
        <f t="shared" si="6"/>
        <v/>
      </c>
      <c r="CF42" s="232" t="str">
        <f t="shared" si="7"/>
        <v/>
      </c>
      <c r="CG42" s="233" t="str">
        <f t="shared" si="8"/>
        <v/>
      </c>
      <c r="CH42" s="207" t="str">
        <f>IF(OR(G42="",CC42= ""), "", IF(ISERROR(SMALL((CJ42,CN42,CV42), 1)-CC42), "",  SMALL((CJ42,CN42,CV42), 1)-CC42))</f>
        <v/>
      </c>
      <c r="CI42" s="234"/>
      <c r="CJ42" s="235"/>
      <c r="CK42" s="236"/>
      <c r="CL42" s="222" t="str">
        <f t="shared" si="9"/>
        <v/>
      </c>
      <c r="CM42" s="237" t="str">
        <f>IF(OR(G42="", CJ42="",CK42=""), "", IF(ISERROR(SMALL((CN42,CV42), 1)-CK42), "",  SMALL((CN42,CV42), 1)-CK42))</f>
        <v/>
      </c>
      <c r="CN42" s="235"/>
      <c r="CO42" s="236"/>
      <c r="CP42" s="224" t="str">
        <f t="shared" si="10"/>
        <v/>
      </c>
      <c r="CQ42" s="235"/>
      <c r="CR42" s="236"/>
      <c r="CS42" s="222" t="str">
        <f t="shared" si="11"/>
        <v/>
      </c>
      <c r="CT42" s="237" t="str">
        <f t="shared" si="12"/>
        <v/>
      </c>
      <c r="CU42" s="238"/>
      <c r="CV42" s="239"/>
      <c r="CW42" s="240"/>
    </row>
    <row r="43" spans="2:101" ht="16.5" customHeight="1">
      <c r="B43" s="122"/>
      <c r="E43" s="122"/>
      <c r="F43" s="194"/>
      <c r="G43" s="195"/>
      <c r="H43" s="195"/>
      <c r="I43" s="195"/>
      <c r="J43" s="196"/>
      <c r="K43" s="197"/>
      <c r="L43" s="198"/>
      <c r="M43" s="199"/>
      <c r="N43" s="200"/>
      <c r="O43" s="201"/>
      <c r="P43" s="201"/>
      <c r="Q43" s="201"/>
      <c r="R43" s="201"/>
      <c r="S43" s="201"/>
      <c r="T43" s="201"/>
      <c r="U43" s="201"/>
      <c r="V43" s="201"/>
      <c r="W43" s="201"/>
      <c r="X43" s="202"/>
      <c r="Y43" s="203"/>
      <c r="Z43" s="204"/>
      <c r="AA43" s="205"/>
      <c r="AB43" s="206"/>
      <c r="AC43" s="206"/>
      <c r="AD43" s="194"/>
      <c r="AE43" s="201"/>
      <c r="AF43" s="207"/>
      <c r="AG43" s="208"/>
      <c r="AH43" s="209"/>
      <c r="AI43" s="210"/>
      <c r="AJ43" s="197"/>
      <c r="AK43" s="201"/>
      <c r="AL43" s="196"/>
      <c r="AM43" s="201"/>
      <c r="AN43" s="201"/>
      <c r="AO43" s="201"/>
      <c r="AP43" s="211"/>
      <c r="AQ43" s="212"/>
      <c r="AR43" s="201"/>
      <c r="AS43" s="201"/>
      <c r="AT43" s="201"/>
      <c r="AU43" s="201"/>
      <c r="AV43" s="202"/>
      <c r="AW43" s="194"/>
      <c r="AX43" s="201"/>
      <c r="AY43" s="213"/>
      <c r="AZ43" s="214"/>
      <c r="BA43" s="215"/>
      <c r="BB43" s="216"/>
      <c r="BC43" s="217" t="str">
        <f t="shared" si="0"/>
        <v/>
      </c>
      <c r="BD43" s="218"/>
      <c r="BE43" s="219"/>
      <c r="BF43" s="220"/>
      <c r="BG43" s="219"/>
      <c r="BH43" s="219"/>
      <c r="BI43" s="220"/>
      <c r="BJ43" s="218"/>
      <c r="BK43" s="219"/>
      <c r="BL43" s="197"/>
      <c r="BM43" s="215"/>
      <c r="BN43" s="221"/>
      <c r="BO43" s="222" t="str">
        <f t="shared" si="1"/>
        <v/>
      </c>
      <c r="BP43" s="217" t="str">
        <f t="shared" si="2"/>
        <v/>
      </c>
      <c r="BQ43" s="215"/>
      <c r="BR43" s="224"/>
      <c r="BS43" s="225"/>
      <c r="BT43" s="223"/>
      <c r="BU43" s="215"/>
      <c r="BV43" s="226"/>
      <c r="BW43" s="222" t="str">
        <f t="shared" si="3"/>
        <v/>
      </c>
      <c r="BX43" s="223" t="str">
        <f t="shared" si="4"/>
        <v/>
      </c>
      <c r="BY43" s="215"/>
      <c r="BZ43" s="227"/>
      <c r="CA43" s="227"/>
      <c r="CB43" s="228"/>
      <c r="CC43" s="229"/>
      <c r="CD43" s="230" t="str">
        <f t="shared" si="5"/>
        <v/>
      </c>
      <c r="CE43" s="231" t="str">
        <f t="shared" si="6"/>
        <v/>
      </c>
      <c r="CF43" s="232" t="str">
        <f t="shared" si="7"/>
        <v/>
      </c>
      <c r="CG43" s="233" t="str">
        <f t="shared" si="8"/>
        <v/>
      </c>
      <c r="CH43" s="207" t="str">
        <f>IF(OR(G43="",CC43= ""), "", IF(ISERROR(SMALL((CJ43,CN43,CV43), 1)-CC43), "",  SMALL((CJ43,CN43,CV43), 1)-CC43))</f>
        <v/>
      </c>
      <c r="CI43" s="234"/>
      <c r="CJ43" s="235"/>
      <c r="CK43" s="236"/>
      <c r="CL43" s="222" t="str">
        <f t="shared" si="9"/>
        <v/>
      </c>
      <c r="CM43" s="237" t="str">
        <f>IF(OR(G43="", CJ43="",CK43=""), "", IF(ISERROR(SMALL((CN43,CV43), 1)-CK43), "",  SMALL((CN43,CV43), 1)-CK43))</f>
        <v/>
      </c>
      <c r="CN43" s="235"/>
      <c r="CO43" s="236"/>
      <c r="CP43" s="224" t="str">
        <f t="shared" si="10"/>
        <v/>
      </c>
      <c r="CQ43" s="235"/>
      <c r="CR43" s="236"/>
      <c r="CS43" s="222" t="str">
        <f t="shared" si="11"/>
        <v/>
      </c>
      <c r="CT43" s="237" t="str">
        <f t="shared" si="12"/>
        <v/>
      </c>
      <c r="CU43" s="238"/>
      <c r="CV43" s="239"/>
      <c r="CW43" s="240"/>
    </row>
    <row r="44" spans="2:101" ht="16.5" customHeight="1">
      <c r="B44" s="122"/>
      <c r="E44" s="122"/>
      <c r="F44" s="194"/>
      <c r="G44" s="195"/>
      <c r="H44" s="195"/>
      <c r="I44" s="195"/>
      <c r="J44" s="196"/>
      <c r="K44" s="197"/>
      <c r="L44" s="198"/>
      <c r="M44" s="199"/>
      <c r="N44" s="200"/>
      <c r="O44" s="201"/>
      <c r="P44" s="201"/>
      <c r="Q44" s="201"/>
      <c r="R44" s="201"/>
      <c r="S44" s="201"/>
      <c r="T44" s="201"/>
      <c r="U44" s="201"/>
      <c r="V44" s="201"/>
      <c r="W44" s="201"/>
      <c r="X44" s="202"/>
      <c r="Y44" s="203"/>
      <c r="Z44" s="204"/>
      <c r="AA44" s="205"/>
      <c r="AB44" s="206"/>
      <c r="AC44" s="206"/>
      <c r="AD44" s="194"/>
      <c r="AE44" s="201"/>
      <c r="AF44" s="207"/>
      <c r="AG44" s="208"/>
      <c r="AH44" s="209"/>
      <c r="AI44" s="210"/>
      <c r="AJ44" s="197"/>
      <c r="AK44" s="201"/>
      <c r="AL44" s="196"/>
      <c r="AM44" s="201"/>
      <c r="AN44" s="201"/>
      <c r="AO44" s="201"/>
      <c r="AP44" s="211"/>
      <c r="AQ44" s="212"/>
      <c r="AR44" s="201"/>
      <c r="AS44" s="201"/>
      <c r="AT44" s="201"/>
      <c r="AU44" s="201"/>
      <c r="AV44" s="202"/>
      <c r="AW44" s="194"/>
      <c r="AX44" s="201"/>
      <c r="AY44" s="213"/>
      <c r="AZ44" s="214"/>
      <c r="BA44" s="215"/>
      <c r="BB44" s="216"/>
      <c r="BC44" s="217" t="str">
        <f t="shared" si="0"/>
        <v/>
      </c>
      <c r="BD44" s="218"/>
      <c r="BE44" s="219"/>
      <c r="BF44" s="220"/>
      <c r="BG44" s="219"/>
      <c r="BH44" s="219"/>
      <c r="BI44" s="220"/>
      <c r="BJ44" s="218"/>
      <c r="BK44" s="219"/>
      <c r="BL44" s="197"/>
      <c r="BM44" s="215"/>
      <c r="BN44" s="221"/>
      <c r="BO44" s="222" t="str">
        <f t="shared" si="1"/>
        <v/>
      </c>
      <c r="BP44" s="217" t="str">
        <f t="shared" si="2"/>
        <v/>
      </c>
      <c r="BQ44" s="215"/>
      <c r="BR44" s="224"/>
      <c r="BS44" s="225"/>
      <c r="BT44" s="223"/>
      <c r="BU44" s="215"/>
      <c r="BV44" s="226"/>
      <c r="BW44" s="222" t="str">
        <f t="shared" si="3"/>
        <v/>
      </c>
      <c r="BX44" s="223" t="str">
        <f t="shared" si="4"/>
        <v/>
      </c>
      <c r="BY44" s="215"/>
      <c r="BZ44" s="227"/>
      <c r="CA44" s="227"/>
      <c r="CB44" s="228"/>
      <c r="CC44" s="229"/>
      <c r="CD44" s="230" t="str">
        <f t="shared" si="5"/>
        <v/>
      </c>
      <c r="CE44" s="231" t="str">
        <f t="shared" si="6"/>
        <v/>
      </c>
      <c r="CF44" s="232" t="str">
        <f t="shared" si="7"/>
        <v/>
      </c>
      <c r="CG44" s="233" t="str">
        <f t="shared" si="8"/>
        <v/>
      </c>
      <c r="CH44" s="207" t="str">
        <f>IF(OR(G44="",CC44= ""), "", IF(ISERROR(SMALL((CJ44,CN44,CV44), 1)-CC44), "",  SMALL((CJ44,CN44,CV44), 1)-CC44))</f>
        <v/>
      </c>
      <c r="CI44" s="234"/>
      <c r="CJ44" s="235"/>
      <c r="CK44" s="236"/>
      <c r="CL44" s="222" t="str">
        <f t="shared" si="9"/>
        <v/>
      </c>
      <c r="CM44" s="237" t="str">
        <f>IF(OR(G44="", CJ44="",CK44=""), "", IF(ISERROR(SMALL((CN44,CV44), 1)-CK44), "",  SMALL((CN44,CV44), 1)-CK44))</f>
        <v/>
      </c>
      <c r="CN44" s="235"/>
      <c r="CO44" s="236"/>
      <c r="CP44" s="224" t="str">
        <f t="shared" si="10"/>
        <v/>
      </c>
      <c r="CQ44" s="235"/>
      <c r="CR44" s="236"/>
      <c r="CS44" s="222" t="str">
        <f t="shared" si="11"/>
        <v/>
      </c>
      <c r="CT44" s="237" t="str">
        <f t="shared" si="12"/>
        <v/>
      </c>
      <c r="CU44" s="238"/>
      <c r="CV44" s="239"/>
      <c r="CW44" s="240"/>
    </row>
    <row r="45" spans="2:101" ht="16.5" customHeight="1">
      <c r="B45" s="122"/>
      <c r="E45" s="122"/>
      <c r="F45" s="194"/>
      <c r="G45" s="195"/>
      <c r="H45" s="195"/>
      <c r="I45" s="195"/>
      <c r="J45" s="196"/>
      <c r="K45" s="197"/>
      <c r="L45" s="198"/>
      <c r="M45" s="199"/>
      <c r="N45" s="200"/>
      <c r="O45" s="201"/>
      <c r="P45" s="201"/>
      <c r="Q45" s="201"/>
      <c r="R45" s="201"/>
      <c r="S45" s="201"/>
      <c r="T45" s="201"/>
      <c r="U45" s="201"/>
      <c r="V45" s="201"/>
      <c r="W45" s="201"/>
      <c r="X45" s="202"/>
      <c r="Y45" s="203"/>
      <c r="Z45" s="204"/>
      <c r="AA45" s="205"/>
      <c r="AB45" s="206"/>
      <c r="AC45" s="206"/>
      <c r="AD45" s="194"/>
      <c r="AE45" s="201"/>
      <c r="AF45" s="207"/>
      <c r="AG45" s="208"/>
      <c r="AH45" s="209"/>
      <c r="AI45" s="210"/>
      <c r="AJ45" s="197"/>
      <c r="AK45" s="201"/>
      <c r="AL45" s="196"/>
      <c r="AM45" s="201"/>
      <c r="AN45" s="201"/>
      <c r="AO45" s="201"/>
      <c r="AP45" s="211"/>
      <c r="AQ45" s="212"/>
      <c r="AR45" s="201"/>
      <c r="AS45" s="201"/>
      <c r="AT45" s="201"/>
      <c r="AU45" s="201"/>
      <c r="AV45" s="202"/>
      <c r="AW45" s="194"/>
      <c r="AX45" s="201"/>
      <c r="AY45" s="213"/>
      <c r="AZ45" s="214"/>
      <c r="BA45" s="215"/>
      <c r="BB45" s="216"/>
      <c r="BC45" s="217" t="str">
        <f t="shared" si="0"/>
        <v/>
      </c>
      <c r="BD45" s="218"/>
      <c r="BE45" s="219"/>
      <c r="BF45" s="220"/>
      <c r="BG45" s="219"/>
      <c r="BH45" s="219"/>
      <c r="BI45" s="220"/>
      <c r="BJ45" s="218"/>
      <c r="BK45" s="219"/>
      <c r="BL45" s="197"/>
      <c r="BM45" s="215"/>
      <c r="BN45" s="221"/>
      <c r="BO45" s="222" t="str">
        <f t="shared" si="1"/>
        <v/>
      </c>
      <c r="BP45" s="217" t="str">
        <f t="shared" si="2"/>
        <v/>
      </c>
      <c r="BQ45" s="215"/>
      <c r="BR45" s="224"/>
      <c r="BS45" s="225"/>
      <c r="BT45" s="223"/>
      <c r="BU45" s="215"/>
      <c r="BV45" s="226"/>
      <c r="BW45" s="222" t="str">
        <f t="shared" si="3"/>
        <v/>
      </c>
      <c r="BX45" s="223" t="str">
        <f t="shared" si="4"/>
        <v/>
      </c>
      <c r="BY45" s="215"/>
      <c r="BZ45" s="227"/>
      <c r="CA45" s="227"/>
      <c r="CB45" s="228"/>
      <c r="CC45" s="229"/>
      <c r="CD45" s="230" t="str">
        <f t="shared" si="5"/>
        <v/>
      </c>
      <c r="CE45" s="231" t="str">
        <f t="shared" si="6"/>
        <v/>
      </c>
      <c r="CF45" s="232" t="str">
        <f t="shared" si="7"/>
        <v/>
      </c>
      <c r="CG45" s="233" t="str">
        <f t="shared" si="8"/>
        <v/>
      </c>
      <c r="CH45" s="207" t="str">
        <f>IF(OR(G45="",CC45= ""), "", IF(ISERROR(SMALL((CJ45,CN45,CV45), 1)-CC45), "",  SMALL((CJ45,CN45,CV45), 1)-CC45))</f>
        <v/>
      </c>
      <c r="CI45" s="234"/>
      <c r="CJ45" s="235"/>
      <c r="CK45" s="236"/>
      <c r="CL45" s="222" t="str">
        <f t="shared" si="9"/>
        <v/>
      </c>
      <c r="CM45" s="237" t="str">
        <f>IF(OR(G45="", CJ45="",CK45=""), "", IF(ISERROR(SMALL((CN45,CV45), 1)-CK45), "",  SMALL((CN45,CV45), 1)-CK45))</f>
        <v/>
      </c>
      <c r="CN45" s="235"/>
      <c r="CO45" s="236"/>
      <c r="CP45" s="224" t="str">
        <f t="shared" si="10"/>
        <v/>
      </c>
      <c r="CQ45" s="235"/>
      <c r="CR45" s="236"/>
      <c r="CS45" s="222" t="str">
        <f t="shared" si="11"/>
        <v/>
      </c>
      <c r="CT45" s="237" t="str">
        <f t="shared" si="12"/>
        <v/>
      </c>
      <c r="CU45" s="238"/>
      <c r="CV45" s="239"/>
      <c r="CW45" s="240"/>
    </row>
    <row r="46" spans="2:101" ht="16.5" customHeight="1">
      <c r="B46" s="122"/>
      <c r="E46" s="122"/>
      <c r="F46" s="194"/>
      <c r="G46" s="195"/>
      <c r="H46" s="195"/>
      <c r="I46" s="195"/>
      <c r="J46" s="196"/>
      <c r="K46" s="197"/>
      <c r="L46" s="198"/>
      <c r="M46" s="199"/>
      <c r="N46" s="200"/>
      <c r="O46" s="201"/>
      <c r="P46" s="201"/>
      <c r="Q46" s="201"/>
      <c r="R46" s="201"/>
      <c r="S46" s="201"/>
      <c r="T46" s="201"/>
      <c r="U46" s="201"/>
      <c r="V46" s="201"/>
      <c r="W46" s="201"/>
      <c r="X46" s="202"/>
      <c r="Y46" s="203"/>
      <c r="Z46" s="204"/>
      <c r="AA46" s="205"/>
      <c r="AB46" s="206"/>
      <c r="AC46" s="206"/>
      <c r="AD46" s="194"/>
      <c r="AE46" s="201"/>
      <c r="AF46" s="207"/>
      <c r="AG46" s="208"/>
      <c r="AH46" s="209"/>
      <c r="AI46" s="210"/>
      <c r="AJ46" s="197"/>
      <c r="AK46" s="201"/>
      <c r="AL46" s="196"/>
      <c r="AM46" s="201"/>
      <c r="AN46" s="201"/>
      <c r="AO46" s="201"/>
      <c r="AP46" s="211"/>
      <c r="AQ46" s="212"/>
      <c r="AR46" s="201"/>
      <c r="AS46" s="201"/>
      <c r="AT46" s="201"/>
      <c r="AU46" s="201"/>
      <c r="AV46" s="202"/>
      <c r="AW46" s="194"/>
      <c r="AX46" s="201"/>
      <c r="AY46" s="213"/>
      <c r="AZ46" s="214"/>
      <c r="BA46" s="215"/>
      <c r="BB46" s="216"/>
      <c r="BC46" s="217" t="str">
        <f t="shared" si="0"/>
        <v/>
      </c>
      <c r="BD46" s="218"/>
      <c r="BE46" s="219"/>
      <c r="BF46" s="220"/>
      <c r="BG46" s="219"/>
      <c r="BH46" s="219"/>
      <c r="BI46" s="220"/>
      <c r="BJ46" s="218"/>
      <c r="BK46" s="219"/>
      <c r="BL46" s="197"/>
      <c r="BM46" s="215"/>
      <c r="BN46" s="221"/>
      <c r="BO46" s="222" t="str">
        <f t="shared" si="1"/>
        <v/>
      </c>
      <c r="BP46" s="217" t="str">
        <f t="shared" si="2"/>
        <v/>
      </c>
      <c r="BQ46" s="215"/>
      <c r="BR46" s="224"/>
      <c r="BS46" s="225"/>
      <c r="BT46" s="223"/>
      <c r="BU46" s="215"/>
      <c r="BV46" s="226"/>
      <c r="BW46" s="222" t="str">
        <f t="shared" si="3"/>
        <v/>
      </c>
      <c r="BX46" s="223" t="str">
        <f t="shared" si="4"/>
        <v/>
      </c>
      <c r="BY46" s="215"/>
      <c r="BZ46" s="227"/>
      <c r="CA46" s="227"/>
      <c r="CB46" s="228"/>
      <c r="CC46" s="229"/>
      <c r="CD46" s="230" t="str">
        <f t="shared" si="5"/>
        <v/>
      </c>
      <c r="CE46" s="231" t="str">
        <f t="shared" si="6"/>
        <v/>
      </c>
      <c r="CF46" s="232" t="str">
        <f t="shared" si="7"/>
        <v/>
      </c>
      <c r="CG46" s="233" t="str">
        <f t="shared" si="8"/>
        <v/>
      </c>
      <c r="CH46" s="207" t="str">
        <f>IF(OR(G46="",CC46= ""), "", IF(ISERROR(SMALL((CJ46,CN46,CV46), 1)-CC46), "",  SMALL((CJ46,CN46,CV46), 1)-CC46))</f>
        <v/>
      </c>
      <c r="CI46" s="234"/>
      <c r="CJ46" s="235"/>
      <c r="CK46" s="236"/>
      <c r="CL46" s="222" t="str">
        <f t="shared" si="9"/>
        <v/>
      </c>
      <c r="CM46" s="237" t="str">
        <f>IF(OR(G46="", CJ46="",CK46=""), "", IF(ISERROR(SMALL((CN46,CV46), 1)-CK46), "",  SMALL((CN46,CV46), 1)-CK46))</f>
        <v/>
      </c>
      <c r="CN46" s="235"/>
      <c r="CO46" s="236"/>
      <c r="CP46" s="224" t="str">
        <f t="shared" si="10"/>
        <v/>
      </c>
      <c r="CQ46" s="235"/>
      <c r="CR46" s="236"/>
      <c r="CS46" s="222" t="str">
        <f t="shared" si="11"/>
        <v/>
      </c>
      <c r="CT46" s="237" t="str">
        <f t="shared" si="12"/>
        <v/>
      </c>
      <c r="CU46" s="238"/>
      <c r="CV46" s="239"/>
      <c r="CW46" s="240"/>
    </row>
    <row r="47" spans="2:101" ht="16.5" customHeight="1">
      <c r="B47" s="122"/>
      <c r="E47" s="122"/>
      <c r="F47" s="194"/>
      <c r="G47" s="195"/>
      <c r="H47" s="195"/>
      <c r="I47" s="195"/>
      <c r="J47" s="196"/>
      <c r="K47" s="197"/>
      <c r="L47" s="198"/>
      <c r="M47" s="199"/>
      <c r="N47" s="200"/>
      <c r="O47" s="201"/>
      <c r="P47" s="201"/>
      <c r="Q47" s="201"/>
      <c r="R47" s="201"/>
      <c r="S47" s="201"/>
      <c r="T47" s="201"/>
      <c r="U47" s="201"/>
      <c r="V47" s="201"/>
      <c r="W47" s="201"/>
      <c r="X47" s="202"/>
      <c r="Y47" s="203"/>
      <c r="Z47" s="204"/>
      <c r="AA47" s="205"/>
      <c r="AB47" s="206"/>
      <c r="AC47" s="206"/>
      <c r="AD47" s="194"/>
      <c r="AE47" s="201"/>
      <c r="AF47" s="207"/>
      <c r="AG47" s="208"/>
      <c r="AH47" s="209"/>
      <c r="AI47" s="210"/>
      <c r="AJ47" s="197"/>
      <c r="AK47" s="201"/>
      <c r="AL47" s="196"/>
      <c r="AM47" s="201"/>
      <c r="AN47" s="201"/>
      <c r="AO47" s="201"/>
      <c r="AP47" s="211"/>
      <c r="AQ47" s="212"/>
      <c r="AR47" s="201"/>
      <c r="AS47" s="201"/>
      <c r="AT47" s="201"/>
      <c r="AU47" s="201"/>
      <c r="AV47" s="202"/>
      <c r="AW47" s="194"/>
      <c r="AX47" s="201"/>
      <c r="AY47" s="213"/>
      <c r="AZ47" s="214"/>
      <c r="BA47" s="215"/>
      <c r="BB47" s="216"/>
      <c r="BC47" s="217" t="str">
        <f t="shared" si="0"/>
        <v/>
      </c>
      <c r="BD47" s="218"/>
      <c r="BE47" s="219"/>
      <c r="BF47" s="220"/>
      <c r="BG47" s="219"/>
      <c r="BH47" s="219"/>
      <c r="BI47" s="220"/>
      <c r="BJ47" s="218"/>
      <c r="BK47" s="219"/>
      <c r="BL47" s="197"/>
      <c r="BM47" s="215"/>
      <c r="BN47" s="221"/>
      <c r="BO47" s="222" t="str">
        <f t="shared" si="1"/>
        <v/>
      </c>
      <c r="BP47" s="217" t="str">
        <f t="shared" si="2"/>
        <v/>
      </c>
      <c r="BQ47" s="215"/>
      <c r="BR47" s="224"/>
      <c r="BS47" s="225"/>
      <c r="BT47" s="223"/>
      <c r="BU47" s="215"/>
      <c r="BV47" s="226"/>
      <c r="BW47" s="222" t="str">
        <f t="shared" si="3"/>
        <v/>
      </c>
      <c r="BX47" s="223" t="str">
        <f t="shared" si="4"/>
        <v/>
      </c>
      <c r="BY47" s="215"/>
      <c r="BZ47" s="227"/>
      <c r="CA47" s="227"/>
      <c r="CB47" s="228"/>
      <c r="CC47" s="229"/>
      <c r="CD47" s="230" t="str">
        <f t="shared" si="5"/>
        <v/>
      </c>
      <c r="CE47" s="231" t="str">
        <f t="shared" si="6"/>
        <v/>
      </c>
      <c r="CF47" s="232" t="str">
        <f t="shared" si="7"/>
        <v/>
      </c>
      <c r="CG47" s="233" t="str">
        <f t="shared" si="8"/>
        <v/>
      </c>
      <c r="CH47" s="207" t="str">
        <f>IF(OR(G47="",CC47= ""), "", IF(ISERROR(SMALL((CJ47,CN47,CV47), 1)-CC47), "",  SMALL((CJ47,CN47,CV47), 1)-CC47))</f>
        <v/>
      </c>
      <c r="CI47" s="234"/>
      <c r="CJ47" s="235"/>
      <c r="CK47" s="236"/>
      <c r="CL47" s="222" t="str">
        <f t="shared" si="9"/>
        <v/>
      </c>
      <c r="CM47" s="237" t="str">
        <f>IF(OR(G47="", CJ47="",CK47=""), "", IF(ISERROR(SMALL((CN47,CV47), 1)-CK47), "",  SMALL((CN47,CV47), 1)-CK47))</f>
        <v/>
      </c>
      <c r="CN47" s="235"/>
      <c r="CO47" s="236"/>
      <c r="CP47" s="224" t="str">
        <f t="shared" si="10"/>
        <v/>
      </c>
      <c r="CQ47" s="235"/>
      <c r="CR47" s="236"/>
      <c r="CS47" s="222" t="str">
        <f t="shared" si="11"/>
        <v/>
      </c>
      <c r="CT47" s="237" t="str">
        <f t="shared" si="12"/>
        <v/>
      </c>
      <c r="CU47" s="238"/>
      <c r="CV47" s="239"/>
      <c r="CW47" s="240"/>
    </row>
    <row r="48" spans="2:101" ht="16.5" customHeight="1">
      <c r="B48" s="122"/>
      <c r="E48" s="122"/>
      <c r="F48" s="194"/>
      <c r="G48" s="195"/>
      <c r="H48" s="195"/>
      <c r="I48" s="195"/>
      <c r="J48" s="196"/>
      <c r="K48" s="197"/>
      <c r="L48" s="198"/>
      <c r="M48" s="199"/>
      <c r="N48" s="200"/>
      <c r="O48" s="201"/>
      <c r="P48" s="201"/>
      <c r="Q48" s="201"/>
      <c r="R48" s="201"/>
      <c r="S48" s="201"/>
      <c r="T48" s="201"/>
      <c r="U48" s="201"/>
      <c r="V48" s="201"/>
      <c r="W48" s="201"/>
      <c r="X48" s="202"/>
      <c r="Y48" s="203"/>
      <c r="Z48" s="204"/>
      <c r="AA48" s="205"/>
      <c r="AB48" s="206"/>
      <c r="AC48" s="206"/>
      <c r="AD48" s="194"/>
      <c r="AE48" s="201"/>
      <c r="AF48" s="207"/>
      <c r="AG48" s="208"/>
      <c r="AH48" s="209"/>
      <c r="AI48" s="210"/>
      <c r="AJ48" s="197"/>
      <c r="AK48" s="201"/>
      <c r="AL48" s="196"/>
      <c r="AM48" s="201"/>
      <c r="AN48" s="201"/>
      <c r="AO48" s="201"/>
      <c r="AP48" s="211"/>
      <c r="AQ48" s="212"/>
      <c r="AR48" s="201"/>
      <c r="AS48" s="201"/>
      <c r="AT48" s="201"/>
      <c r="AU48" s="201"/>
      <c r="AV48" s="202"/>
      <c r="AW48" s="194"/>
      <c r="AX48" s="201"/>
      <c r="AY48" s="213"/>
      <c r="AZ48" s="214"/>
      <c r="BA48" s="215"/>
      <c r="BB48" s="216"/>
      <c r="BC48" s="217" t="str">
        <f t="shared" si="0"/>
        <v/>
      </c>
      <c r="BD48" s="218"/>
      <c r="BE48" s="219"/>
      <c r="BF48" s="220"/>
      <c r="BG48" s="219"/>
      <c r="BH48" s="219"/>
      <c r="BI48" s="220"/>
      <c r="BJ48" s="218"/>
      <c r="BK48" s="219"/>
      <c r="BL48" s="197"/>
      <c r="BM48" s="215"/>
      <c r="BN48" s="221"/>
      <c r="BO48" s="222" t="str">
        <f t="shared" si="1"/>
        <v/>
      </c>
      <c r="BP48" s="217" t="str">
        <f t="shared" si="2"/>
        <v/>
      </c>
      <c r="BQ48" s="215"/>
      <c r="BR48" s="224"/>
      <c r="BS48" s="225"/>
      <c r="BT48" s="223"/>
      <c r="BU48" s="215"/>
      <c r="BV48" s="226"/>
      <c r="BW48" s="222" t="str">
        <f t="shared" si="3"/>
        <v/>
      </c>
      <c r="BX48" s="223" t="str">
        <f t="shared" si="4"/>
        <v/>
      </c>
      <c r="BY48" s="215"/>
      <c r="BZ48" s="227"/>
      <c r="CA48" s="227"/>
      <c r="CB48" s="228"/>
      <c r="CC48" s="229"/>
      <c r="CD48" s="230" t="str">
        <f t="shared" si="5"/>
        <v/>
      </c>
      <c r="CE48" s="231" t="str">
        <f t="shared" si="6"/>
        <v/>
      </c>
      <c r="CF48" s="232" t="str">
        <f t="shared" si="7"/>
        <v/>
      </c>
      <c r="CG48" s="233" t="str">
        <f t="shared" si="8"/>
        <v/>
      </c>
      <c r="CH48" s="207" t="str">
        <f>IF(OR(G48="",CC48= ""), "", IF(ISERROR(SMALL((CJ48,CN48,CV48), 1)-CC48), "",  SMALL((CJ48,CN48,CV48), 1)-CC48))</f>
        <v/>
      </c>
      <c r="CI48" s="234"/>
      <c r="CJ48" s="235"/>
      <c r="CK48" s="236"/>
      <c r="CL48" s="222" t="str">
        <f t="shared" si="9"/>
        <v/>
      </c>
      <c r="CM48" s="237" t="str">
        <f>IF(OR(G48="", CJ48="",CK48=""), "", IF(ISERROR(SMALL((CN48,CV48), 1)-CK48), "",  SMALL((CN48,CV48), 1)-CK48))</f>
        <v/>
      </c>
      <c r="CN48" s="235"/>
      <c r="CO48" s="236"/>
      <c r="CP48" s="224" t="str">
        <f t="shared" si="10"/>
        <v/>
      </c>
      <c r="CQ48" s="235"/>
      <c r="CR48" s="236"/>
      <c r="CS48" s="222" t="str">
        <f t="shared" si="11"/>
        <v/>
      </c>
      <c r="CT48" s="237" t="str">
        <f t="shared" si="12"/>
        <v/>
      </c>
      <c r="CU48" s="238"/>
      <c r="CV48" s="239"/>
      <c r="CW48" s="240"/>
    </row>
    <row r="49" spans="2:101" ht="16.5" customHeight="1">
      <c r="B49" s="122"/>
      <c r="E49" s="122"/>
      <c r="F49" s="194"/>
      <c r="G49" s="195"/>
      <c r="H49" s="195"/>
      <c r="I49" s="195"/>
      <c r="J49" s="196"/>
      <c r="K49" s="197"/>
      <c r="L49" s="198"/>
      <c r="M49" s="199"/>
      <c r="N49" s="200"/>
      <c r="O49" s="201"/>
      <c r="P49" s="201"/>
      <c r="Q49" s="201"/>
      <c r="R49" s="201"/>
      <c r="S49" s="201"/>
      <c r="T49" s="201"/>
      <c r="U49" s="201"/>
      <c r="V49" s="201"/>
      <c r="W49" s="201"/>
      <c r="X49" s="202"/>
      <c r="Y49" s="203"/>
      <c r="Z49" s="204"/>
      <c r="AA49" s="205"/>
      <c r="AB49" s="206"/>
      <c r="AC49" s="206"/>
      <c r="AD49" s="194"/>
      <c r="AE49" s="201"/>
      <c r="AF49" s="207"/>
      <c r="AG49" s="208"/>
      <c r="AH49" s="209"/>
      <c r="AI49" s="210"/>
      <c r="AJ49" s="197"/>
      <c r="AK49" s="201"/>
      <c r="AL49" s="196"/>
      <c r="AM49" s="201"/>
      <c r="AN49" s="201"/>
      <c r="AO49" s="201"/>
      <c r="AP49" s="211"/>
      <c r="AQ49" s="212"/>
      <c r="AR49" s="201"/>
      <c r="AS49" s="201"/>
      <c r="AT49" s="201"/>
      <c r="AU49" s="201"/>
      <c r="AV49" s="202"/>
      <c r="AW49" s="194"/>
      <c r="AX49" s="201"/>
      <c r="AY49" s="213"/>
      <c r="AZ49" s="214"/>
      <c r="BA49" s="215"/>
      <c r="BB49" s="216"/>
      <c r="BC49" s="217" t="str">
        <f t="shared" si="0"/>
        <v/>
      </c>
      <c r="BD49" s="218"/>
      <c r="BE49" s="219"/>
      <c r="BF49" s="220"/>
      <c r="BG49" s="219"/>
      <c r="BH49" s="219"/>
      <c r="BI49" s="220"/>
      <c r="BJ49" s="218"/>
      <c r="BK49" s="219"/>
      <c r="BL49" s="197"/>
      <c r="BM49" s="215"/>
      <c r="BN49" s="221"/>
      <c r="BO49" s="222" t="str">
        <f t="shared" si="1"/>
        <v/>
      </c>
      <c r="BP49" s="217" t="str">
        <f t="shared" si="2"/>
        <v/>
      </c>
      <c r="BQ49" s="215"/>
      <c r="BR49" s="224"/>
      <c r="BS49" s="225"/>
      <c r="BT49" s="223"/>
      <c r="BU49" s="215"/>
      <c r="BV49" s="226"/>
      <c r="BW49" s="222" t="str">
        <f t="shared" si="3"/>
        <v/>
      </c>
      <c r="BX49" s="223" t="str">
        <f t="shared" si="4"/>
        <v/>
      </c>
      <c r="BY49" s="215"/>
      <c r="BZ49" s="227"/>
      <c r="CA49" s="227"/>
      <c r="CB49" s="228"/>
      <c r="CC49" s="229"/>
      <c r="CD49" s="230" t="str">
        <f t="shared" si="5"/>
        <v/>
      </c>
      <c r="CE49" s="231" t="str">
        <f t="shared" si="6"/>
        <v/>
      </c>
      <c r="CF49" s="232" t="str">
        <f t="shared" si="7"/>
        <v/>
      </c>
      <c r="CG49" s="233" t="str">
        <f t="shared" si="8"/>
        <v/>
      </c>
      <c r="CH49" s="207" t="str">
        <f>IF(OR(G49="",CC49= ""), "", IF(ISERROR(SMALL((CJ49,CN49,CV49), 1)-CC49), "",  SMALL((CJ49,CN49,CV49), 1)-CC49))</f>
        <v/>
      </c>
      <c r="CI49" s="234"/>
      <c r="CJ49" s="235"/>
      <c r="CK49" s="236"/>
      <c r="CL49" s="222" t="str">
        <f t="shared" si="9"/>
        <v/>
      </c>
      <c r="CM49" s="237" t="str">
        <f>IF(OR(G49="", CJ49="",CK49=""), "", IF(ISERROR(SMALL((CN49,CV49), 1)-CK49), "",  SMALL((CN49,CV49), 1)-CK49))</f>
        <v/>
      </c>
      <c r="CN49" s="235"/>
      <c r="CO49" s="236"/>
      <c r="CP49" s="224" t="str">
        <f t="shared" si="10"/>
        <v/>
      </c>
      <c r="CQ49" s="235"/>
      <c r="CR49" s="236"/>
      <c r="CS49" s="222" t="str">
        <f t="shared" si="11"/>
        <v/>
      </c>
      <c r="CT49" s="237" t="str">
        <f t="shared" si="12"/>
        <v/>
      </c>
      <c r="CU49" s="238"/>
      <c r="CV49" s="239"/>
      <c r="CW49" s="240"/>
    </row>
    <row r="50" spans="2:101" ht="16.5" customHeight="1">
      <c r="B50" s="122"/>
      <c r="E50" s="122"/>
      <c r="F50" s="194"/>
      <c r="G50" s="195"/>
      <c r="H50" s="195"/>
      <c r="I50" s="195"/>
      <c r="J50" s="196"/>
      <c r="K50" s="197"/>
      <c r="L50" s="198"/>
      <c r="M50" s="199"/>
      <c r="N50" s="200"/>
      <c r="O50" s="201"/>
      <c r="P50" s="201"/>
      <c r="Q50" s="201"/>
      <c r="R50" s="201"/>
      <c r="S50" s="201"/>
      <c r="T50" s="201"/>
      <c r="U50" s="201"/>
      <c r="V50" s="201"/>
      <c r="W50" s="201"/>
      <c r="X50" s="202"/>
      <c r="Y50" s="203"/>
      <c r="Z50" s="204"/>
      <c r="AA50" s="205"/>
      <c r="AB50" s="206"/>
      <c r="AC50" s="206"/>
      <c r="AD50" s="194"/>
      <c r="AE50" s="201"/>
      <c r="AF50" s="207"/>
      <c r="AG50" s="208"/>
      <c r="AH50" s="209"/>
      <c r="AI50" s="210"/>
      <c r="AJ50" s="197"/>
      <c r="AK50" s="201"/>
      <c r="AL50" s="196"/>
      <c r="AM50" s="201"/>
      <c r="AN50" s="201"/>
      <c r="AO50" s="201"/>
      <c r="AP50" s="211"/>
      <c r="AQ50" s="212"/>
      <c r="AR50" s="201"/>
      <c r="AS50" s="201"/>
      <c r="AT50" s="201"/>
      <c r="AU50" s="201"/>
      <c r="AV50" s="202"/>
      <c r="AW50" s="194"/>
      <c r="AX50" s="201"/>
      <c r="AY50" s="213"/>
      <c r="AZ50" s="214"/>
      <c r="BA50" s="215"/>
      <c r="BB50" s="216"/>
      <c r="BC50" s="217" t="str">
        <f t="shared" si="0"/>
        <v/>
      </c>
      <c r="BD50" s="218"/>
      <c r="BE50" s="219"/>
      <c r="BF50" s="220"/>
      <c r="BG50" s="219"/>
      <c r="BH50" s="219"/>
      <c r="BI50" s="220"/>
      <c r="BJ50" s="218"/>
      <c r="BK50" s="219"/>
      <c r="BL50" s="197"/>
      <c r="BM50" s="215"/>
      <c r="BN50" s="221"/>
      <c r="BO50" s="222" t="str">
        <f t="shared" si="1"/>
        <v/>
      </c>
      <c r="BP50" s="217" t="str">
        <f t="shared" si="2"/>
        <v/>
      </c>
      <c r="BQ50" s="215"/>
      <c r="BR50" s="224"/>
      <c r="BS50" s="225"/>
      <c r="BT50" s="223"/>
      <c r="BU50" s="215"/>
      <c r="BV50" s="226"/>
      <c r="BW50" s="222" t="str">
        <f t="shared" si="3"/>
        <v/>
      </c>
      <c r="BX50" s="223" t="str">
        <f t="shared" si="4"/>
        <v/>
      </c>
      <c r="BY50" s="215"/>
      <c r="BZ50" s="227"/>
      <c r="CA50" s="227"/>
      <c r="CB50" s="228"/>
      <c r="CC50" s="229"/>
      <c r="CD50" s="230" t="str">
        <f t="shared" si="5"/>
        <v/>
      </c>
      <c r="CE50" s="231" t="str">
        <f t="shared" si="6"/>
        <v/>
      </c>
      <c r="CF50" s="232" t="str">
        <f t="shared" si="7"/>
        <v/>
      </c>
      <c r="CG50" s="233" t="str">
        <f t="shared" si="8"/>
        <v/>
      </c>
      <c r="CH50" s="207" t="str">
        <f>IF(OR(G50="",CC50= ""), "", IF(ISERROR(SMALL((CJ50,CN50,CV50), 1)-CC50), "",  SMALL((CJ50,CN50,CV50), 1)-CC50))</f>
        <v/>
      </c>
      <c r="CI50" s="234"/>
      <c r="CJ50" s="235"/>
      <c r="CK50" s="236"/>
      <c r="CL50" s="222" t="str">
        <f t="shared" si="9"/>
        <v/>
      </c>
      <c r="CM50" s="237" t="str">
        <f>IF(OR(G50="", CJ50="",CK50=""), "", IF(ISERROR(SMALL((CN50,CV50), 1)-CK50), "",  SMALL((CN50,CV50), 1)-CK50))</f>
        <v/>
      </c>
      <c r="CN50" s="235"/>
      <c r="CO50" s="236"/>
      <c r="CP50" s="224" t="str">
        <f t="shared" si="10"/>
        <v/>
      </c>
      <c r="CQ50" s="235"/>
      <c r="CR50" s="236"/>
      <c r="CS50" s="222" t="str">
        <f t="shared" si="11"/>
        <v/>
      </c>
      <c r="CT50" s="237" t="str">
        <f t="shared" si="12"/>
        <v/>
      </c>
      <c r="CU50" s="238"/>
      <c r="CV50" s="239"/>
      <c r="CW50" s="240"/>
    </row>
    <row r="51" spans="2:101" ht="16.5" customHeight="1">
      <c r="B51" s="122"/>
      <c r="E51" s="122"/>
      <c r="F51" s="194"/>
      <c r="G51" s="195"/>
      <c r="H51" s="195"/>
      <c r="I51" s="195"/>
      <c r="J51" s="196"/>
      <c r="K51" s="197"/>
      <c r="L51" s="198"/>
      <c r="M51" s="199"/>
      <c r="N51" s="200"/>
      <c r="O51" s="201"/>
      <c r="P51" s="201"/>
      <c r="Q51" s="201"/>
      <c r="R51" s="201"/>
      <c r="S51" s="201"/>
      <c r="T51" s="201"/>
      <c r="U51" s="201"/>
      <c r="V51" s="201"/>
      <c r="W51" s="201"/>
      <c r="X51" s="202"/>
      <c r="Y51" s="203"/>
      <c r="Z51" s="204"/>
      <c r="AA51" s="205"/>
      <c r="AB51" s="206"/>
      <c r="AC51" s="206"/>
      <c r="AD51" s="194"/>
      <c r="AE51" s="201"/>
      <c r="AF51" s="207"/>
      <c r="AG51" s="208"/>
      <c r="AH51" s="209"/>
      <c r="AI51" s="210"/>
      <c r="AJ51" s="197"/>
      <c r="AK51" s="201"/>
      <c r="AL51" s="196"/>
      <c r="AM51" s="201"/>
      <c r="AN51" s="201"/>
      <c r="AO51" s="201"/>
      <c r="AP51" s="211"/>
      <c r="AQ51" s="212"/>
      <c r="AR51" s="201"/>
      <c r="AS51" s="201"/>
      <c r="AT51" s="201"/>
      <c r="AU51" s="201"/>
      <c r="AV51" s="202"/>
      <c r="AW51" s="194"/>
      <c r="AX51" s="201"/>
      <c r="AY51" s="213"/>
      <c r="AZ51" s="214"/>
      <c r="BA51" s="215"/>
      <c r="BB51" s="216"/>
      <c r="BC51" s="217" t="str">
        <f t="shared" si="0"/>
        <v/>
      </c>
      <c r="BD51" s="218"/>
      <c r="BE51" s="219"/>
      <c r="BF51" s="220"/>
      <c r="BG51" s="219"/>
      <c r="BH51" s="219"/>
      <c r="BI51" s="220"/>
      <c r="BJ51" s="218"/>
      <c r="BK51" s="219"/>
      <c r="BL51" s="197"/>
      <c r="BM51" s="215"/>
      <c r="BN51" s="221"/>
      <c r="BO51" s="222" t="str">
        <f t="shared" si="1"/>
        <v/>
      </c>
      <c r="BP51" s="217" t="str">
        <f t="shared" si="2"/>
        <v/>
      </c>
      <c r="BQ51" s="215"/>
      <c r="BR51" s="224"/>
      <c r="BS51" s="225"/>
      <c r="BT51" s="223"/>
      <c r="BU51" s="215"/>
      <c r="BV51" s="226"/>
      <c r="BW51" s="222" t="str">
        <f t="shared" si="3"/>
        <v/>
      </c>
      <c r="BX51" s="223" t="str">
        <f t="shared" si="4"/>
        <v/>
      </c>
      <c r="BY51" s="215"/>
      <c r="BZ51" s="227"/>
      <c r="CA51" s="227"/>
      <c r="CB51" s="228"/>
      <c r="CC51" s="229"/>
      <c r="CD51" s="230" t="str">
        <f t="shared" si="5"/>
        <v/>
      </c>
      <c r="CE51" s="231" t="str">
        <f t="shared" si="6"/>
        <v/>
      </c>
      <c r="CF51" s="232" t="str">
        <f t="shared" si="7"/>
        <v/>
      </c>
      <c r="CG51" s="233" t="str">
        <f t="shared" si="8"/>
        <v/>
      </c>
      <c r="CH51" s="207" t="str">
        <f>IF(OR(G51="",CC51= ""), "", IF(ISERROR(SMALL((CJ51,CN51,CV51), 1)-CC51), "",  SMALL((CJ51,CN51,CV51), 1)-CC51))</f>
        <v/>
      </c>
      <c r="CI51" s="234"/>
      <c r="CJ51" s="235"/>
      <c r="CK51" s="236"/>
      <c r="CL51" s="222" t="str">
        <f t="shared" si="9"/>
        <v/>
      </c>
      <c r="CM51" s="237" t="str">
        <f>IF(OR(G51="", CJ51="",CK51=""), "", IF(ISERROR(SMALL((CN51,CV51), 1)-CK51), "",  SMALL((CN51,CV51), 1)-CK51))</f>
        <v/>
      </c>
      <c r="CN51" s="235"/>
      <c r="CO51" s="236"/>
      <c r="CP51" s="224" t="str">
        <f t="shared" si="10"/>
        <v/>
      </c>
      <c r="CQ51" s="235"/>
      <c r="CR51" s="236"/>
      <c r="CS51" s="222" t="str">
        <f t="shared" si="11"/>
        <v/>
      </c>
      <c r="CT51" s="237" t="str">
        <f t="shared" si="12"/>
        <v/>
      </c>
      <c r="CU51" s="238"/>
      <c r="CV51" s="239"/>
      <c r="CW51" s="240"/>
    </row>
    <row r="52" spans="2:101" ht="16.5" customHeight="1">
      <c r="B52" s="122"/>
      <c r="E52" s="122"/>
      <c r="F52" s="194"/>
      <c r="G52" s="195"/>
      <c r="H52" s="195"/>
      <c r="I52" s="195"/>
      <c r="J52" s="196"/>
      <c r="K52" s="197"/>
      <c r="L52" s="198"/>
      <c r="M52" s="199"/>
      <c r="N52" s="200"/>
      <c r="O52" s="201"/>
      <c r="P52" s="201"/>
      <c r="Q52" s="201"/>
      <c r="R52" s="201"/>
      <c r="S52" s="201"/>
      <c r="T52" s="201"/>
      <c r="U52" s="201"/>
      <c r="V52" s="201"/>
      <c r="W52" s="201"/>
      <c r="X52" s="202"/>
      <c r="Y52" s="203"/>
      <c r="Z52" s="204"/>
      <c r="AA52" s="205"/>
      <c r="AB52" s="206"/>
      <c r="AC52" s="206"/>
      <c r="AD52" s="194"/>
      <c r="AE52" s="201"/>
      <c r="AF52" s="207"/>
      <c r="AG52" s="208"/>
      <c r="AH52" s="209"/>
      <c r="AI52" s="210"/>
      <c r="AJ52" s="197"/>
      <c r="AK52" s="201"/>
      <c r="AL52" s="196"/>
      <c r="AM52" s="201"/>
      <c r="AN52" s="201"/>
      <c r="AO52" s="201"/>
      <c r="AP52" s="211"/>
      <c r="AQ52" s="212"/>
      <c r="AR52" s="201"/>
      <c r="AS52" s="201"/>
      <c r="AT52" s="201"/>
      <c r="AU52" s="201"/>
      <c r="AV52" s="202"/>
      <c r="AW52" s="194"/>
      <c r="AX52" s="201"/>
      <c r="AY52" s="213"/>
      <c r="AZ52" s="214"/>
      <c r="BA52" s="215"/>
      <c r="BB52" s="216"/>
      <c r="BC52" s="217" t="str">
        <f t="shared" si="0"/>
        <v/>
      </c>
      <c r="BD52" s="218"/>
      <c r="BE52" s="219"/>
      <c r="BF52" s="220"/>
      <c r="BG52" s="219"/>
      <c r="BH52" s="219"/>
      <c r="BI52" s="220"/>
      <c r="BJ52" s="218"/>
      <c r="BK52" s="219"/>
      <c r="BL52" s="197"/>
      <c r="BM52" s="215"/>
      <c r="BN52" s="221"/>
      <c r="BO52" s="222" t="str">
        <f t="shared" si="1"/>
        <v/>
      </c>
      <c r="BP52" s="217" t="str">
        <f t="shared" si="2"/>
        <v/>
      </c>
      <c r="BQ52" s="215"/>
      <c r="BR52" s="224"/>
      <c r="BS52" s="225"/>
      <c r="BT52" s="223"/>
      <c r="BU52" s="215"/>
      <c r="BV52" s="226"/>
      <c r="BW52" s="222" t="str">
        <f t="shared" si="3"/>
        <v/>
      </c>
      <c r="BX52" s="223" t="str">
        <f t="shared" si="4"/>
        <v/>
      </c>
      <c r="BY52" s="215"/>
      <c r="BZ52" s="227"/>
      <c r="CA52" s="227"/>
      <c r="CB52" s="228"/>
      <c r="CC52" s="229"/>
      <c r="CD52" s="230" t="str">
        <f t="shared" si="5"/>
        <v/>
      </c>
      <c r="CE52" s="231" t="str">
        <f t="shared" si="6"/>
        <v/>
      </c>
      <c r="CF52" s="232" t="str">
        <f t="shared" si="7"/>
        <v/>
      </c>
      <c r="CG52" s="233" t="str">
        <f t="shared" si="8"/>
        <v/>
      </c>
      <c r="CH52" s="207" t="str">
        <f>IF(OR(G52="",CC52= ""), "", IF(ISERROR(SMALL((CJ52,CN52,CV52), 1)-CC52), "",  SMALL((CJ52,CN52,CV52), 1)-CC52))</f>
        <v/>
      </c>
      <c r="CI52" s="234"/>
      <c r="CJ52" s="235"/>
      <c r="CK52" s="236"/>
      <c r="CL52" s="222" t="str">
        <f t="shared" si="9"/>
        <v/>
      </c>
      <c r="CM52" s="237" t="str">
        <f>IF(OR(G52="", CJ52="",CK52=""), "", IF(ISERROR(SMALL((CN52,CV52), 1)-CK52), "",  SMALL((CN52,CV52), 1)-CK52))</f>
        <v/>
      </c>
      <c r="CN52" s="235"/>
      <c r="CO52" s="236"/>
      <c r="CP52" s="224" t="str">
        <f t="shared" si="10"/>
        <v/>
      </c>
      <c r="CQ52" s="235"/>
      <c r="CR52" s="236"/>
      <c r="CS52" s="222" t="str">
        <f t="shared" si="11"/>
        <v/>
      </c>
      <c r="CT52" s="237" t="str">
        <f t="shared" si="12"/>
        <v/>
      </c>
      <c r="CU52" s="238"/>
      <c r="CV52" s="239"/>
      <c r="CW52" s="240"/>
    </row>
    <row r="53" spans="2:101" ht="16.5" customHeight="1">
      <c r="B53" s="122"/>
      <c r="E53" s="122"/>
      <c r="F53" s="194"/>
      <c r="G53" s="195"/>
      <c r="H53" s="195"/>
      <c r="I53" s="195"/>
      <c r="J53" s="196"/>
      <c r="K53" s="197"/>
      <c r="L53" s="198"/>
      <c r="M53" s="199"/>
      <c r="N53" s="200"/>
      <c r="O53" s="201"/>
      <c r="P53" s="201"/>
      <c r="Q53" s="201"/>
      <c r="R53" s="201"/>
      <c r="S53" s="201"/>
      <c r="T53" s="201"/>
      <c r="U53" s="201"/>
      <c r="V53" s="201"/>
      <c r="W53" s="201"/>
      <c r="X53" s="202"/>
      <c r="Y53" s="203"/>
      <c r="Z53" s="204"/>
      <c r="AA53" s="205"/>
      <c r="AB53" s="206"/>
      <c r="AC53" s="206"/>
      <c r="AD53" s="194"/>
      <c r="AE53" s="201"/>
      <c r="AF53" s="207"/>
      <c r="AG53" s="208"/>
      <c r="AH53" s="209"/>
      <c r="AI53" s="210"/>
      <c r="AJ53" s="197"/>
      <c r="AK53" s="201"/>
      <c r="AL53" s="196"/>
      <c r="AM53" s="201"/>
      <c r="AN53" s="201"/>
      <c r="AO53" s="201"/>
      <c r="AP53" s="211"/>
      <c r="AQ53" s="212"/>
      <c r="AR53" s="201"/>
      <c r="AS53" s="201"/>
      <c r="AT53" s="201"/>
      <c r="AU53" s="201"/>
      <c r="AV53" s="202"/>
      <c r="AW53" s="194"/>
      <c r="AX53" s="201"/>
      <c r="AY53" s="213"/>
      <c r="AZ53" s="214"/>
      <c r="BA53" s="215"/>
      <c r="BB53" s="216"/>
      <c r="BC53" s="217" t="str">
        <f t="shared" si="0"/>
        <v/>
      </c>
      <c r="BD53" s="218"/>
      <c r="BE53" s="219"/>
      <c r="BF53" s="220"/>
      <c r="BG53" s="219"/>
      <c r="BH53" s="219"/>
      <c r="BI53" s="220"/>
      <c r="BJ53" s="218"/>
      <c r="BK53" s="219"/>
      <c r="BL53" s="197"/>
      <c r="BM53" s="215"/>
      <c r="BN53" s="221"/>
      <c r="BO53" s="222" t="str">
        <f t="shared" si="1"/>
        <v/>
      </c>
      <c r="BP53" s="217" t="str">
        <f t="shared" si="2"/>
        <v/>
      </c>
      <c r="BQ53" s="215"/>
      <c r="BR53" s="224"/>
      <c r="BS53" s="225"/>
      <c r="BT53" s="223"/>
      <c r="BU53" s="215"/>
      <c r="BV53" s="226"/>
      <c r="BW53" s="222" t="str">
        <f t="shared" si="3"/>
        <v/>
      </c>
      <c r="BX53" s="223" t="str">
        <f t="shared" si="4"/>
        <v/>
      </c>
      <c r="BY53" s="215"/>
      <c r="BZ53" s="227"/>
      <c r="CA53" s="227"/>
      <c r="CB53" s="228"/>
      <c r="CC53" s="229"/>
      <c r="CD53" s="230" t="str">
        <f t="shared" si="5"/>
        <v/>
      </c>
      <c r="CE53" s="231" t="str">
        <f t="shared" si="6"/>
        <v/>
      </c>
      <c r="CF53" s="232" t="str">
        <f t="shared" si="7"/>
        <v/>
      </c>
      <c r="CG53" s="233" t="str">
        <f t="shared" si="8"/>
        <v/>
      </c>
      <c r="CH53" s="207" t="str">
        <f>IF(OR(G53="",CC53= ""), "", IF(ISERROR(SMALL((CJ53,CN53,CV53), 1)-CC53), "",  SMALL((CJ53,CN53,CV53), 1)-CC53))</f>
        <v/>
      </c>
      <c r="CI53" s="234"/>
      <c r="CJ53" s="235"/>
      <c r="CK53" s="236"/>
      <c r="CL53" s="222" t="str">
        <f t="shared" si="9"/>
        <v/>
      </c>
      <c r="CM53" s="237" t="str">
        <f>IF(OR(G53="", CJ53="",CK53=""), "", IF(ISERROR(SMALL((CN53,CV53), 1)-CK53), "",  SMALL((CN53,CV53), 1)-CK53))</f>
        <v/>
      </c>
      <c r="CN53" s="235"/>
      <c r="CO53" s="236"/>
      <c r="CP53" s="224" t="str">
        <f t="shared" si="10"/>
        <v/>
      </c>
      <c r="CQ53" s="235"/>
      <c r="CR53" s="236"/>
      <c r="CS53" s="222" t="str">
        <f t="shared" si="11"/>
        <v/>
      </c>
      <c r="CT53" s="237" t="str">
        <f t="shared" si="12"/>
        <v/>
      </c>
      <c r="CU53" s="238"/>
      <c r="CV53" s="239"/>
      <c r="CW53" s="240"/>
    </row>
    <row r="54" spans="2:101" ht="16.5" customHeight="1">
      <c r="B54" s="122"/>
      <c r="E54" s="122"/>
      <c r="F54" s="194"/>
      <c r="G54" s="195"/>
      <c r="H54" s="195"/>
      <c r="I54" s="195"/>
      <c r="J54" s="196"/>
      <c r="K54" s="197"/>
      <c r="L54" s="198"/>
      <c r="M54" s="199"/>
      <c r="N54" s="200"/>
      <c r="O54" s="201"/>
      <c r="P54" s="201"/>
      <c r="Q54" s="201"/>
      <c r="R54" s="201"/>
      <c r="S54" s="201"/>
      <c r="T54" s="201"/>
      <c r="U54" s="201"/>
      <c r="V54" s="201"/>
      <c r="W54" s="201"/>
      <c r="X54" s="202"/>
      <c r="Y54" s="203"/>
      <c r="Z54" s="204"/>
      <c r="AA54" s="205"/>
      <c r="AB54" s="206"/>
      <c r="AC54" s="206"/>
      <c r="AD54" s="194"/>
      <c r="AE54" s="201"/>
      <c r="AF54" s="207"/>
      <c r="AG54" s="208"/>
      <c r="AH54" s="209"/>
      <c r="AI54" s="210"/>
      <c r="AJ54" s="197"/>
      <c r="AK54" s="201"/>
      <c r="AL54" s="196"/>
      <c r="AM54" s="201"/>
      <c r="AN54" s="201"/>
      <c r="AO54" s="201"/>
      <c r="AP54" s="211"/>
      <c r="AQ54" s="212"/>
      <c r="AR54" s="201"/>
      <c r="AS54" s="201"/>
      <c r="AT54" s="201"/>
      <c r="AU54" s="201"/>
      <c r="AV54" s="202"/>
      <c r="AW54" s="194"/>
      <c r="AX54" s="201"/>
      <c r="AY54" s="213"/>
      <c r="AZ54" s="214"/>
      <c r="BA54" s="215"/>
      <c r="BB54" s="216"/>
      <c r="BC54" s="217" t="str">
        <f t="shared" si="0"/>
        <v/>
      </c>
      <c r="BD54" s="218"/>
      <c r="BE54" s="219"/>
      <c r="BF54" s="220"/>
      <c r="BG54" s="219"/>
      <c r="BH54" s="219"/>
      <c r="BI54" s="220"/>
      <c r="BJ54" s="218"/>
      <c r="BK54" s="219"/>
      <c r="BL54" s="197"/>
      <c r="BM54" s="215"/>
      <c r="BN54" s="221"/>
      <c r="BO54" s="222" t="str">
        <f t="shared" si="1"/>
        <v/>
      </c>
      <c r="BP54" s="217" t="str">
        <f t="shared" si="2"/>
        <v/>
      </c>
      <c r="BQ54" s="215"/>
      <c r="BR54" s="224"/>
      <c r="BS54" s="225"/>
      <c r="BT54" s="223"/>
      <c r="BU54" s="215"/>
      <c r="BV54" s="226"/>
      <c r="BW54" s="222" t="str">
        <f t="shared" si="3"/>
        <v/>
      </c>
      <c r="BX54" s="223" t="str">
        <f t="shared" si="4"/>
        <v/>
      </c>
      <c r="BY54" s="215"/>
      <c r="BZ54" s="227"/>
      <c r="CA54" s="227"/>
      <c r="CB54" s="228"/>
      <c r="CC54" s="229"/>
      <c r="CD54" s="230" t="str">
        <f t="shared" si="5"/>
        <v/>
      </c>
      <c r="CE54" s="231" t="str">
        <f t="shared" si="6"/>
        <v/>
      </c>
      <c r="CF54" s="232" t="str">
        <f t="shared" si="7"/>
        <v/>
      </c>
      <c r="CG54" s="233" t="str">
        <f t="shared" si="8"/>
        <v/>
      </c>
      <c r="CH54" s="207" t="str">
        <f>IF(OR(G54="",CC54= ""), "", IF(ISERROR(SMALL((CJ54,CN54,CV54), 1)-CC54), "",  SMALL((CJ54,CN54,CV54), 1)-CC54))</f>
        <v/>
      </c>
      <c r="CI54" s="234"/>
      <c r="CJ54" s="235"/>
      <c r="CK54" s="236"/>
      <c r="CL54" s="222" t="str">
        <f t="shared" si="9"/>
        <v/>
      </c>
      <c r="CM54" s="237" t="str">
        <f>IF(OR(G54="", CJ54="",CK54=""), "", IF(ISERROR(SMALL((CN54,CV54), 1)-CK54), "",  SMALL((CN54,CV54), 1)-CK54))</f>
        <v/>
      </c>
      <c r="CN54" s="235"/>
      <c r="CO54" s="236"/>
      <c r="CP54" s="224" t="str">
        <f t="shared" si="10"/>
        <v/>
      </c>
      <c r="CQ54" s="235"/>
      <c r="CR54" s="236"/>
      <c r="CS54" s="222" t="str">
        <f t="shared" si="11"/>
        <v/>
      </c>
      <c r="CT54" s="237" t="str">
        <f t="shared" si="12"/>
        <v/>
      </c>
      <c r="CU54" s="238"/>
      <c r="CV54" s="239"/>
      <c r="CW54" s="240"/>
    </row>
    <row r="55" spans="2:101" ht="16.5" customHeight="1">
      <c r="B55" s="122"/>
      <c r="E55" s="122"/>
      <c r="F55" s="194"/>
      <c r="G55" s="195"/>
      <c r="H55" s="195"/>
      <c r="I55" s="195"/>
      <c r="J55" s="196"/>
      <c r="K55" s="197"/>
      <c r="L55" s="198"/>
      <c r="M55" s="199"/>
      <c r="N55" s="200"/>
      <c r="O55" s="201"/>
      <c r="P55" s="201"/>
      <c r="Q55" s="201"/>
      <c r="R55" s="201"/>
      <c r="S55" s="201"/>
      <c r="T55" s="201"/>
      <c r="U55" s="201"/>
      <c r="V55" s="201"/>
      <c r="W55" s="201"/>
      <c r="X55" s="202"/>
      <c r="Y55" s="203"/>
      <c r="Z55" s="204"/>
      <c r="AA55" s="205"/>
      <c r="AB55" s="206"/>
      <c r="AC55" s="206"/>
      <c r="AD55" s="194"/>
      <c r="AE55" s="201"/>
      <c r="AF55" s="207"/>
      <c r="AG55" s="208"/>
      <c r="AH55" s="209"/>
      <c r="AI55" s="210"/>
      <c r="AJ55" s="197"/>
      <c r="AK55" s="201"/>
      <c r="AL55" s="196"/>
      <c r="AM55" s="201"/>
      <c r="AN55" s="201"/>
      <c r="AO55" s="201"/>
      <c r="AP55" s="211"/>
      <c r="AQ55" s="212"/>
      <c r="AR55" s="201"/>
      <c r="AS55" s="201"/>
      <c r="AT55" s="201"/>
      <c r="AU55" s="201"/>
      <c r="AV55" s="202"/>
      <c r="AW55" s="194"/>
      <c r="AX55" s="201"/>
      <c r="AY55" s="213"/>
      <c r="AZ55" s="214"/>
      <c r="BA55" s="215"/>
      <c r="BB55" s="216"/>
      <c r="BC55" s="217" t="str">
        <f t="shared" si="0"/>
        <v/>
      </c>
      <c r="BD55" s="218"/>
      <c r="BE55" s="219"/>
      <c r="BF55" s="220"/>
      <c r="BG55" s="219"/>
      <c r="BH55" s="219"/>
      <c r="BI55" s="220"/>
      <c r="BJ55" s="218"/>
      <c r="BK55" s="219"/>
      <c r="BL55" s="197"/>
      <c r="BM55" s="215"/>
      <c r="BN55" s="221"/>
      <c r="BO55" s="222" t="str">
        <f t="shared" si="1"/>
        <v/>
      </c>
      <c r="BP55" s="217" t="str">
        <f t="shared" si="2"/>
        <v/>
      </c>
      <c r="BQ55" s="215"/>
      <c r="BR55" s="224"/>
      <c r="BS55" s="225"/>
      <c r="BT55" s="223"/>
      <c r="BU55" s="215"/>
      <c r="BV55" s="226"/>
      <c r="BW55" s="222" t="str">
        <f t="shared" si="3"/>
        <v/>
      </c>
      <c r="BX55" s="223" t="str">
        <f t="shared" si="4"/>
        <v/>
      </c>
      <c r="BY55" s="215"/>
      <c r="BZ55" s="227"/>
      <c r="CA55" s="227"/>
      <c r="CB55" s="228"/>
      <c r="CC55" s="229"/>
      <c r="CD55" s="230" t="str">
        <f t="shared" si="5"/>
        <v/>
      </c>
      <c r="CE55" s="231" t="str">
        <f t="shared" si="6"/>
        <v/>
      </c>
      <c r="CF55" s="232" t="str">
        <f t="shared" si="7"/>
        <v/>
      </c>
      <c r="CG55" s="233" t="str">
        <f t="shared" si="8"/>
        <v/>
      </c>
      <c r="CH55" s="207" t="str">
        <f>IF(OR(G55="",CC55= ""), "", IF(ISERROR(SMALL((CJ55,CN55,CV55), 1)-CC55), "",  SMALL((CJ55,CN55,CV55), 1)-CC55))</f>
        <v/>
      </c>
      <c r="CI55" s="234"/>
      <c r="CJ55" s="235"/>
      <c r="CK55" s="236"/>
      <c r="CL55" s="222" t="str">
        <f t="shared" si="9"/>
        <v/>
      </c>
      <c r="CM55" s="237" t="str">
        <f>IF(OR(G55="", CJ55="",CK55=""), "", IF(ISERROR(SMALL((CN55,CV55), 1)-CK55), "",  SMALL((CN55,CV55), 1)-CK55))</f>
        <v/>
      </c>
      <c r="CN55" s="235"/>
      <c r="CO55" s="236"/>
      <c r="CP55" s="224" t="str">
        <f t="shared" si="10"/>
        <v/>
      </c>
      <c r="CQ55" s="235"/>
      <c r="CR55" s="236"/>
      <c r="CS55" s="222" t="str">
        <f t="shared" si="11"/>
        <v/>
      </c>
      <c r="CT55" s="237" t="str">
        <f t="shared" si="12"/>
        <v/>
      </c>
      <c r="CU55" s="238"/>
      <c r="CV55" s="239"/>
      <c r="CW55" s="240"/>
    </row>
    <row r="56" spans="2:101" ht="16.5" customHeight="1">
      <c r="B56" s="122"/>
      <c r="E56" s="122"/>
      <c r="F56" s="194"/>
      <c r="G56" s="195"/>
      <c r="H56" s="195"/>
      <c r="I56" s="195"/>
      <c r="J56" s="196"/>
      <c r="K56" s="197"/>
      <c r="L56" s="198"/>
      <c r="M56" s="199"/>
      <c r="N56" s="200"/>
      <c r="O56" s="201"/>
      <c r="P56" s="201"/>
      <c r="Q56" s="201"/>
      <c r="R56" s="201"/>
      <c r="S56" s="201"/>
      <c r="T56" s="201"/>
      <c r="U56" s="201"/>
      <c r="V56" s="201"/>
      <c r="W56" s="201"/>
      <c r="X56" s="202"/>
      <c r="Y56" s="203"/>
      <c r="Z56" s="204"/>
      <c r="AA56" s="205"/>
      <c r="AB56" s="206"/>
      <c r="AC56" s="206"/>
      <c r="AD56" s="194"/>
      <c r="AE56" s="201"/>
      <c r="AF56" s="207"/>
      <c r="AG56" s="208"/>
      <c r="AH56" s="209"/>
      <c r="AI56" s="210"/>
      <c r="AJ56" s="197"/>
      <c r="AK56" s="201"/>
      <c r="AL56" s="196"/>
      <c r="AM56" s="201"/>
      <c r="AN56" s="201"/>
      <c r="AO56" s="201"/>
      <c r="AP56" s="211"/>
      <c r="AQ56" s="212"/>
      <c r="AR56" s="201"/>
      <c r="AS56" s="201"/>
      <c r="AT56" s="201"/>
      <c r="AU56" s="201"/>
      <c r="AV56" s="202"/>
      <c r="AW56" s="194"/>
      <c r="AX56" s="201"/>
      <c r="AY56" s="213"/>
      <c r="AZ56" s="214"/>
      <c r="BA56" s="215"/>
      <c r="BB56" s="216"/>
      <c r="BC56" s="217" t="str">
        <f t="shared" si="0"/>
        <v/>
      </c>
      <c r="BD56" s="218"/>
      <c r="BE56" s="219"/>
      <c r="BF56" s="220"/>
      <c r="BG56" s="219"/>
      <c r="BH56" s="219"/>
      <c r="BI56" s="220"/>
      <c r="BJ56" s="218"/>
      <c r="BK56" s="219"/>
      <c r="BL56" s="197"/>
      <c r="BM56" s="215"/>
      <c r="BN56" s="221"/>
      <c r="BO56" s="222" t="str">
        <f t="shared" si="1"/>
        <v/>
      </c>
      <c r="BP56" s="217" t="str">
        <f t="shared" si="2"/>
        <v/>
      </c>
      <c r="BQ56" s="215"/>
      <c r="BR56" s="224"/>
      <c r="BS56" s="225"/>
      <c r="BT56" s="223"/>
      <c r="BU56" s="215"/>
      <c r="BV56" s="226"/>
      <c r="BW56" s="222" t="str">
        <f t="shared" si="3"/>
        <v/>
      </c>
      <c r="BX56" s="223" t="str">
        <f t="shared" si="4"/>
        <v/>
      </c>
      <c r="BY56" s="215"/>
      <c r="BZ56" s="227"/>
      <c r="CA56" s="227"/>
      <c r="CB56" s="228"/>
      <c r="CC56" s="229"/>
      <c r="CD56" s="230" t="str">
        <f t="shared" si="5"/>
        <v/>
      </c>
      <c r="CE56" s="231" t="str">
        <f t="shared" si="6"/>
        <v/>
      </c>
      <c r="CF56" s="232" t="str">
        <f t="shared" si="7"/>
        <v/>
      </c>
      <c r="CG56" s="233" t="str">
        <f t="shared" si="8"/>
        <v/>
      </c>
      <c r="CH56" s="207" t="str">
        <f>IF(OR(G56="",CC56= ""), "", IF(ISERROR(SMALL((CJ56,CN56,CV56), 1)-CC56), "",  SMALL((CJ56,CN56,CV56), 1)-CC56))</f>
        <v/>
      </c>
      <c r="CI56" s="234"/>
      <c r="CJ56" s="235"/>
      <c r="CK56" s="236"/>
      <c r="CL56" s="222" t="str">
        <f t="shared" si="9"/>
        <v/>
      </c>
      <c r="CM56" s="237" t="str">
        <f>IF(OR(G56="", CJ56="",CK56=""), "", IF(ISERROR(SMALL((CN56,CV56), 1)-CK56), "",  SMALL((CN56,CV56), 1)-CK56))</f>
        <v/>
      </c>
      <c r="CN56" s="235"/>
      <c r="CO56" s="236"/>
      <c r="CP56" s="224" t="str">
        <f t="shared" si="10"/>
        <v/>
      </c>
      <c r="CQ56" s="235"/>
      <c r="CR56" s="236"/>
      <c r="CS56" s="222" t="str">
        <f t="shared" si="11"/>
        <v/>
      </c>
      <c r="CT56" s="237" t="str">
        <f t="shared" si="12"/>
        <v/>
      </c>
      <c r="CU56" s="238"/>
      <c r="CV56" s="239"/>
      <c r="CW56" s="240"/>
    </row>
    <row r="57" spans="2:101" ht="16.5" customHeight="1">
      <c r="B57" s="122"/>
      <c r="E57" s="122"/>
      <c r="F57" s="194"/>
      <c r="G57" s="195"/>
      <c r="H57" s="195"/>
      <c r="I57" s="195"/>
      <c r="J57" s="196"/>
      <c r="K57" s="197"/>
      <c r="L57" s="198"/>
      <c r="M57" s="199"/>
      <c r="N57" s="200"/>
      <c r="O57" s="201"/>
      <c r="P57" s="201"/>
      <c r="Q57" s="201"/>
      <c r="R57" s="201"/>
      <c r="S57" s="201"/>
      <c r="T57" s="201"/>
      <c r="U57" s="201"/>
      <c r="V57" s="201"/>
      <c r="W57" s="201"/>
      <c r="X57" s="202"/>
      <c r="Y57" s="203"/>
      <c r="Z57" s="204"/>
      <c r="AA57" s="205"/>
      <c r="AB57" s="206"/>
      <c r="AC57" s="206"/>
      <c r="AD57" s="194"/>
      <c r="AE57" s="201"/>
      <c r="AF57" s="207"/>
      <c r="AG57" s="208"/>
      <c r="AH57" s="209"/>
      <c r="AI57" s="210"/>
      <c r="AJ57" s="197"/>
      <c r="AK57" s="201"/>
      <c r="AL57" s="196"/>
      <c r="AM57" s="201"/>
      <c r="AN57" s="201"/>
      <c r="AO57" s="201"/>
      <c r="AP57" s="211"/>
      <c r="AQ57" s="212"/>
      <c r="AR57" s="201"/>
      <c r="AS57" s="201"/>
      <c r="AT57" s="201"/>
      <c r="AU57" s="201"/>
      <c r="AV57" s="202"/>
      <c r="AW57" s="194"/>
      <c r="AX57" s="201"/>
      <c r="AY57" s="213"/>
      <c r="AZ57" s="214"/>
      <c r="BA57" s="215"/>
      <c r="BB57" s="216"/>
      <c r="BC57" s="217" t="str">
        <f t="shared" si="0"/>
        <v/>
      </c>
      <c r="BD57" s="218"/>
      <c r="BE57" s="219"/>
      <c r="BF57" s="220"/>
      <c r="BG57" s="219"/>
      <c r="BH57" s="219"/>
      <c r="BI57" s="220"/>
      <c r="BJ57" s="218"/>
      <c r="BK57" s="219"/>
      <c r="BL57" s="197"/>
      <c r="BM57" s="215"/>
      <c r="BN57" s="221"/>
      <c r="BO57" s="222" t="str">
        <f t="shared" si="1"/>
        <v/>
      </c>
      <c r="BP57" s="217" t="str">
        <f t="shared" si="2"/>
        <v/>
      </c>
      <c r="BQ57" s="215"/>
      <c r="BR57" s="224"/>
      <c r="BS57" s="225"/>
      <c r="BT57" s="223"/>
      <c r="BU57" s="215"/>
      <c r="BV57" s="226"/>
      <c r="BW57" s="222" t="str">
        <f t="shared" si="3"/>
        <v/>
      </c>
      <c r="BX57" s="223" t="str">
        <f t="shared" si="4"/>
        <v/>
      </c>
      <c r="BY57" s="215"/>
      <c r="BZ57" s="227"/>
      <c r="CA57" s="227"/>
      <c r="CB57" s="228"/>
      <c r="CC57" s="229"/>
      <c r="CD57" s="230" t="str">
        <f t="shared" si="5"/>
        <v/>
      </c>
      <c r="CE57" s="231" t="str">
        <f t="shared" si="6"/>
        <v/>
      </c>
      <c r="CF57" s="232" t="str">
        <f t="shared" si="7"/>
        <v/>
      </c>
      <c r="CG57" s="233" t="str">
        <f t="shared" si="8"/>
        <v/>
      </c>
      <c r="CH57" s="207" t="str">
        <f>IF(OR(G57="",CC57= ""), "", IF(ISERROR(SMALL((CJ57,CN57,CV57), 1)-CC57), "",  SMALL((CJ57,CN57,CV57), 1)-CC57))</f>
        <v/>
      </c>
      <c r="CI57" s="234"/>
      <c r="CJ57" s="235"/>
      <c r="CK57" s="236"/>
      <c r="CL57" s="222" t="str">
        <f t="shared" si="9"/>
        <v/>
      </c>
      <c r="CM57" s="237" t="str">
        <f>IF(OR(G57="", CJ57="",CK57=""), "", IF(ISERROR(SMALL((CN57,CV57), 1)-CK57), "",  SMALL((CN57,CV57), 1)-CK57))</f>
        <v/>
      </c>
      <c r="CN57" s="235"/>
      <c r="CO57" s="236"/>
      <c r="CP57" s="224" t="str">
        <f t="shared" si="10"/>
        <v/>
      </c>
      <c r="CQ57" s="235"/>
      <c r="CR57" s="236"/>
      <c r="CS57" s="222" t="str">
        <f t="shared" si="11"/>
        <v/>
      </c>
      <c r="CT57" s="237" t="str">
        <f t="shared" si="12"/>
        <v/>
      </c>
      <c r="CU57" s="238"/>
      <c r="CV57" s="239"/>
      <c r="CW57" s="240"/>
    </row>
    <row r="58" spans="2:101" ht="16.5" customHeight="1">
      <c r="B58" s="122"/>
      <c r="E58" s="122"/>
      <c r="F58" s="194"/>
      <c r="G58" s="195"/>
      <c r="H58" s="195"/>
      <c r="I58" s="195"/>
      <c r="J58" s="196"/>
      <c r="K58" s="197"/>
      <c r="L58" s="198"/>
      <c r="M58" s="199"/>
      <c r="N58" s="200"/>
      <c r="O58" s="201"/>
      <c r="P58" s="201"/>
      <c r="Q58" s="201"/>
      <c r="R58" s="201"/>
      <c r="S58" s="201"/>
      <c r="T58" s="201"/>
      <c r="U58" s="201"/>
      <c r="V58" s="201"/>
      <c r="W58" s="201"/>
      <c r="X58" s="202"/>
      <c r="Y58" s="203"/>
      <c r="Z58" s="204"/>
      <c r="AA58" s="205"/>
      <c r="AB58" s="206"/>
      <c r="AC58" s="206"/>
      <c r="AD58" s="194"/>
      <c r="AE58" s="201"/>
      <c r="AF58" s="207"/>
      <c r="AG58" s="208"/>
      <c r="AH58" s="209"/>
      <c r="AI58" s="210"/>
      <c r="AJ58" s="197"/>
      <c r="AK58" s="201"/>
      <c r="AL58" s="196"/>
      <c r="AM58" s="201"/>
      <c r="AN58" s="201"/>
      <c r="AO58" s="201"/>
      <c r="AP58" s="211"/>
      <c r="AQ58" s="212"/>
      <c r="AR58" s="201"/>
      <c r="AS58" s="201"/>
      <c r="AT58" s="201"/>
      <c r="AU58" s="201"/>
      <c r="AV58" s="202"/>
      <c r="AW58" s="194"/>
      <c r="AX58" s="201"/>
      <c r="AY58" s="213"/>
      <c r="AZ58" s="214"/>
      <c r="BA58" s="215"/>
      <c r="BB58" s="216"/>
      <c r="BC58" s="217" t="str">
        <f t="shared" si="0"/>
        <v/>
      </c>
      <c r="BD58" s="218"/>
      <c r="BE58" s="219"/>
      <c r="BF58" s="220"/>
      <c r="BG58" s="219"/>
      <c r="BH58" s="219"/>
      <c r="BI58" s="220"/>
      <c r="BJ58" s="218"/>
      <c r="BK58" s="219"/>
      <c r="BL58" s="197"/>
      <c r="BM58" s="215"/>
      <c r="BN58" s="221"/>
      <c r="BO58" s="222" t="str">
        <f t="shared" si="1"/>
        <v/>
      </c>
      <c r="BP58" s="217" t="str">
        <f t="shared" si="2"/>
        <v/>
      </c>
      <c r="BQ58" s="215"/>
      <c r="BR58" s="224"/>
      <c r="BS58" s="225"/>
      <c r="BT58" s="223"/>
      <c r="BU58" s="215"/>
      <c r="BV58" s="226"/>
      <c r="BW58" s="222" t="str">
        <f t="shared" si="3"/>
        <v/>
      </c>
      <c r="BX58" s="223" t="str">
        <f t="shared" si="4"/>
        <v/>
      </c>
      <c r="BY58" s="215"/>
      <c r="BZ58" s="227"/>
      <c r="CA58" s="227"/>
      <c r="CB58" s="228"/>
      <c r="CC58" s="229"/>
      <c r="CD58" s="230" t="str">
        <f t="shared" si="5"/>
        <v/>
      </c>
      <c r="CE58" s="231" t="str">
        <f t="shared" si="6"/>
        <v/>
      </c>
      <c r="CF58" s="232" t="str">
        <f t="shared" si="7"/>
        <v/>
      </c>
      <c r="CG58" s="233" t="str">
        <f t="shared" si="8"/>
        <v/>
      </c>
      <c r="CH58" s="207" t="str">
        <f>IF(OR(G58="",CC58= ""), "", IF(ISERROR(SMALL((CJ58,CN58,CV58), 1)-CC58), "",  SMALL((CJ58,CN58,CV58), 1)-CC58))</f>
        <v/>
      </c>
      <c r="CI58" s="234"/>
      <c r="CJ58" s="235"/>
      <c r="CK58" s="236"/>
      <c r="CL58" s="222" t="str">
        <f t="shared" si="9"/>
        <v/>
      </c>
      <c r="CM58" s="237" t="str">
        <f>IF(OR(G58="", CJ58="",CK58=""), "", IF(ISERROR(SMALL((CN58,CV58), 1)-CK58), "",  SMALL((CN58,CV58), 1)-CK58))</f>
        <v/>
      </c>
      <c r="CN58" s="235"/>
      <c r="CO58" s="236"/>
      <c r="CP58" s="224" t="str">
        <f t="shared" si="10"/>
        <v/>
      </c>
      <c r="CQ58" s="235"/>
      <c r="CR58" s="236"/>
      <c r="CS58" s="222" t="str">
        <f t="shared" si="11"/>
        <v/>
      </c>
      <c r="CT58" s="237" t="str">
        <f t="shared" si="12"/>
        <v/>
      </c>
      <c r="CU58" s="238"/>
      <c r="CV58" s="239"/>
      <c r="CW58" s="240"/>
    </row>
    <row r="59" spans="2:101" ht="16.5" customHeight="1">
      <c r="B59" s="122"/>
      <c r="E59" s="122"/>
      <c r="F59" s="194"/>
      <c r="G59" s="195"/>
      <c r="H59" s="195"/>
      <c r="I59" s="195"/>
      <c r="J59" s="196"/>
      <c r="K59" s="197"/>
      <c r="L59" s="198"/>
      <c r="M59" s="199"/>
      <c r="N59" s="200"/>
      <c r="O59" s="201"/>
      <c r="P59" s="201"/>
      <c r="Q59" s="201"/>
      <c r="R59" s="201"/>
      <c r="S59" s="201"/>
      <c r="T59" s="201"/>
      <c r="U59" s="201"/>
      <c r="V59" s="201"/>
      <c r="W59" s="201"/>
      <c r="X59" s="202"/>
      <c r="Y59" s="203"/>
      <c r="Z59" s="204"/>
      <c r="AA59" s="205"/>
      <c r="AB59" s="206"/>
      <c r="AC59" s="206"/>
      <c r="AD59" s="194"/>
      <c r="AE59" s="201"/>
      <c r="AF59" s="207"/>
      <c r="AG59" s="208"/>
      <c r="AH59" s="209"/>
      <c r="AI59" s="210"/>
      <c r="AJ59" s="197"/>
      <c r="AK59" s="201"/>
      <c r="AL59" s="196"/>
      <c r="AM59" s="201"/>
      <c r="AN59" s="201"/>
      <c r="AO59" s="201"/>
      <c r="AP59" s="211"/>
      <c r="AQ59" s="212"/>
      <c r="AR59" s="201"/>
      <c r="AS59" s="201"/>
      <c r="AT59" s="201"/>
      <c r="AU59" s="201"/>
      <c r="AV59" s="202"/>
      <c r="AW59" s="194"/>
      <c r="AX59" s="201"/>
      <c r="AY59" s="213"/>
      <c r="AZ59" s="214"/>
      <c r="BA59" s="215"/>
      <c r="BB59" s="216"/>
      <c r="BC59" s="217" t="str">
        <f t="shared" si="0"/>
        <v/>
      </c>
      <c r="BD59" s="218"/>
      <c r="BE59" s="219"/>
      <c r="BF59" s="220"/>
      <c r="BG59" s="219"/>
      <c r="BH59" s="219"/>
      <c r="BI59" s="220"/>
      <c r="BJ59" s="218"/>
      <c r="BK59" s="219"/>
      <c r="BL59" s="197"/>
      <c r="BM59" s="215"/>
      <c r="BN59" s="221"/>
      <c r="BO59" s="222" t="str">
        <f t="shared" si="1"/>
        <v/>
      </c>
      <c r="BP59" s="217" t="str">
        <f t="shared" si="2"/>
        <v/>
      </c>
      <c r="BQ59" s="215"/>
      <c r="BR59" s="224"/>
      <c r="BS59" s="225"/>
      <c r="BT59" s="223"/>
      <c r="BU59" s="215"/>
      <c r="BV59" s="226"/>
      <c r="BW59" s="222" t="str">
        <f t="shared" si="3"/>
        <v/>
      </c>
      <c r="BX59" s="223" t="str">
        <f t="shared" si="4"/>
        <v/>
      </c>
      <c r="BY59" s="215"/>
      <c r="BZ59" s="227"/>
      <c r="CA59" s="227"/>
      <c r="CB59" s="228"/>
      <c r="CC59" s="229"/>
      <c r="CD59" s="230" t="str">
        <f t="shared" si="5"/>
        <v/>
      </c>
      <c r="CE59" s="231" t="str">
        <f t="shared" si="6"/>
        <v/>
      </c>
      <c r="CF59" s="232" t="str">
        <f t="shared" si="7"/>
        <v/>
      </c>
      <c r="CG59" s="233" t="str">
        <f t="shared" si="8"/>
        <v/>
      </c>
      <c r="CH59" s="207" t="str">
        <f>IF(OR(G59="",CC59= ""), "", IF(ISERROR(SMALL((CJ59,CN59,CV59), 1)-CC59), "",  SMALL((CJ59,CN59,CV59), 1)-CC59))</f>
        <v/>
      </c>
      <c r="CI59" s="234"/>
      <c r="CJ59" s="235"/>
      <c r="CK59" s="236"/>
      <c r="CL59" s="222" t="str">
        <f t="shared" si="9"/>
        <v/>
      </c>
      <c r="CM59" s="237" t="str">
        <f>IF(OR(G59="", CJ59="",CK59=""), "", IF(ISERROR(SMALL((CN59,CV59), 1)-CK59), "",  SMALL((CN59,CV59), 1)-CK59))</f>
        <v/>
      </c>
      <c r="CN59" s="235"/>
      <c r="CO59" s="236"/>
      <c r="CP59" s="224" t="str">
        <f t="shared" si="10"/>
        <v/>
      </c>
      <c r="CQ59" s="235"/>
      <c r="CR59" s="236"/>
      <c r="CS59" s="222" t="str">
        <f t="shared" si="11"/>
        <v/>
      </c>
      <c r="CT59" s="237" t="str">
        <f t="shared" si="12"/>
        <v/>
      </c>
      <c r="CU59" s="238"/>
      <c r="CV59" s="239"/>
      <c r="CW59" s="240"/>
    </row>
    <row r="60" spans="2:101" ht="16.5" customHeight="1">
      <c r="B60" s="122"/>
      <c r="E60" s="122"/>
      <c r="F60" s="194"/>
      <c r="G60" s="195"/>
      <c r="H60" s="195"/>
      <c r="I60" s="195"/>
      <c r="J60" s="196"/>
      <c r="K60" s="197"/>
      <c r="L60" s="198"/>
      <c r="M60" s="199"/>
      <c r="N60" s="200"/>
      <c r="O60" s="201"/>
      <c r="P60" s="201"/>
      <c r="Q60" s="201"/>
      <c r="R60" s="201"/>
      <c r="S60" s="201"/>
      <c r="T60" s="201"/>
      <c r="U60" s="201"/>
      <c r="V60" s="201"/>
      <c r="W60" s="201"/>
      <c r="X60" s="202"/>
      <c r="Y60" s="203"/>
      <c r="Z60" s="204"/>
      <c r="AA60" s="205"/>
      <c r="AB60" s="206"/>
      <c r="AC60" s="206"/>
      <c r="AD60" s="194"/>
      <c r="AE60" s="201"/>
      <c r="AF60" s="207"/>
      <c r="AG60" s="208"/>
      <c r="AH60" s="209"/>
      <c r="AI60" s="210"/>
      <c r="AJ60" s="197"/>
      <c r="AK60" s="201"/>
      <c r="AL60" s="196"/>
      <c r="AM60" s="201"/>
      <c r="AN60" s="201"/>
      <c r="AO60" s="201"/>
      <c r="AP60" s="211"/>
      <c r="AQ60" s="212"/>
      <c r="AR60" s="201"/>
      <c r="AS60" s="201"/>
      <c r="AT60" s="201"/>
      <c r="AU60" s="201"/>
      <c r="AV60" s="202"/>
      <c r="AW60" s="194"/>
      <c r="AX60" s="201"/>
      <c r="AY60" s="213"/>
      <c r="AZ60" s="214"/>
      <c r="BA60" s="215"/>
      <c r="BB60" s="216"/>
      <c r="BC60" s="217" t="str">
        <f t="shared" si="0"/>
        <v/>
      </c>
      <c r="BD60" s="218"/>
      <c r="BE60" s="219"/>
      <c r="BF60" s="220"/>
      <c r="BG60" s="219"/>
      <c r="BH60" s="219"/>
      <c r="BI60" s="220"/>
      <c r="BJ60" s="218"/>
      <c r="BK60" s="219"/>
      <c r="BL60" s="197"/>
      <c r="BM60" s="215"/>
      <c r="BN60" s="221"/>
      <c r="BO60" s="222" t="str">
        <f t="shared" si="1"/>
        <v/>
      </c>
      <c r="BP60" s="217" t="str">
        <f t="shared" si="2"/>
        <v/>
      </c>
      <c r="BQ60" s="215"/>
      <c r="BR60" s="224"/>
      <c r="BS60" s="225"/>
      <c r="BT60" s="223"/>
      <c r="BU60" s="215"/>
      <c r="BV60" s="226"/>
      <c r="BW60" s="222" t="str">
        <f t="shared" si="3"/>
        <v/>
      </c>
      <c r="BX60" s="223" t="str">
        <f t="shared" si="4"/>
        <v/>
      </c>
      <c r="BY60" s="215"/>
      <c r="BZ60" s="227"/>
      <c r="CA60" s="227"/>
      <c r="CB60" s="228"/>
      <c r="CC60" s="229"/>
      <c r="CD60" s="230" t="str">
        <f t="shared" si="5"/>
        <v/>
      </c>
      <c r="CE60" s="231" t="str">
        <f t="shared" si="6"/>
        <v/>
      </c>
      <c r="CF60" s="232" t="str">
        <f t="shared" si="7"/>
        <v/>
      </c>
      <c r="CG60" s="233" t="str">
        <f t="shared" si="8"/>
        <v/>
      </c>
      <c r="CH60" s="207" t="str">
        <f>IF(OR(G60="",CC60= ""), "", IF(ISERROR(SMALL((CJ60,CN60,CV60), 1)-CC60), "",  SMALL((CJ60,CN60,CV60), 1)-CC60))</f>
        <v/>
      </c>
      <c r="CI60" s="234"/>
      <c r="CJ60" s="235"/>
      <c r="CK60" s="236"/>
      <c r="CL60" s="222" t="str">
        <f t="shared" si="9"/>
        <v/>
      </c>
      <c r="CM60" s="237" t="str">
        <f>IF(OR(G60="", CJ60="",CK60=""), "", IF(ISERROR(SMALL((CN60,CV60), 1)-CK60), "",  SMALL((CN60,CV60), 1)-CK60))</f>
        <v/>
      </c>
      <c r="CN60" s="235"/>
      <c r="CO60" s="236"/>
      <c r="CP60" s="224" t="str">
        <f t="shared" si="10"/>
        <v/>
      </c>
      <c r="CQ60" s="235"/>
      <c r="CR60" s="236"/>
      <c r="CS60" s="222" t="str">
        <f t="shared" si="11"/>
        <v/>
      </c>
      <c r="CT60" s="237" t="str">
        <f t="shared" si="12"/>
        <v/>
      </c>
      <c r="CU60" s="238"/>
      <c r="CV60" s="239"/>
      <c r="CW60" s="240"/>
    </row>
    <row r="61" spans="2:101" ht="16.5" customHeight="1">
      <c r="B61" s="122"/>
      <c r="E61" s="122"/>
      <c r="F61" s="194"/>
      <c r="G61" s="195"/>
      <c r="H61" s="195"/>
      <c r="I61" s="195"/>
      <c r="J61" s="196"/>
      <c r="K61" s="197"/>
      <c r="L61" s="198"/>
      <c r="M61" s="199"/>
      <c r="N61" s="200"/>
      <c r="O61" s="201"/>
      <c r="P61" s="201"/>
      <c r="Q61" s="201"/>
      <c r="R61" s="201"/>
      <c r="S61" s="201"/>
      <c r="T61" s="201"/>
      <c r="U61" s="201"/>
      <c r="V61" s="201"/>
      <c r="W61" s="201"/>
      <c r="X61" s="202"/>
      <c r="Y61" s="203"/>
      <c r="Z61" s="204"/>
      <c r="AA61" s="205"/>
      <c r="AB61" s="206"/>
      <c r="AC61" s="206"/>
      <c r="AD61" s="194"/>
      <c r="AE61" s="201"/>
      <c r="AF61" s="207"/>
      <c r="AG61" s="208"/>
      <c r="AH61" s="209"/>
      <c r="AI61" s="210"/>
      <c r="AJ61" s="197"/>
      <c r="AK61" s="201"/>
      <c r="AL61" s="196"/>
      <c r="AM61" s="201"/>
      <c r="AN61" s="201"/>
      <c r="AO61" s="201"/>
      <c r="AP61" s="211"/>
      <c r="AQ61" s="212"/>
      <c r="AR61" s="201"/>
      <c r="AS61" s="201"/>
      <c r="AT61" s="201"/>
      <c r="AU61" s="201"/>
      <c r="AV61" s="202"/>
      <c r="AW61" s="194"/>
      <c r="AX61" s="201"/>
      <c r="AY61" s="213"/>
      <c r="AZ61" s="214"/>
      <c r="BA61" s="215"/>
      <c r="BB61" s="216"/>
      <c r="BC61" s="217" t="str">
        <f t="shared" si="0"/>
        <v/>
      </c>
      <c r="BD61" s="218"/>
      <c r="BE61" s="219"/>
      <c r="BF61" s="220"/>
      <c r="BG61" s="219"/>
      <c r="BH61" s="219"/>
      <c r="BI61" s="220"/>
      <c r="BJ61" s="218"/>
      <c r="BK61" s="219"/>
      <c r="BL61" s="197"/>
      <c r="BM61" s="215"/>
      <c r="BN61" s="221"/>
      <c r="BO61" s="222" t="str">
        <f t="shared" si="1"/>
        <v/>
      </c>
      <c r="BP61" s="217" t="str">
        <f t="shared" si="2"/>
        <v/>
      </c>
      <c r="BQ61" s="215"/>
      <c r="BR61" s="224"/>
      <c r="BS61" s="225"/>
      <c r="BT61" s="223"/>
      <c r="BU61" s="215"/>
      <c r="BV61" s="226"/>
      <c r="BW61" s="222" t="str">
        <f t="shared" si="3"/>
        <v/>
      </c>
      <c r="BX61" s="223" t="str">
        <f t="shared" si="4"/>
        <v/>
      </c>
      <c r="BY61" s="215"/>
      <c r="BZ61" s="227"/>
      <c r="CA61" s="227"/>
      <c r="CB61" s="228"/>
      <c r="CC61" s="229"/>
      <c r="CD61" s="230" t="str">
        <f t="shared" si="5"/>
        <v/>
      </c>
      <c r="CE61" s="231" t="str">
        <f t="shared" si="6"/>
        <v/>
      </c>
      <c r="CF61" s="232" t="str">
        <f t="shared" si="7"/>
        <v/>
      </c>
      <c r="CG61" s="233" t="str">
        <f t="shared" si="8"/>
        <v/>
      </c>
      <c r="CH61" s="207" t="str">
        <f>IF(OR(G61="",CC61= ""), "", IF(ISERROR(SMALL((CJ61,CN61,CV61), 1)-CC61), "",  SMALL((CJ61,CN61,CV61), 1)-CC61))</f>
        <v/>
      </c>
      <c r="CI61" s="234"/>
      <c r="CJ61" s="235"/>
      <c r="CK61" s="236"/>
      <c r="CL61" s="222" t="str">
        <f t="shared" si="9"/>
        <v/>
      </c>
      <c r="CM61" s="237" t="str">
        <f>IF(OR(G61="", CJ61="",CK61=""), "", IF(ISERROR(SMALL((CN61,CV61), 1)-CK61), "",  SMALL((CN61,CV61), 1)-CK61))</f>
        <v/>
      </c>
      <c r="CN61" s="235"/>
      <c r="CO61" s="236"/>
      <c r="CP61" s="224" t="str">
        <f t="shared" si="10"/>
        <v/>
      </c>
      <c r="CQ61" s="235"/>
      <c r="CR61" s="236"/>
      <c r="CS61" s="222" t="str">
        <f t="shared" si="11"/>
        <v/>
      </c>
      <c r="CT61" s="237" t="str">
        <f t="shared" si="12"/>
        <v/>
      </c>
      <c r="CU61" s="238"/>
      <c r="CV61" s="239"/>
      <c r="CW61" s="240"/>
    </row>
    <row r="62" spans="2:101" ht="16.5" customHeight="1">
      <c r="B62" s="122"/>
      <c r="E62" s="122"/>
      <c r="F62" s="194"/>
      <c r="G62" s="195"/>
      <c r="H62" s="195"/>
      <c r="I62" s="195"/>
      <c r="J62" s="196"/>
      <c r="K62" s="197"/>
      <c r="L62" s="198"/>
      <c r="M62" s="199"/>
      <c r="N62" s="200"/>
      <c r="O62" s="201"/>
      <c r="P62" s="201"/>
      <c r="Q62" s="201"/>
      <c r="R62" s="201"/>
      <c r="S62" s="201"/>
      <c r="T62" s="201"/>
      <c r="U62" s="201"/>
      <c r="V62" s="201"/>
      <c r="W62" s="201"/>
      <c r="X62" s="202"/>
      <c r="Y62" s="203"/>
      <c r="Z62" s="204"/>
      <c r="AA62" s="205"/>
      <c r="AB62" s="206"/>
      <c r="AC62" s="206"/>
      <c r="AD62" s="194"/>
      <c r="AE62" s="201"/>
      <c r="AF62" s="207"/>
      <c r="AG62" s="208"/>
      <c r="AH62" s="209"/>
      <c r="AI62" s="210"/>
      <c r="AJ62" s="197"/>
      <c r="AK62" s="201"/>
      <c r="AL62" s="196"/>
      <c r="AM62" s="201"/>
      <c r="AN62" s="201"/>
      <c r="AO62" s="201"/>
      <c r="AP62" s="211"/>
      <c r="AQ62" s="212"/>
      <c r="AR62" s="201"/>
      <c r="AS62" s="201"/>
      <c r="AT62" s="201"/>
      <c r="AU62" s="201"/>
      <c r="AV62" s="202"/>
      <c r="AW62" s="194"/>
      <c r="AX62" s="201"/>
      <c r="AY62" s="213"/>
      <c r="AZ62" s="214"/>
      <c r="BA62" s="215"/>
      <c r="BB62" s="216"/>
      <c r="BC62" s="217" t="str">
        <f t="shared" si="0"/>
        <v/>
      </c>
      <c r="BD62" s="218"/>
      <c r="BE62" s="219"/>
      <c r="BF62" s="220"/>
      <c r="BG62" s="219"/>
      <c r="BH62" s="219"/>
      <c r="BI62" s="220"/>
      <c r="BJ62" s="218"/>
      <c r="BK62" s="219"/>
      <c r="BL62" s="197"/>
      <c r="BM62" s="215"/>
      <c r="BN62" s="221"/>
      <c r="BO62" s="222" t="str">
        <f t="shared" si="1"/>
        <v/>
      </c>
      <c r="BP62" s="217" t="str">
        <f t="shared" si="2"/>
        <v/>
      </c>
      <c r="BQ62" s="215"/>
      <c r="BR62" s="224"/>
      <c r="BS62" s="225"/>
      <c r="BT62" s="223"/>
      <c r="BU62" s="215"/>
      <c r="BV62" s="226"/>
      <c r="BW62" s="222" t="str">
        <f t="shared" si="3"/>
        <v/>
      </c>
      <c r="BX62" s="223" t="str">
        <f t="shared" si="4"/>
        <v/>
      </c>
      <c r="BY62" s="215"/>
      <c r="BZ62" s="227"/>
      <c r="CA62" s="227"/>
      <c r="CB62" s="228"/>
      <c r="CC62" s="229"/>
      <c r="CD62" s="230" t="str">
        <f t="shared" si="5"/>
        <v/>
      </c>
      <c r="CE62" s="231" t="str">
        <f t="shared" si="6"/>
        <v/>
      </c>
      <c r="CF62" s="232" t="str">
        <f t="shared" si="7"/>
        <v/>
      </c>
      <c r="CG62" s="233" t="str">
        <f t="shared" si="8"/>
        <v/>
      </c>
      <c r="CH62" s="207" t="str">
        <f>IF(OR(G62="",CC62= ""), "", IF(ISERROR(SMALL((CJ62,CN62,CV62), 1)-CC62), "",  SMALL((CJ62,CN62,CV62), 1)-CC62))</f>
        <v/>
      </c>
      <c r="CI62" s="234"/>
      <c r="CJ62" s="235"/>
      <c r="CK62" s="236"/>
      <c r="CL62" s="222" t="str">
        <f t="shared" si="9"/>
        <v/>
      </c>
      <c r="CM62" s="237" t="str">
        <f>IF(OR(G62="", CJ62="",CK62=""), "", IF(ISERROR(SMALL((CN62,CV62), 1)-CK62), "",  SMALL((CN62,CV62), 1)-CK62))</f>
        <v/>
      </c>
      <c r="CN62" s="235"/>
      <c r="CO62" s="236"/>
      <c r="CP62" s="224" t="str">
        <f t="shared" si="10"/>
        <v/>
      </c>
      <c r="CQ62" s="235"/>
      <c r="CR62" s="236"/>
      <c r="CS62" s="222" t="str">
        <f t="shared" si="11"/>
        <v/>
      </c>
      <c r="CT62" s="237" t="str">
        <f t="shared" si="12"/>
        <v/>
      </c>
      <c r="CU62" s="238"/>
      <c r="CV62" s="239"/>
      <c r="CW62" s="240"/>
    </row>
    <row r="63" spans="2:101" ht="16.5" customHeight="1">
      <c r="B63" s="122"/>
      <c r="E63" s="122"/>
      <c r="F63" s="194"/>
      <c r="G63" s="195"/>
      <c r="H63" s="195"/>
      <c r="I63" s="195"/>
      <c r="J63" s="196"/>
      <c r="K63" s="197"/>
      <c r="L63" s="198"/>
      <c r="M63" s="199"/>
      <c r="N63" s="200"/>
      <c r="O63" s="201"/>
      <c r="P63" s="201"/>
      <c r="Q63" s="201"/>
      <c r="R63" s="201"/>
      <c r="S63" s="201"/>
      <c r="T63" s="201"/>
      <c r="U63" s="201"/>
      <c r="V63" s="201"/>
      <c r="W63" s="201"/>
      <c r="X63" s="202"/>
      <c r="Y63" s="203"/>
      <c r="Z63" s="204"/>
      <c r="AA63" s="205"/>
      <c r="AB63" s="206"/>
      <c r="AC63" s="206"/>
      <c r="AD63" s="194"/>
      <c r="AE63" s="201"/>
      <c r="AF63" s="207"/>
      <c r="AG63" s="208"/>
      <c r="AH63" s="209"/>
      <c r="AI63" s="210"/>
      <c r="AJ63" s="197"/>
      <c r="AK63" s="201"/>
      <c r="AL63" s="196"/>
      <c r="AM63" s="201"/>
      <c r="AN63" s="201"/>
      <c r="AO63" s="201"/>
      <c r="AP63" s="211"/>
      <c r="AQ63" s="212"/>
      <c r="AR63" s="201"/>
      <c r="AS63" s="201"/>
      <c r="AT63" s="201"/>
      <c r="AU63" s="201"/>
      <c r="AV63" s="202"/>
      <c r="AW63" s="194"/>
      <c r="AX63" s="201"/>
      <c r="AY63" s="213"/>
      <c r="AZ63" s="214"/>
      <c r="BA63" s="215"/>
      <c r="BB63" s="216"/>
      <c r="BC63" s="217" t="str">
        <f t="shared" si="0"/>
        <v/>
      </c>
      <c r="BD63" s="218"/>
      <c r="BE63" s="219"/>
      <c r="BF63" s="220"/>
      <c r="BG63" s="219"/>
      <c r="BH63" s="219"/>
      <c r="BI63" s="220"/>
      <c r="BJ63" s="218"/>
      <c r="BK63" s="219"/>
      <c r="BL63" s="197"/>
      <c r="BM63" s="215"/>
      <c r="BN63" s="221"/>
      <c r="BO63" s="222" t="str">
        <f t="shared" si="1"/>
        <v/>
      </c>
      <c r="BP63" s="217" t="str">
        <f t="shared" si="2"/>
        <v/>
      </c>
      <c r="BQ63" s="215"/>
      <c r="BR63" s="224"/>
      <c r="BS63" s="225"/>
      <c r="BT63" s="223"/>
      <c r="BU63" s="215"/>
      <c r="BV63" s="226"/>
      <c r="BW63" s="222" t="str">
        <f t="shared" si="3"/>
        <v/>
      </c>
      <c r="BX63" s="223" t="str">
        <f t="shared" si="4"/>
        <v/>
      </c>
      <c r="BY63" s="215"/>
      <c r="BZ63" s="227"/>
      <c r="CA63" s="227"/>
      <c r="CB63" s="228"/>
      <c r="CC63" s="229"/>
      <c r="CD63" s="230" t="str">
        <f t="shared" si="5"/>
        <v/>
      </c>
      <c r="CE63" s="231" t="str">
        <f t="shared" si="6"/>
        <v/>
      </c>
      <c r="CF63" s="232" t="str">
        <f t="shared" si="7"/>
        <v/>
      </c>
      <c r="CG63" s="233" t="str">
        <f t="shared" si="8"/>
        <v/>
      </c>
      <c r="CH63" s="207" t="str">
        <f>IF(OR(G63="",CC63= ""), "", IF(ISERROR(SMALL((CJ63,CN63,CV63), 1)-CC63), "",  SMALL((CJ63,CN63,CV63), 1)-CC63))</f>
        <v/>
      </c>
      <c r="CI63" s="234"/>
      <c r="CJ63" s="235"/>
      <c r="CK63" s="236"/>
      <c r="CL63" s="222" t="str">
        <f t="shared" si="9"/>
        <v/>
      </c>
      <c r="CM63" s="237" t="str">
        <f>IF(OR(G63="", CJ63="",CK63=""), "", IF(ISERROR(SMALL((CN63,CV63), 1)-CK63), "",  SMALL((CN63,CV63), 1)-CK63))</f>
        <v/>
      </c>
      <c r="CN63" s="235"/>
      <c r="CO63" s="236"/>
      <c r="CP63" s="224" t="str">
        <f t="shared" si="10"/>
        <v/>
      </c>
      <c r="CQ63" s="235"/>
      <c r="CR63" s="236"/>
      <c r="CS63" s="222" t="str">
        <f t="shared" si="11"/>
        <v/>
      </c>
      <c r="CT63" s="237" t="str">
        <f t="shared" si="12"/>
        <v/>
      </c>
      <c r="CU63" s="238"/>
      <c r="CV63" s="239"/>
      <c r="CW63" s="240"/>
    </row>
    <row r="64" spans="2:101" ht="16.5" customHeight="1">
      <c r="B64" s="122"/>
      <c r="E64" s="122"/>
      <c r="F64" s="194"/>
      <c r="G64" s="195"/>
      <c r="H64" s="195"/>
      <c r="I64" s="195"/>
      <c r="J64" s="196"/>
      <c r="K64" s="197"/>
      <c r="L64" s="198"/>
      <c r="M64" s="199"/>
      <c r="N64" s="200"/>
      <c r="O64" s="201"/>
      <c r="P64" s="201"/>
      <c r="Q64" s="201"/>
      <c r="R64" s="201"/>
      <c r="S64" s="201"/>
      <c r="T64" s="201"/>
      <c r="U64" s="201"/>
      <c r="V64" s="201"/>
      <c r="W64" s="201"/>
      <c r="X64" s="202"/>
      <c r="Y64" s="203"/>
      <c r="Z64" s="204"/>
      <c r="AA64" s="205"/>
      <c r="AB64" s="206"/>
      <c r="AC64" s="206"/>
      <c r="AD64" s="194"/>
      <c r="AE64" s="201"/>
      <c r="AF64" s="207"/>
      <c r="AG64" s="208"/>
      <c r="AH64" s="209"/>
      <c r="AI64" s="210"/>
      <c r="AJ64" s="197"/>
      <c r="AK64" s="201"/>
      <c r="AL64" s="196"/>
      <c r="AM64" s="201"/>
      <c r="AN64" s="201"/>
      <c r="AO64" s="201"/>
      <c r="AP64" s="211"/>
      <c r="AQ64" s="212"/>
      <c r="AR64" s="201"/>
      <c r="AS64" s="201"/>
      <c r="AT64" s="201"/>
      <c r="AU64" s="201"/>
      <c r="AV64" s="202"/>
      <c r="AW64" s="194"/>
      <c r="AX64" s="201"/>
      <c r="AY64" s="213"/>
      <c r="AZ64" s="214"/>
      <c r="BA64" s="215"/>
      <c r="BB64" s="216"/>
      <c r="BC64" s="217" t="str">
        <f t="shared" si="0"/>
        <v/>
      </c>
      <c r="BD64" s="218"/>
      <c r="BE64" s="219"/>
      <c r="BF64" s="220"/>
      <c r="BG64" s="219"/>
      <c r="BH64" s="219"/>
      <c r="BI64" s="220"/>
      <c r="BJ64" s="218"/>
      <c r="BK64" s="219"/>
      <c r="BL64" s="197"/>
      <c r="BM64" s="215"/>
      <c r="BN64" s="221"/>
      <c r="BO64" s="222" t="str">
        <f t="shared" si="1"/>
        <v/>
      </c>
      <c r="BP64" s="217" t="str">
        <f t="shared" si="2"/>
        <v/>
      </c>
      <c r="BQ64" s="215"/>
      <c r="BR64" s="224"/>
      <c r="BS64" s="225"/>
      <c r="BT64" s="223"/>
      <c r="BU64" s="215"/>
      <c r="BV64" s="226"/>
      <c r="BW64" s="222" t="str">
        <f t="shared" si="3"/>
        <v/>
      </c>
      <c r="BX64" s="223" t="str">
        <f t="shared" si="4"/>
        <v/>
      </c>
      <c r="BY64" s="215"/>
      <c r="BZ64" s="227"/>
      <c r="CA64" s="227"/>
      <c r="CB64" s="228"/>
      <c r="CC64" s="229"/>
      <c r="CD64" s="230" t="str">
        <f t="shared" si="5"/>
        <v/>
      </c>
      <c r="CE64" s="231" t="str">
        <f t="shared" si="6"/>
        <v/>
      </c>
      <c r="CF64" s="232" t="str">
        <f t="shared" si="7"/>
        <v/>
      </c>
      <c r="CG64" s="233" t="str">
        <f t="shared" si="8"/>
        <v/>
      </c>
      <c r="CH64" s="207" t="str">
        <f>IF(OR(G64="",CC64= ""), "", IF(ISERROR(SMALL((CJ64,CN64,CV64), 1)-CC64), "",  SMALL((CJ64,CN64,CV64), 1)-CC64))</f>
        <v/>
      </c>
      <c r="CI64" s="234"/>
      <c r="CJ64" s="235"/>
      <c r="CK64" s="236"/>
      <c r="CL64" s="222" t="str">
        <f t="shared" si="9"/>
        <v/>
      </c>
      <c r="CM64" s="237" t="str">
        <f>IF(OR(G64="", CJ64="",CK64=""), "", IF(ISERROR(SMALL((CN64,CV64), 1)-CK64), "",  SMALL((CN64,CV64), 1)-CK64))</f>
        <v/>
      </c>
      <c r="CN64" s="235"/>
      <c r="CO64" s="236"/>
      <c r="CP64" s="224" t="str">
        <f t="shared" si="10"/>
        <v/>
      </c>
      <c r="CQ64" s="235"/>
      <c r="CR64" s="236"/>
      <c r="CS64" s="222" t="str">
        <f t="shared" si="11"/>
        <v/>
      </c>
      <c r="CT64" s="237" t="str">
        <f t="shared" si="12"/>
        <v/>
      </c>
      <c r="CU64" s="238"/>
      <c r="CV64" s="239"/>
      <c r="CW64" s="240"/>
    </row>
    <row r="65" spans="2:101" ht="16.5" customHeight="1">
      <c r="B65" s="122"/>
      <c r="E65" s="122"/>
      <c r="F65" s="194"/>
      <c r="G65" s="195"/>
      <c r="H65" s="195"/>
      <c r="I65" s="195"/>
      <c r="J65" s="196"/>
      <c r="K65" s="197"/>
      <c r="L65" s="198"/>
      <c r="M65" s="199"/>
      <c r="N65" s="200"/>
      <c r="O65" s="201"/>
      <c r="P65" s="201"/>
      <c r="Q65" s="201"/>
      <c r="R65" s="201"/>
      <c r="S65" s="201"/>
      <c r="T65" s="201"/>
      <c r="U65" s="201"/>
      <c r="V65" s="201"/>
      <c r="W65" s="201"/>
      <c r="X65" s="202"/>
      <c r="Y65" s="203"/>
      <c r="Z65" s="204"/>
      <c r="AA65" s="205"/>
      <c r="AB65" s="206"/>
      <c r="AC65" s="206"/>
      <c r="AD65" s="194"/>
      <c r="AE65" s="201"/>
      <c r="AF65" s="207"/>
      <c r="AG65" s="208"/>
      <c r="AH65" s="209"/>
      <c r="AI65" s="210"/>
      <c r="AJ65" s="197"/>
      <c r="AK65" s="201"/>
      <c r="AL65" s="196"/>
      <c r="AM65" s="201"/>
      <c r="AN65" s="201"/>
      <c r="AO65" s="201"/>
      <c r="AP65" s="211"/>
      <c r="AQ65" s="212"/>
      <c r="AR65" s="201"/>
      <c r="AS65" s="201"/>
      <c r="AT65" s="201"/>
      <c r="AU65" s="201"/>
      <c r="AV65" s="202"/>
      <c r="AW65" s="194"/>
      <c r="AX65" s="201"/>
      <c r="AY65" s="213"/>
      <c r="AZ65" s="214"/>
      <c r="BA65" s="215"/>
      <c r="BB65" s="216"/>
      <c r="BC65" s="217" t="str">
        <f t="shared" si="0"/>
        <v/>
      </c>
      <c r="BD65" s="218"/>
      <c r="BE65" s="219"/>
      <c r="BF65" s="220"/>
      <c r="BG65" s="219"/>
      <c r="BH65" s="219"/>
      <c r="BI65" s="220"/>
      <c r="BJ65" s="218"/>
      <c r="BK65" s="219"/>
      <c r="BL65" s="197"/>
      <c r="BM65" s="215"/>
      <c r="BN65" s="221"/>
      <c r="BO65" s="222" t="str">
        <f t="shared" si="1"/>
        <v/>
      </c>
      <c r="BP65" s="217" t="str">
        <f t="shared" si="2"/>
        <v/>
      </c>
      <c r="BQ65" s="215"/>
      <c r="BR65" s="224"/>
      <c r="BS65" s="225"/>
      <c r="BT65" s="223"/>
      <c r="BU65" s="215"/>
      <c r="BV65" s="226"/>
      <c r="BW65" s="222" t="str">
        <f t="shared" si="3"/>
        <v/>
      </c>
      <c r="BX65" s="223" t="str">
        <f t="shared" si="4"/>
        <v/>
      </c>
      <c r="BY65" s="215"/>
      <c r="BZ65" s="227"/>
      <c r="CA65" s="227"/>
      <c r="CB65" s="228"/>
      <c r="CC65" s="229"/>
      <c r="CD65" s="230" t="str">
        <f t="shared" si="5"/>
        <v/>
      </c>
      <c r="CE65" s="231" t="str">
        <f t="shared" si="6"/>
        <v/>
      </c>
      <c r="CF65" s="232" t="str">
        <f t="shared" si="7"/>
        <v/>
      </c>
      <c r="CG65" s="233" t="str">
        <f t="shared" si="8"/>
        <v/>
      </c>
      <c r="CH65" s="207" t="str">
        <f>IF(OR(G65="",CC65= ""), "", IF(ISERROR(SMALL((CJ65,CN65,CV65), 1)-CC65), "",  SMALL((CJ65,CN65,CV65), 1)-CC65))</f>
        <v/>
      </c>
      <c r="CI65" s="234"/>
      <c r="CJ65" s="235"/>
      <c r="CK65" s="236"/>
      <c r="CL65" s="222" t="str">
        <f t="shared" si="9"/>
        <v/>
      </c>
      <c r="CM65" s="237" t="str">
        <f>IF(OR(G65="", CJ65="",CK65=""), "", IF(ISERROR(SMALL((CN65,CV65), 1)-CK65), "",  SMALL((CN65,CV65), 1)-CK65))</f>
        <v/>
      </c>
      <c r="CN65" s="235"/>
      <c r="CO65" s="236"/>
      <c r="CP65" s="224" t="str">
        <f t="shared" si="10"/>
        <v/>
      </c>
      <c r="CQ65" s="235"/>
      <c r="CR65" s="236"/>
      <c r="CS65" s="222" t="str">
        <f t="shared" si="11"/>
        <v/>
      </c>
      <c r="CT65" s="237" t="str">
        <f t="shared" si="12"/>
        <v/>
      </c>
      <c r="CU65" s="238"/>
      <c r="CV65" s="239"/>
      <c r="CW65" s="240"/>
    </row>
    <row r="66" spans="2:101" ht="16.5" customHeight="1">
      <c r="B66" s="122"/>
      <c r="E66" s="122"/>
      <c r="F66" s="194"/>
      <c r="G66" s="195"/>
      <c r="H66" s="195"/>
      <c r="I66" s="195"/>
      <c r="J66" s="196"/>
      <c r="K66" s="197"/>
      <c r="L66" s="198"/>
      <c r="M66" s="199"/>
      <c r="N66" s="200"/>
      <c r="O66" s="201"/>
      <c r="P66" s="201"/>
      <c r="Q66" s="201"/>
      <c r="R66" s="201"/>
      <c r="S66" s="201"/>
      <c r="T66" s="201"/>
      <c r="U66" s="201"/>
      <c r="V66" s="201"/>
      <c r="W66" s="201"/>
      <c r="X66" s="202"/>
      <c r="Y66" s="203"/>
      <c r="Z66" s="204"/>
      <c r="AA66" s="205"/>
      <c r="AB66" s="206"/>
      <c r="AC66" s="206"/>
      <c r="AD66" s="194"/>
      <c r="AE66" s="201"/>
      <c r="AF66" s="207"/>
      <c r="AG66" s="208"/>
      <c r="AH66" s="209"/>
      <c r="AI66" s="210"/>
      <c r="AJ66" s="197"/>
      <c r="AK66" s="201"/>
      <c r="AL66" s="196"/>
      <c r="AM66" s="201"/>
      <c r="AN66" s="201"/>
      <c r="AO66" s="201"/>
      <c r="AP66" s="211"/>
      <c r="AQ66" s="212"/>
      <c r="AR66" s="201"/>
      <c r="AS66" s="201"/>
      <c r="AT66" s="201"/>
      <c r="AU66" s="201"/>
      <c r="AV66" s="202"/>
      <c r="AW66" s="194"/>
      <c r="AX66" s="201"/>
      <c r="AY66" s="213"/>
      <c r="AZ66" s="214"/>
      <c r="BA66" s="215"/>
      <c r="BB66" s="216"/>
      <c r="BC66" s="217" t="str">
        <f t="shared" si="0"/>
        <v/>
      </c>
      <c r="BD66" s="218"/>
      <c r="BE66" s="219"/>
      <c r="BF66" s="220"/>
      <c r="BG66" s="219"/>
      <c r="BH66" s="219"/>
      <c r="BI66" s="220"/>
      <c r="BJ66" s="218"/>
      <c r="BK66" s="219"/>
      <c r="BL66" s="197"/>
      <c r="BM66" s="215"/>
      <c r="BN66" s="221"/>
      <c r="BO66" s="222" t="str">
        <f t="shared" si="1"/>
        <v/>
      </c>
      <c r="BP66" s="217" t="str">
        <f t="shared" si="2"/>
        <v/>
      </c>
      <c r="BQ66" s="215"/>
      <c r="BR66" s="224"/>
      <c r="BS66" s="225"/>
      <c r="BT66" s="223"/>
      <c r="BU66" s="215"/>
      <c r="BV66" s="226"/>
      <c r="BW66" s="222" t="str">
        <f t="shared" si="3"/>
        <v/>
      </c>
      <c r="BX66" s="223" t="str">
        <f t="shared" si="4"/>
        <v/>
      </c>
      <c r="BY66" s="215"/>
      <c r="BZ66" s="227"/>
      <c r="CA66" s="227"/>
      <c r="CB66" s="228"/>
      <c r="CC66" s="229"/>
      <c r="CD66" s="230" t="str">
        <f t="shared" si="5"/>
        <v/>
      </c>
      <c r="CE66" s="231" t="str">
        <f t="shared" si="6"/>
        <v/>
      </c>
      <c r="CF66" s="232" t="str">
        <f t="shared" si="7"/>
        <v/>
      </c>
      <c r="CG66" s="233" t="str">
        <f t="shared" si="8"/>
        <v/>
      </c>
      <c r="CH66" s="207" t="str">
        <f>IF(OR(G66="",CC66= ""), "", IF(ISERROR(SMALL((CJ66,CN66,CV66), 1)-CC66), "",  SMALL((CJ66,CN66,CV66), 1)-CC66))</f>
        <v/>
      </c>
      <c r="CI66" s="234"/>
      <c r="CJ66" s="235"/>
      <c r="CK66" s="236"/>
      <c r="CL66" s="222" t="str">
        <f t="shared" si="9"/>
        <v/>
      </c>
      <c r="CM66" s="237" t="str">
        <f>IF(OR(G66="", CJ66="",CK66=""), "", IF(ISERROR(SMALL((CN66,CV66), 1)-CK66), "",  SMALL((CN66,CV66), 1)-CK66))</f>
        <v/>
      </c>
      <c r="CN66" s="235"/>
      <c r="CO66" s="236"/>
      <c r="CP66" s="224" t="str">
        <f t="shared" si="10"/>
        <v/>
      </c>
      <c r="CQ66" s="235"/>
      <c r="CR66" s="236"/>
      <c r="CS66" s="222" t="str">
        <f t="shared" si="11"/>
        <v/>
      </c>
      <c r="CT66" s="237" t="str">
        <f t="shared" si="12"/>
        <v/>
      </c>
      <c r="CU66" s="238"/>
      <c r="CV66" s="239"/>
      <c r="CW66" s="240"/>
    </row>
    <row r="67" spans="2:101" ht="16.5" customHeight="1">
      <c r="B67" s="122"/>
      <c r="E67" s="122"/>
      <c r="F67" s="194"/>
      <c r="G67" s="195"/>
      <c r="H67" s="195"/>
      <c r="I67" s="195"/>
      <c r="J67" s="196"/>
      <c r="K67" s="197"/>
      <c r="L67" s="198"/>
      <c r="M67" s="199"/>
      <c r="N67" s="200"/>
      <c r="O67" s="201"/>
      <c r="P67" s="201"/>
      <c r="Q67" s="201"/>
      <c r="R67" s="201"/>
      <c r="S67" s="201"/>
      <c r="T67" s="201"/>
      <c r="U67" s="201"/>
      <c r="V67" s="201"/>
      <c r="W67" s="201"/>
      <c r="X67" s="202"/>
      <c r="Y67" s="203"/>
      <c r="Z67" s="204"/>
      <c r="AA67" s="205"/>
      <c r="AB67" s="206"/>
      <c r="AC67" s="206"/>
      <c r="AD67" s="194"/>
      <c r="AE67" s="201"/>
      <c r="AF67" s="207"/>
      <c r="AG67" s="208"/>
      <c r="AH67" s="209"/>
      <c r="AI67" s="210"/>
      <c r="AJ67" s="197"/>
      <c r="AK67" s="201"/>
      <c r="AL67" s="196"/>
      <c r="AM67" s="201"/>
      <c r="AN67" s="201"/>
      <c r="AO67" s="201"/>
      <c r="AP67" s="211"/>
      <c r="AQ67" s="212"/>
      <c r="AR67" s="201"/>
      <c r="AS67" s="201"/>
      <c r="AT67" s="201"/>
      <c r="AU67" s="201"/>
      <c r="AV67" s="202"/>
      <c r="AW67" s="194"/>
      <c r="AX67" s="201"/>
      <c r="AY67" s="213"/>
      <c r="AZ67" s="214"/>
      <c r="BA67" s="215"/>
      <c r="BB67" s="216"/>
      <c r="BC67" s="217" t="str">
        <f t="shared" si="0"/>
        <v/>
      </c>
      <c r="BD67" s="218"/>
      <c r="BE67" s="219"/>
      <c r="BF67" s="220"/>
      <c r="BG67" s="219"/>
      <c r="BH67" s="219"/>
      <c r="BI67" s="220"/>
      <c r="BJ67" s="218"/>
      <c r="BK67" s="219"/>
      <c r="BL67" s="197"/>
      <c r="BM67" s="215"/>
      <c r="BN67" s="221"/>
      <c r="BO67" s="222" t="str">
        <f t="shared" si="1"/>
        <v/>
      </c>
      <c r="BP67" s="217" t="str">
        <f t="shared" si="2"/>
        <v/>
      </c>
      <c r="BQ67" s="215"/>
      <c r="BR67" s="224"/>
      <c r="BS67" s="225"/>
      <c r="BT67" s="223"/>
      <c r="BU67" s="215"/>
      <c r="BV67" s="226"/>
      <c r="BW67" s="222" t="str">
        <f t="shared" si="3"/>
        <v/>
      </c>
      <c r="BX67" s="223" t="str">
        <f t="shared" si="4"/>
        <v/>
      </c>
      <c r="BY67" s="215"/>
      <c r="BZ67" s="227"/>
      <c r="CA67" s="227"/>
      <c r="CB67" s="228"/>
      <c r="CC67" s="229"/>
      <c r="CD67" s="230" t="str">
        <f t="shared" si="5"/>
        <v/>
      </c>
      <c r="CE67" s="231" t="str">
        <f t="shared" si="6"/>
        <v/>
      </c>
      <c r="CF67" s="232" t="str">
        <f t="shared" si="7"/>
        <v/>
      </c>
      <c r="CG67" s="233" t="str">
        <f t="shared" si="8"/>
        <v/>
      </c>
      <c r="CH67" s="207" t="str">
        <f>IF(OR(G67="",CC67= ""), "", IF(ISERROR(SMALL((CJ67,CN67,CV67), 1)-CC67), "",  SMALL((CJ67,CN67,CV67), 1)-CC67))</f>
        <v/>
      </c>
      <c r="CI67" s="234"/>
      <c r="CJ67" s="235"/>
      <c r="CK67" s="236"/>
      <c r="CL67" s="222" t="str">
        <f t="shared" si="9"/>
        <v/>
      </c>
      <c r="CM67" s="237" t="str">
        <f>IF(OR(G67="", CJ67="",CK67=""), "", IF(ISERROR(SMALL((CN67,CV67), 1)-CK67), "",  SMALL((CN67,CV67), 1)-CK67))</f>
        <v/>
      </c>
      <c r="CN67" s="235"/>
      <c r="CO67" s="236"/>
      <c r="CP67" s="224" t="str">
        <f t="shared" si="10"/>
        <v/>
      </c>
      <c r="CQ67" s="235"/>
      <c r="CR67" s="236"/>
      <c r="CS67" s="222" t="str">
        <f t="shared" si="11"/>
        <v/>
      </c>
      <c r="CT67" s="237" t="str">
        <f t="shared" si="12"/>
        <v/>
      </c>
      <c r="CU67" s="238"/>
      <c r="CV67" s="239"/>
      <c r="CW67" s="240"/>
    </row>
    <row r="68" spans="2:101" ht="16.5" customHeight="1">
      <c r="B68" s="122"/>
      <c r="E68" s="122"/>
      <c r="F68" s="194"/>
      <c r="G68" s="195"/>
      <c r="H68" s="195"/>
      <c r="I68" s="195"/>
      <c r="J68" s="196"/>
      <c r="K68" s="197"/>
      <c r="L68" s="198"/>
      <c r="M68" s="199"/>
      <c r="N68" s="200"/>
      <c r="O68" s="201"/>
      <c r="P68" s="201"/>
      <c r="Q68" s="201"/>
      <c r="R68" s="201"/>
      <c r="S68" s="201"/>
      <c r="T68" s="201"/>
      <c r="U68" s="201"/>
      <c r="V68" s="201"/>
      <c r="W68" s="201"/>
      <c r="X68" s="202"/>
      <c r="Y68" s="203"/>
      <c r="Z68" s="204"/>
      <c r="AA68" s="205"/>
      <c r="AB68" s="206"/>
      <c r="AC68" s="206"/>
      <c r="AD68" s="194"/>
      <c r="AE68" s="201"/>
      <c r="AF68" s="207"/>
      <c r="AG68" s="208"/>
      <c r="AH68" s="209"/>
      <c r="AI68" s="210"/>
      <c r="AJ68" s="197"/>
      <c r="AK68" s="201"/>
      <c r="AL68" s="196"/>
      <c r="AM68" s="201"/>
      <c r="AN68" s="201"/>
      <c r="AO68" s="201"/>
      <c r="AP68" s="211"/>
      <c r="AQ68" s="212"/>
      <c r="AR68" s="201"/>
      <c r="AS68" s="201"/>
      <c r="AT68" s="201"/>
      <c r="AU68" s="201"/>
      <c r="AV68" s="202"/>
      <c r="AW68" s="194"/>
      <c r="AX68" s="201"/>
      <c r="AY68" s="213"/>
      <c r="AZ68" s="214"/>
      <c r="BA68" s="215"/>
      <c r="BB68" s="216"/>
      <c r="BC68" s="217" t="str">
        <f t="shared" si="0"/>
        <v/>
      </c>
      <c r="BD68" s="218"/>
      <c r="BE68" s="219"/>
      <c r="BF68" s="220"/>
      <c r="BG68" s="219"/>
      <c r="BH68" s="219"/>
      <c r="BI68" s="220"/>
      <c r="BJ68" s="218"/>
      <c r="BK68" s="219"/>
      <c r="BL68" s="197"/>
      <c r="BM68" s="215"/>
      <c r="BN68" s="221"/>
      <c r="BO68" s="222" t="str">
        <f t="shared" si="1"/>
        <v/>
      </c>
      <c r="BP68" s="217" t="str">
        <f t="shared" si="2"/>
        <v/>
      </c>
      <c r="BQ68" s="215"/>
      <c r="BR68" s="224"/>
      <c r="BS68" s="225"/>
      <c r="BT68" s="223"/>
      <c r="BU68" s="215"/>
      <c r="BV68" s="226"/>
      <c r="BW68" s="222" t="str">
        <f t="shared" si="3"/>
        <v/>
      </c>
      <c r="BX68" s="223" t="str">
        <f t="shared" si="4"/>
        <v/>
      </c>
      <c r="BY68" s="215"/>
      <c r="BZ68" s="227"/>
      <c r="CA68" s="227"/>
      <c r="CB68" s="228"/>
      <c r="CC68" s="229"/>
      <c r="CD68" s="230" t="str">
        <f t="shared" si="5"/>
        <v/>
      </c>
      <c r="CE68" s="231" t="str">
        <f t="shared" si="6"/>
        <v/>
      </c>
      <c r="CF68" s="232" t="str">
        <f t="shared" si="7"/>
        <v/>
      </c>
      <c r="CG68" s="233" t="str">
        <f t="shared" si="8"/>
        <v/>
      </c>
      <c r="CH68" s="207" t="str">
        <f>IF(OR(G68="",CC68= ""), "", IF(ISERROR(SMALL((CJ68,CN68,CV68), 1)-CC68), "",  SMALL((CJ68,CN68,CV68), 1)-CC68))</f>
        <v/>
      </c>
      <c r="CI68" s="234"/>
      <c r="CJ68" s="235"/>
      <c r="CK68" s="236"/>
      <c r="CL68" s="222" t="str">
        <f t="shared" si="9"/>
        <v/>
      </c>
      <c r="CM68" s="237" t="str">
        <f>IF(OR(G68="", CJ68="",CK68=""), "", IF(ISERROR(SMALL((CN68,CV68), 1)-CK68), "",  SMALL((CN68,CV68), 1)-CK68))</f>
        <v/>
      </c>
      <c r="CN68" s="235"/>
      <c r="CO68" s="236"/>
      <c r="CP68" s="224" t="str">
        <f t="shared" si="10"/>
        <v/>
      </c>
      <c r="CQ68" s="235"/>
      <c r="CR68" s="236"/>
      <c r="CS68" s="222" t="str">
        <f t="shared" si="11"/>
        <v/>
      </c>
      <c r="CT68" s="237" t="str">
        <f t="shared" si="12"/>
        <v/>
      </c>
      <c r="CU68" s="238"/>
      <c r="CV68" s="239"/>
      <c r="CW68" s="240"/>
    </row>
    <row r="69" spans="2:101" ht="16.5" customHeight="1">
      <c r="B69" s="122"/>
      <c r="E69" s="122"/>
      <c r="F69" s="194"/>
      <c r="G69" s="195"/>
      <c r="H69" s="195"/>
      <c r="I69" s="195"/>
      <c r="J69" s="196"/>
      <c r="K69" s="197"/>
      <c r="L69" s="198"/>
      <c r="M69" s="199"/>
      <c r="N69" s="200"/>
      <c r="O69" s="201"/>
      <c r="P69" s="201"/>
      <c r="Q69" s="201"/>
      <c r="R69" s="201"/>
      <c r="S69" s="201"/>
      <c r="T69" s="201"/>
      <c r="U69" s="201"/>
      <c r="V69" s="201"/>
      <c r="W69" s="201"/>
      <c r="X69" s="202"/>
      <c r="Y69" s="203"/>
      <c r="Z69" s="204"/>
      <c r="AA69" s="205"/>
      <c r="AB69" s="206"/>
      <c r="AC69" s="206"/>
      <c r="AD69" s="194"/>
      <c r="AE69" s="201"/>
      <c r="AF69" s="207"/>
      <c r="AG69" s="208"/>
      <c r="AH69" s="209"/>
      <c r="AI69" s="210"/>
      <c r="AJ69" s="197"/>
      <c r="AK69" s="201"/>
      <c r="AL69" s="196"/>
      <c r="AM69" s="201"/>
      <c r="AN69" s="201"/>
      <c r="AO69" s="201"/>
      <c r="AP69" s="211"/>
      <c r="AQ69" s="212"/>
      <c r="AR69" s="201"/>
      <c r="AS69" s="201"/>
      <c r="AT69" s="201"/>
      <c r="AU69" s="201"/>
      <c r="AV69" s="202"/>
      <c r="AW69" s="194"/>
      <c r="AX69" s="201"/>
      <c r="AY69" s="213"/>
      <c r="AZ69" s="214"/>
      <c r="BA69" s="215"/>
      <c r="BB69" s="216"/>
      <c r="BC69" s="217" t="str">
        <f t="shared" si="0"/>
        <v/>
      </c>
      <c r="BD69" s="218"/>
      <c r="BE69" s="219"/>
      <c r="BF69" s="220"/>
      <c r="BG69" s="219"/>
      <c r="BH69" s="219"/>
      <c r="BI69" s="220"/>
      <c r="BJ69" s="218"/>
      <c r="BK69" s="219"/>
      <c r="BL69" s="197"/>
      <c r="BM69" s="215"/>
      <c r="BN69" s="221"/>
      <c r="BO69" s="222" t="str">
        <f t="shared" si="1"/>
        <v/>
      </c>
      <c r="BP69" s="217" t="str">
        <f t="shared" si="2"/>
        <v/>
      </c>
      <c r="BQ69" s="215"/>
      <c r="BR69" s="224"/>
      <c r="BS69" s="225"/>
      <c r="BT69" s="223"/>
      <c r="BU69" s="215"/>
      <c r="BV69" s="226"/>
      <c r="BW69" s="222" t="str">
        <f t="shared" si="3"/>
        <v/>
      </c>
      <c r="BX69" s="223" t="str">
        <f t="shared" si="4"/>
        <v/>
      </c>
      <c r="BY69" s="215"/>
      <c r="BZ69" s="227"/>
      <c r="CA69" s="227"/>
      <c r="CB69" s="228"/>
      <c r="CC69" s="229"/>
      <c r="CD69" s="230" t="str">
        <f t="shared" si="5"/>
        <v/>
      </c>
      <c r="CE69" s="231" t="str">
        <f t="shared" si="6"/>
        <v/>
      </c>
      <c r="CF69" s="232" t="str">
        <f t="shared" si="7"/>
        <v/>
      </c>
      <c r="CG69" s="233" t="str">
        <f t="shared" si="8"/>
        <v/>
      </c>
      <c r="CH69" s="207" t="str">
        <f>IF(OR(G69="",CC69= ""), "", IF(ISERROR(SMALL((CJ69,CN69,CV69), 1)-CC69), "",  SMALL((CJ69,CN69,CV69), 1)-CC69))</f>
        <v/>
      </c>
      <c r="CI69" s="234"/>
      <c r="CJ69" s="235"/>
      <c r="CK69" s="236"/>
      <c r="CL69" s="222" t="str">
        <f t="shared" si="9"/>
        <v/>
      </c>
      <c r="CM69" s="237" t="str">
        <f>IF(OR(G69="", CJ69="",CK69=""), "", IF(ISERROR(SMALL((CN69,CV69), 1)-CK69), "",  SMALL((CN69,CV69), 1)-CK69))</f>
        <v/>
      </c>
      <c r="CN69" s="235"/>
      <c r="CO69" s="236"/>
      <c r="CP69" s="224" t="str">
        <f t="shared" si="10"/>
        <v/>
      </c>
      <c r="CQ69" s="235"/>
      <c r="CR69" s="236"/>
      <c r="CS69" s="222" t="str">
        <f t="shared" si="11"/>
        <v/>
      </c>
      <c r="CT69" s="237" t="str">
        <f t="shared" si="12"/>
        <v/>
      </c>
      <c r="CU69" s="238"/>
      <c r="CV69" s="239"/>
      <c r="CW69" s="240"/>
    </row>
    <row r="70" spans="2:101" ht="16.5" customHeight="1">
      <c r="B70" s="122"/>
      <c r="E70" s="122"/>
      <c r="F70" s="194"/>
      <c r="G70" s="195"/>
      <c r="H70" s="195"/>
      <c r="I70" s="195"/>
      <c r="J70" s="196"/>
      <c r="K70" s="197"/>
      <c r="L70" s="198"/>
      <c r="M70" s="199"/>
      <c r="N70" s="200"/>
      <c r="O70" s="201"/>
      <c r="P70" s="201"/>
      <c r="Q70" s="201"/>
      <c r="R70" s="201"/>
      <c r="S70" s="201"/>
      <c r="T70" s="201"/>
      <c r="U70" s="201"/>
      <c r="V70" s="201"/>
      <c r="W70" s="201"/>
      <c r="X70" s="202"/>
      <c r="Y70" s="203"/>
      <c r="Z70" s="204"/>
      <c r="AA70" s="205"/>
      <c r="AB70" s="206"/>
      <c r="AC70" s="206"/>
      <c r="AD70" s="194"/>
      <c r="AE70" s="201"/>
      <c r="AF70" s="207"/>
      <c r="AG70" s="208"/>
      <c r="AH70" s="209"/>
      <c r="AI70" s="210"/>
      <c r="AJ70" s="197"/>
      <c r="AK70" s="201"/>
      <c r="AL70" s="196"/>
      <c r="AM70" s="201"/>
      <c r="AN70" s="201"/>
      <c r="AO70" s="201"/>
      <c r="AP70" s="211"/>
      <c r="AQ70" s="212"/>
      <c r="AR70" s="201"/>
      <c r="AS70" s="201"/>
      <c r="AT70" s="201"/>
      <c r="AU70" s="201"/>
      <c r="AV70" s="202"/>
      <c r="AW70" s="194"/>
      <c r="AX70" s="201"/>
      <c r="AY70" s="213"/>
      <c r="AZ70" s="214"/>
      <c r="BA70" s="215"/>
      <c r="BB70" s="216"/>
      <c r="BC70" s="217" t="str">
        <f t="shared" si="0"/>
        <v/>
      </c>
      <c r="BD70" s="218"/>
      <c r="BE70" s="219"/>
      <c r="BF70" s="220"/>
      <c r="BG70" s="219"/>
      <c r="BH70" s="219"/>
      <c r="BI70" s="220"/>
      <c r="BJ70" s="218"/>
      <c r="BK70" s="219"/>
      <c r="BL70" s="197"/>
      <c r="BM70" s="215"/>
      <c r="BN70" s="221"/>
      <c r="BO70" s="222" t="str">
        <f t="shared" si="1"/>
        <v/>
      </c>
      <c r="BP70" s="217" t="str">
        <f t="shared" si="2"/>
        <v/>
      </c>
      <c r="BQ70" s="215"/>
      <c r="BR70" s="224"/>
      <c r="BS70" s="225"/>
      <c r="BT70" s="223"/>
      <c r="BU70" s="215"/>
      <c r="BV70" s="226"/>
      <c r="BW70" s="222" t="str">
        <f t="shared" si="3"/>
        <v/>
      </c>
      <c r="BX70" s="223" t="str">
        <f t="shared" si="4"/>
        <v/>
      </c>
      <c r="BY70" s="215"/>
      <c r="BZ70" s="227"/>
      <c r="CA70" s="227"/>
      <c r="CB70" s="228"/>
      <c r="CC70" s="229"/>
      <c r="CD70" s="230" t="str">
        <f t="shared" si="5"/>
        <v/>
      </c>
      <c r="CE70" s="231" t="str">
        <f t="shared" si="6"/>
        <v/>
      </c>
      <c r="CF70" s="232" t="str">
        <f t="shared" si="7"/>
        <v/>
      </c>
      <c r="CG70" s="233" t="str">
        <f t="shared" si="8"/>
        <v/>
      </c>
      <c r="CH70" s="207" t="str">
        <f>IF(OR(G70="",CC70= ""), "", IF(ISERROR(SMALL((CJ70,CN70,CV70), 1)-CC70), "",  SMALL((CJ70,CN70,CV70), 1)-CC70))</f>
        <v/>
      </c>
      <c r="CI70" s="234"/>
      <c r="CJ70" s="235"/>
      <c r="CK70" s="236"/>
      <c r="CL70" s="222" t="str">
        <f t="shared" si="9"/>
        <v/>
      </c>
      <c r="CM70" s="237" t="str">
        <f>IF(OR(G70="", CJ70="",CK70=""), "", IF(ISERROR(SMALL((CN70,CV70), 1)-CK70), "",  SMALL((CN70,CV70), 1)-CK70))</f>
        <v/>
      </c>
      <c r="CN70" s="235"/>
      <c r="CO70" s="236"/>
      <c r="CP70" s="224" t="str">
        <f t="shared" si="10"/>
        <v/>
      </c>
      <c r="CQ70" s="235"/>
      <c r="CR70" s="236"/>
      <c r="CS70" s="222" t="str">
        <f t="shared" si="11"/>
        <v/>
      </c>
      <c r="CT70" s="237" t="str">
        <f t="shared" si="12"/>
        <v/>
      </c>
      <c r="CU70" s="238"/>
      <c r="CV70" s="239"/>
      <c r="CW70" s="240"/>
    </row>
    <row r="71" spans="2:101" ht="16.5" customHeight="1">
      <c r="B71" s="122"/>
      <c r="E71" s="122"/>
      <c r="F71" s="194"/>
      <c r="G71" s="195"/>
      <c r="H71" s="195"/>
      <c r="I71" s="195"/>
      <c r="J71" s="196"/>
      <c r="K71" s="197"/>
      <c r="L71" s="198"/>
      <c r="M71" s="199"/>
      <c r="N71" s="200"/>
      <c r="O71" s="201"/>
      <c r="P71" s="201"/>
      <c r="Q71" s="201"/>
      <c r="R71" s="201"/>
      <c r="S71" s="201"/>
      <c r="T71" s="201"/>
      <c r="U71" s="201"/>
      <c r="V71" s="201"/>
      <c r="W71" s="201"/>
      <c r="X71" s="202"/>
      <c r="Y71" s="203"/>
      <c r="Z71" s="204"/>
      <c r="AA71" s="205"/>
      <c r="AB71" s="206"/>
      <c r="AC71" s="206"/>
      <c r="AD71" s="194"/>
      <c r="AE71" s="201"/>
      <c r="AF71" s="207"/>
      <c r="AG71" s="208"/>
      <c r="AH71" s="209"/>
      <c r="AI71" s="210"/>
      <c r="AJ71" s="197"/>
      <c r="AK71" s="201"/>
      <c r="AL71" s="196"/>
      <c r="AM71" s="201"/>
      <c r="AN71" s="201"/>
      <c r="AO71" s="201"/>
      <c r="AP71" s="211"/>
      <c r="AQ71" s="212"/>
      <c r="AR71" s="201"/>
      <c r="AS71" s="201"/>
      <c r="AT71" s="201"/>
      <c r="AU71" s="201"/>
      <c r="AV71" s="202"/>
      <c r="AW71" s="194"/>
      <c r="AX71" s="201"/>
      <c r="AY71" s="213"/>
      <c r="AZ71" s="214"/>
      <c r="BA71" s="215"/>
      <c r="BB71" s="216"/>
      <c r="BC71" s="217" t="str">
        <f t="shared" si="0"/>
        <v/>
      </c>
      <c r="BD71" s="218"/>
      <c r="BE71" s="219"/>
      <c r="BF71" s="220"/>
      <c r="BG71" s="219"/>
      <c r="BH71" s="219"/>
      <c r="BI71" s="220"/>
      <c r="BJ71" s="218"/>
      <c r="BK71" s="219"/>
      <c r="BL71" s="197"/>
      <c r="BM71" s="215"/>
      <c r="BN71" s="221"/>
      <c r="BO71" s="222" t="str">
        <f t="shared" si="1"/>
        <v/>
      </c>
      <c r="BP71" s="217" t="str">
        <f t="shared" si="2"/>
        <v/>
      </c>
      <c r="BQ71" s="215"/>
      <c r="BR71" s="224"/>
      <c r="BS71" s="225"/>
      <c r="BT71" s="223"/>
      <c r="BU71" s="215"/>
      <c r="BV71" s="226"/>
      <c r="BW71" s="222" t="str">
        <f t="shared" si="3"/>
        <v/>
      </c>
      <c r="BX71" s="223" t="str">
        <f t="shared" si="4"/>
        <v/>
      </c>
      <c r="BY71" s="215"/>
      <c r="BZ71" s="227"/>
      <c r="CA71" s="227"/>
      <c r="CB71" s="228"/>
      <c r="CC71" s="229"/>
      <c r="CD71" s="230" t="str">
        <f t="shared" si="5"/>
        <v/>
      </c>
      <c r="CE71" s="231" t="str">
        <f t="shared" si="6"/>
        <v/>
      </c>
      <c r="CF71" s="232" t="str">
        <f t="shared" si="7"/>
        <v/>
      </c>
      <c r="CG71" s="233" t="str">
        <f t="shared" si="8"/>
        <v/>
      </c>
      <c r="CH71" s="207" t="str">
        <f>IF(OR(G71="",CC71= ""), "", IF(ISERROR(SMALL((CJ71,CN71,CV71), 1)-CC71), "",  SMALL((CJ71,CN71,CV71), 1)-CC71))</f>
        <v/>
      </c>
      <c r="CI71" s="234"/>
      <c r="CJ71" s="235"/>
      <c r="CK71" s="236"/>
      <c r="CL71" s="222" t="str">
        <f t="shared" si="9"/>
        <v/>
      </c>
      <c r="CM71" s="237" t="str">
        <f>IF(OR(G71="", CJ71="",CK71=""), "", IF(ISERROR(SMALL((CN71,CV71), 1)-CK71), "",  SMALL((CN71,CV71), 1)-CK71))</f>
        <v/>
      </c>
      <c r="CN71" s="235"/>
      <c r="CO71" s="236"/>
      <c r="CP71" s="224" t="str">
        <f t="shared" si="10"/>
        <v/>
      </c>
      <c r="CQ71" s="235"/>
      <c r="CR71" s="236"/>
      <c r="CS71" s="222" t="str">
        <f t="shared" si="11"/>
        <v/>
      </c>
      <c r="CT71" s="237" t="str">
        <f t="shared" si="12"/>
        <v/>
      </c>
      <c r="CU71" s="238"/>
      <c r="CV71" s="239"/>
      <c r="CW71" s="240"/>
    </row>
    <row r="72" spans="2:101" ht="16.5" customHeight="1">
      <c r="B72" s="122"/>
      <c r="E72" s="122"/>
      <c r="F72" s="194"/>
      <c r="G72" s="195"/>
      <c r="H72" s="195"/>
      <c r="I72" s="195"/>
      <c r="J72" s="196"/>
      <c r="K72" s="197"/>
      <c r="L72" s="198"/>
      <c r="M72" s="199"/>
      <c r="N72" s="200"/>
      <c r="O72" s="201"/>
      <c r="P72" s="201"/>
      <c r="Q72" s="201"/>
      <c r="R72" s="201"/>
      <c r="S72" s="201"/>
      <c r="T72" s="201"/>
      <c r="U72" s="201"/>
      <c r="V72" s="201"/>
      <c r="W72" s="201"/>
      <c r="X72" s="202"/>
      <c r="Y72" s="203"/>
      <c r="Z72" s="204"/>
      <c r="AA72" s="205"/>
      <c r="AB72" s="206"/>
      <c r="AC72" s="206"/>
      <c r="AD72" s="194"/>
      <c r="AE72" s="201"/>
      <c r="AF72" s="207"/>
      <c r="AG72" s="208"/>
      <c r="AH72" s="209"/>
      <c r="AI72" s="210"/>
      <c r="AJ72" s="197"/>
      <c r="AK72" s="201"/>
      <c r="AL72" s="196"/>
      <c r="AM72" s="201"/>
      <c r="AN72" s="201"/>
      <c r="AO72" s="201"/>
      <c r="AP72" s="211"/>
      <c r="AQ72" s="212"/>
      <c r="AR72" s="201"/>
      <c r="AS72" s="201"/>
      <c r="AT72" s="201"/>
      <c r="AU72" s="201"/>
      <c r="AV72" s="202"/>
      <c r="AW72" s="194"/>
      <c r="AX72" s="201"/>
      <c r="AY72" s="213"/>
      <c r="AZ72" s="214"/>
      <c r="BA72" s="215"/>
      <c r="BB72" s="216"/>
      <c r="BC72" s="217" t="str">
        <f t="shared" si="0"/>
        <v/>
      </c>
      <c r="BD72" s="218"/>
      <c r="BE72" s="219"/>
      <c r="BF72" s="220"/>
      <c r="BG72" s="219"/>
      <c r="BH72" s="219"/>
      <c r="BI72" s="220"/>
      <c r="BJ72" s="218"/>
      <c r="BK72" s="219"/>
      <c r="BL72" s="197"/>
      <c r="BM72" s="215"/>
      <c r="BN72" s="221"/>
      <c r="BO72" s="222" t="str">
        <f t="shared" si="1"/>
        <v/>
      </c>
      <c r="BP72" s="217" t="str">
        <f t="shared" si="2"/>
        <v/>
      </c>
      <c r="BQ72" s="215"/>
      <c r="BR72" s="224"/>
      <c r="BS72" s="225"/>
      <c r="BT72" s="223"/>
      <c r="BU72" s="215"/>
      <c r="BV72" s="226"/>
      <c r="BW72" s="222" t="str">
        <f t="shared" si="3"/>
        <v/>
      </c>
      <c r="BX72" s="223" t="str">
        <f t="shared" si="4"/>
        <v/>
      </c>
      <c r="BY72" s="215"/>
      <c r="BZ72" s="227"/>
      <c r="CA72" s="227"/>
      <c r="CB72" s="228"/>
      <c r="CC72" s="229"/>
      <c r="CD72" s="230" t="str">
        <f t="shared" si="5"/>
        <v/>
      </c>
      <c r="CE72" s="231" t="str">
        <f t="shared" si="6"/>
        <v/>
      </c>
      <c r="CF72" s="232" t="str">
        <f t="shared" si="7"/>
        <v/>
      </c>
      <c r="CG72" s="233" t="str">
        <f t="shared" si="8"/>
        <v/>
      </c>
      <c r="CH72" s="207" t="str">
        <f>IF(OR(G72="",CC72= ""), "", IF(ISERROR(SMALL((CJ72,CN72,CV72), 1)-CC72), "",  SMALL((CJ72,CN72,CV72), 1)-CC72))</f>
        <v/>
      </c>
      <c r="CI72" s="234"/>
      <c r="CJ72" s="235"/>
      <c r="CK72" s="236"/>
      <c r="CL72" s="222" t="str">
        <f t="shared" si="9"/>
        <v/>
      </c>
      <c r="CM72" s="237" t="str">
        <f>IF(OR(G72="", CJ72="",CK72=""), "", IF(ISERROR(SMALL((CN72,CV72), 1)-CK72), "",  SMALL((CN72,CV72), 1)-CK72))</f>
        <v/>
      </c>
      <c r="CN72" s="235"/>
      <c r="CO72" s="236"/>
      <c r="CP72" s="224" t="str">
        <f t="shared" si="10"/>
        <v/>
      </c>
      <c r="CQ72" s="235"/>
      <c r="CR72" s="236"/>
      <c r="CS72" s="222" t="str">
        <f t="shared" si="11"/>
        <v/>
      </c>
      <c r="CT72" s="237" t="str">
        <f t="shared" si="12"/>
        <v/>
      </c>
      <c r="CU72" s="238"/>
      <c r="CV72" s="239"/>
      <c r="CW72" s="240"/>
    </row>
    <row r="73" spans="2:101" ht="16.5" customHeight="1">
      <c r="B73" s="122"/>
      <c r="E73" s="122"/>
      <c r="F73" s="194"/>
      <c r="G73" s="195"/>
      <c r="H73" s="195"/>
      <c r="I73" s="195"/>
      <c r="J73" s="196"/>
      <c r="K73" s="197"/>
      <c r="L73" s="198"/>
      <c r="M73" s="199"/>
      <c r="N73" s="200"/>
      <c r="O73" s="201"/>
      <c r="P73" s="201"/>
      <c r="Q73" s="201"/>
      <c r="R73" s="201"/>
      <c r="S73" s="201"/>
      <c r="T73" s="201"/>
      <c r="U73" s="201"/>
      <c r="V73" s="201"/>
      <c r="W73" s="201"/>
      <c r="X73" s="202"/>
      <c r="Y73" s="203"/>
      <c r="Z73" s="204"/>
      <c r="AA73" s="205"/>
      <c r="AB73" s="206"/>
      <c r="AC73" s="206"/>
      <c r="AD73" s="194"/>
      <c r="AE73" s="201"/>
      <c r="AF73" s="207"/>
      <c r="AG73" s="208"/>
      <c r="AH73" s="209"/>
      <c r="AI73" s="210"/>
      <c r="AJ73" s="197"/>
      <c r="AK73" s="201"/>
      <c r="AL73" s="196"/>
      <c r="AM73" s="201"/>
      <c r="AN73" s="201"/>
      <c r="AO73" s="201"/>
      <c r="AP73" s="211"/>
      <c r="AQ73" s="212"/>
      <c r="AR73" s="201"/>
      <c r="AS73" s="201"/>
      <c r="AT73" s="201"/>
      <c r="AU73" s="201"/>
      <c r="AV73" s="202"/>
      <c r="AW73" s="194"/>
      <c r="AX73" s="201"/>
      <c r="AY73" s="213"/>
      <c r="AZ73" s="214"/>
      <c r="BA73" s="215"/>
      <c r="BB73" s="216"/>
      <c r="BC73" s="217" t="str">
        <f t="shared" ref="BC73:BC136" si="13">IF(OR($H73="", $BM73="", BB73=""), "", IF(ISERROR($BM73-BB73), "", $BM73-BB73))</f>
        <v/>
      </c>
      <c r="BD73" s="218"/>
      <c r="BE73" s="219"/>
      <c r="BF73" s="220"/>
      <c r="BG73" s="219"/>
      <c r="BH73" s="219"/>
      <c r="BI73" s="220"/>
      <c r="BJ73" s="218"/>
      <c r="BK73" s="219"/>
      <c r="BL73" s="197"/>
      <c r="BM73" s="215"/>
      <c r="BN73" s="221"/>
      <c r="BO73" s="222" t="str">
        <f t="shared" ref="BO73:BO136" si="14">IF(OR(G73="", BM73="", BN73=""), "", IF(ISERROR(BN73-BM73+1), "", BN73-BM73+1))</f>
        <v/>
      </c>
      <c r="BP73" s="217" t="str">
        <f t="shared" ref="BP73:BP136" si="15">IF(OR(G73="", BN73="", BY73=""), "", IF(ISERROR(BY73-BN73), "", BY73-BN73))</f>
        <v/>
      </c>
      <c r="BQ73" s="215"/>
      <c r="BR73" s="224"/>
      <c r="BS73" s="225"/>
      <c r="BT73" s="223"/>
      <c r="BU73" s="215"/>
      <c r="BV73" s="226"/>
      <c r="BW73" s="222" t="str">
        <f t="shared" ref="BW73:BW136" si="16">IF(OR(H73="", BU73="", BV73=""), "", IF(ISERROR(BV73-BU73+1), "", BV73-BU73+1))</f>
        <v/>
      </c>
      <c r="BX73" s="223" t="str">
        <f t="shared" ref="BX73:BX136" si="17">IF(OR(H73="", BV73="", CB73=""), "", IF(ISERROR(CB73-BV73), "", CB73-BV73))</f>
        <v/>
      </c>
      <c r="BY73" s="215"/>
      <c r="BZ73" s="227"/>
      <c r="CA73" s="227"/>
      <c r="CB73" s="228"/>
      <c r="CC73" s="229"/>
      <c r="CD73" s="230" t="str">
        <f t="shared" ref="CD73:CD136" si="18">IF(OR($H73="",$BY73="",$CB73=""),"",IF((ISERROR($CB73-$BY73+1)),"",$CB73-$BY73+1))</f>
        <v/>
      </c>
      <c r="CE73" s="231" t="str">
        <f t="shared" ref="CE73:CE136" si="19">IF(OR(CB73="", CC73=""),"", IF(ISERROR(CC73-CB73+1), "",CC73-CB73+1))</f>
        <v/>
      </c>
      <c r="CF73" s="232" t="str">
        <f t="shared" ref="CF73:CF136" si="20">IF(OR(BY73="", CC73=""), "", IF(ISERROR(CC73-BY73+1), "",CC73-BY73+1))</f>
        <v/>
      </c>
      <c r="CG73" s="233" t="str">
        <f t="shared" ref="CG73:CG136" si="21">IF(OR(G73="", CC73="", CV73=""), "", IF(ISERROR(CV73-CC73), "", CV73-CC73))</f>
        <v/>
      </c>
      <c r="CH73" s="207" t="str">
        <f>IF(OR(G73="",CC73= ""), "", IF(ISERROR(SMALL((CJ73,CN73,CV73), 1)-CC73), "",  SMALL((CJ73,CN73,CV73), 1)-CC73))</f>
        <v/>
      </c>
      <c r="CI73" s="234"/>
      <c r="CJ73" s="235"/>
      <c r="CK73" s="236"/>
      <c r="CL73" s="222" t="str">
        <f t="shared" ref="CL73:CL136" si="22">IF(OR(G73="", CJ73="", CK73=""), "",   IF(ISERROR(CK73-CJ73+1), "",CK73-CJ73+1))</f>
        <v/>
      </c>
      <c r="CM73" s="237" t="str">
        <f>IF(OR(G73="", CJ73="",CK73=""), "", IF(ISERROR(SMALL((CN73,CV73), 1)-CK73), "",  SMALL((CN73,CV73), 1)-CK73))</f>
        <v/>
      </c>
      <c r="CN73" s="235"/>
      <c r="CO73" s="236"/>
      <c r="CP73" s="224" t="str">
        <f t="shared" ref="CP73:CP136" si="23">IF(OR(G73="", CN73="", CO73=""), "",   IF(ISERROR(CO73-CN73+1), "",CO73-CN73+1))</f>
        <v/>
      </c>
      <c r="CQ73" s="235"/>
      <c r="CR73" s="236"/>
      <c r="CS73" s="222" t="str">
        <f t="shared" ref="CS73:CS136" si="24">IF(OR(G73="", CQ73="", CR73=""), "",   IF(ISERROR(CR73-CQ73+1), "",CR73-CQ73+1))</f>
        <v/>
      </c>
      <c r="CT73" s="237" t="str">
        <f t="shared" ref="CT73:CT136" si="25">IF(AND(G73="", CK73="",CR73=""), "",IF(CR73="", IF(ISERROR(CV73-CK73), "",  CV73-CK73),  IF(ISERROR(CV73-CR73), "", CV73-CR73)))</f>
        <v/>
      </c>
      <c r="CU73" s="238"/>
      <c r="CV73" s="239"/>
      <c r="CW73" s="240"/>
    </row>
    <row r="74" spans="2:101" ht="16.5" customHeight="1">
      <c r="B74" s="122"/>
      <c r="E74" s="122"/>
      <c r="F74" s="194"/>
      <c r="G74" s="195"/>
      <c r="H74" s="195"/>
      <c r="I74" s="195"/>
      <c r="J74" s="196"/>
      <c r="K74" s="197"/>
      <c r="L74" s="198"/>
      <c r="M74" s="199"/>
      <c r="N74" s="200"/>
      <c r="O74" s="201"/>
      <c r="P74" s="201"/>
      <c r="Q74" s="201"/>
      <c r="R74" s="201"/>
      <c r="S74" s="201"/>
      <c r="T74" s="201"/>
      <c r="U74" s="201"/>
      <c r="V74" s="201"/>
      <c r="W74" s="201"/>
      <c r="X74" s="202"/>
      <c r="Y74" s="203"/>
      <c r="Z74" s="204"/>
      <c r="AA74" s="205"/>
      <c r="AB74" s="206"/>
      <c r="AC74" s="206"/>
      <c r="AD74" s="194"/>
      <c r="AE74" s="201"/>
      <c r="AF74" s="207"/>
      <c r="AG74" s="208"/>
      <c r="AH74" s="209"/>
      <c r="AI74" s="210"/>
      <c r="AJ74" s="197"/>
      <c r="AK74" s="201"/>
      <c r="AL74" s="196"/>
      <c r="AM74" s="201"/>
      <c r="AN74" s="201"/>
      <c r="AO74" s="201"/>
      <c r="AP74" s="211"/>
      <c r="AQ74" s="212"/>
      <c r="AR74" s="201"/>
      <c r="AS74" s="201"/>
      <c r="AT74" s="201"/>
      <c r="AU74" s="201"/>
      <c r="AV74" s="202"/>
      <c r="AW74" s="194"/>
      <c r="AX74" s="201"/>
      <c r="AY74" s="213"/>
      <c r="AZ74" s="214"/>
      <c r="BA74" s="215"/>
      <c r="BB74" s="216"/>
      <c r="BC74" s="217" t="str">
        <f t="shared" si="13"/>
        <v/>
      </c>
      <c r="BD74" s="218"/>
      <c r="BE74" s="219"/>
      <c r="BF74" s="220"/>
      <c r="BG74" s="219"/>
      <c r="BH74" s="219"/>
      <c r="BI74" s="220"/>
      <c r="BJ74" s="218"/>
      <c r="BK74" s="219"/>
      <c r="BL74" s="197"/>
      <c r="BM74" s="215"/>
      <c r="BN74" s="221"/>
      <c r="BO74" s="222" t="str">
        <f t="shared" si="14"/>
        <v/>
      </c>
      <c r="BP74" s="217" t="str">
        <f t="shared" si="15"/>
        <v/>
      </c>
      <c r="BQ74" s="215"/>
      <c r="BR74" s="224"/>
      <c r="BS74" s="225"/>
      <c r="BT74" s="223"/>
      <c r="BU74" s="215"/>
      <c r="BV74" s="226"/>
      <c r="BW74" s="222" t="str">
        <f t="shared" si="16"/>
        <v/>
      </c>
      <c r="BX74" s="223" t="str">
        <f t="shared" si="17"/>
        <v/>
      </c>
      <c r="BY74" s="215"/>
      <c r="BZ74" s="227"/>
      <c r="CA74" s="227"/>
      <c r="CB74" s="228"/>
      <c r="CC74" s="229"/>
      <c r="CD74" s="230" t="str">
        <f t="shared" si="18"/>
        <v/>
      </c>
      <c r="CE74" s="231" t="str">
        <f t="shared" si="19"/>
        <v/>
      </c>
      <c r="CF74" s="232" t="str">
        <f t="shared" si="20"/>
        <v/>
      </c>
      <c r="CG74" s="233" t="str">
        <f t="shared" si="21"/>
        <v/>
      </c>
      <c r="CH74" s="207" t="str">
        <f>IF(OR(G74="",CC74= ""), "", IF(ISERROR(SMALL((CJ74,CN74,CV74), 1)-CC74), "",  SMALL((CJ74,CN74,CV74), 1)-CC74))</f>
        <v/>
      </c>
      <c r="CI74" s="234"/>
      <c r="CJ74" s="235"/>
      <c r="CK74" s="236"/>
      <c r="CL74" s="222" t="str">
        <f t="shared" si="22"/>
        <v/>
      </c>
      <c r="CM74" s="237" t="str">
        <f>IF(OR(G74="", CJ74="",CK74=""), "", IF(ISERROR(SMALL((CN74,CV74), 1)-CK74), "",  SMALL((CN74,CV74), 1)-CK74))</f>
        <v/>
      </c>
      <c r="CN74" s="235"/>
      <c r="CO74" s="236"/>
      <c r="CP74" s="224" t="str">
        <f t="shared" si="23"/>
        <v/>
      </c>
      <c r="CQ74" s="235"/>
      <c r="CR74" s="236"/>
      <c r="CS74" s="222" t="str">
        <f t="shared" si="24"/>
        <v/>
      </c>
      <c r="CT74" s="237" t="str">
        <f t="shared" si="25"/>
        <v/>
      </c>
      <c r="CU74" s="238"/>
      <c r="CV74" s="239"/>
      <c r="CW74" s="240"/>
    </row>
    <row r="75" spans="2:101" ht="16.5" customHeight="1">
      <c r="B75" s="122"/>
      <c r="E75" s="122"/>
      <c r="F75" s="194"/>
      <c r="G75" s="195"/>
      <c r="H75" s="195"/>
      <c r="I75" s="195"/>
      <c r="J75" s="196"/>
      <c r="K75" s="197"/>
      <c r="L75" s="198"/>
      <c r="M75" s="199"/>
      <c r="N75" s="200"/>
      <c r="O75" s="201"/>
      <c r="P75" s="201"/>
      <c r="Q75" s="201"/>
      <c r="R75" s="201"/>
      <c r="S75" s="201"/>
      <c r="T75" s="201"/>
      <c r="U75" s="201"/>
      <c r="V75" s="201"/>
      <c r="W75" s="201"/>
      <c r="X75" s="202"/>
      <c r="Y75" s="203"/>
      <c r="Z75" s="204"/>
      <c r="AA75" s="205"/>
      <c r="AB75" s="206"/>
      <c r="AC75" s="206"/>
      <c r="AD75" s="194"/>
      <c r="AE75" s="201"/>
      <c r="AF75" s="207"/>
      <c r="AG75" s="208"/>
      <c r="AH75" s="209"/>
      <c r="AI75" s="210"/>
      <c r="AJ75" s="197"/>
      <c r="AK75" s="201"/>
      <c r="AL75" s="196"/>
      <c r="AM75" s="201"/>
      <c r="AN75" s="201"/>
      <c r="AO75" s="201"/>
      <c r="AP75" s="211"/>
      <c r="AQ75" s="212"/>
      <c r="AR75" s="201"/>
      <c r="AS75" s="201"/>
      <c r="AT75" s="201"/>
      <c r="AU75" s="201"/>
      <c r="AV75" s="202"/>
      <c r="AW75" s="194"/>
      <c r="AX75" s="201"/>
      <c r="AY75" s="213"/>
      <c r="AZ75" s="214"/>
      <c r="BA75" s="215"/>
      <c r="BB75" s="216"/>
      <c r="BC75" s="217" t="str">
        <f t="shared" si="13"/>
        <v/>
      </c>
      <c r="BD75" s="218"/>
      <c r="BE75" s="219"/>
      <c r="BF75" s="220"/>
      <c r="BG75" s="219"/>
      <c r="BH75" s="219"/>
      <c r="BI75" s="220"/>
      <c r="BJ75" s="218"/>
      <c r="BK75" s="219"/>
      <c r="BL75" s="197"/>
      <c r="BM75" s="215"/>
      <c r="BN75" s="221"/>
      <c r="BO75" s="222" t="str">
        <f t="shared" si="14"/>
        <v/>
      </c>
      <c r="BP75" s="217" t="str">
        <f t="shared" si="15"/>
        <v/>
      </c>
      <c r="BQ75" s="215"/>
      <c r="BR75" s="224"/>
      <c r="BS75" s="225"/>
      <c r="BT75" s="223"/>
      <c r="BU75" s="215"/>
      <c r="BV75" s="226"/>
      <c r="BW75" s="222" t="str">
        <f t="shared" si="16"/>
        <v/>
      </c>
      <c r="BX75" s="223" t="str">
        <f t="shared" si="17"/>
        <v/>
      </c>
      <c r="BY75" s="215"/>
      <c r="BZ75" s="227"/>
      <c r="CA75" s="227"/>
      <c r="CB75" s="228"/>
      <c r="CC75" s="229"/>
      <c r="CD75" s="230" t="str">
        <f t="shared" si="18"/>
        <v/>
      </c>
      <c r="CE75" s="231" t="str">
        <f t="shared" si="19"/>
        <v/>
      </c>
      <c r="CF75" s="232" t="str">
        <f t="shared" si="20"/>
        <v/>
      </c>
      <c r="CG75" s="233" t="str">
        <f t="shared" si="21"/>
        <v/>
      </c>
      <c r="CH75" s="207" t="str">
        <f>IF(OR(G75="",CC75= ""), "", IF(ISERROR(SMALL((CJ75,CN75,CV75), 1)-CC75), "",  SMALL((CJ75,CN75,CV75), 1)-CC75))</f>
        <v/>
      </c>
      <c r="CI75" s="234"/>
      <c r="CJ75" s="235"/>
      <c r="CK75" s="236"/>
      <c r="CL75" s="222" t="str">
        <f t="shared" si="22"/>
        <v/>
      </c>
      <c r="CM75" s="237" t="str">
        <f>IF(OR(G75="", CJ75="",CK75=""), "", IF(ISERROR(SMALL((CN75,CV75), 1)-CK75), "",  SMALL((CN75,CV75), 1)-CK75))</f>
        <v/>
      </c>
      <c r="CN75" s="235"/>
      <c r="CO75" s="236"/>
      <c r="CP75" s="224" t="str">
        <f t="shared" si="23"/>
        <v/>
      </c>
      <c r="CQ75" s="235"/>
      <c r="CR75" s="236"/>
      <c r="CS75" s="222" t="str">
        <f t="shared" si="24"/>
        <v/>
      </c>
      <c r="CT75" s="237" t="str">
        <f t="shared" si="25"/>
        <v/>
      </c>
      <c r="CU75" s="238"/>
      <c r="CV75" s="239"/>
      <c r="CW75" s="240"/>
    </row>
    <row r="76" spans="2:101" ht="16.5" customHeight="1">
      <c r="B76" s="122"/>
      <c r="E76" s="122"/>
      <c r="F76" s="194"/>
      <c r="G76" s="195"/>
      <c r="H76" s="195"/>
      <c r="I76" s="195"/>
      <c r="J76" s="196"/>
      <c r="K76" s="197"/>
      <c r="L76" s="198"/>
      <c r="M76" s="199"/>
      <c r="N76" s="200"/>
      <c r="O76" s="201"/>
      <c r="P76" s="201"/>
      <c r="Q76" s="201"/>
      <c r="R76" s="201"/>
      <c r="S76" s="201"/>
      <c r="T76" s="201"/>
      <c r="U76" s="201"/>
      <c r="V76" s="201"/>
      <c r="W76" s="201"/>
      <c r="X76" s="202"/>
      <c r="Y76" s="203"/>
      <c r="Z76" s="204"/>
      <c r="AA76" s="205"/>
      <c r="AB76" s="206"/>
      <c r="AC76" s="206"/>
      <c r="AD76" s="194"/>
      <c r="AE76" s="201"/>
      <c r="AF76" s="207"/>
      <c r="AG76" s="208"/>
      <c r="AH76" s="209"/>
      <c r="AI76" s="210"/>
      <c r="AJ76" s="197"/>
      <c r="AK76" s="201"/>
      <c r="AL76" s="196"/>
      <c r="AM76" s="201"/>
      <c r="AN76" s="201"/>
      <c r="AO76" s="201"/>
      <c r="AP76" s="211"/>
      <c r="AQ76" s="212"/>
      <c r="AR76" s="201"/>
      <c r="AS76" s="201"/>
      <c r="AT76" s="201"/>
      <c r="AU76" s="201"/>
      <c r="AV76" s="202"/>
      <c r="AW76" s="194"/>
      <c r="AX76" s="201"/>
      <c r="AY76" s="213"/>
      <c r="AZ76" s="214"/>
      <c r="BA76" s="215"/>
      <c r="BB76" s="216"/>
      <c r="BC76" s="217" t="str">
        <f t="shared" si="13"/>
        <v/>
      </c>
      <c r="BD76" s="218"/>
      <c r="BE76" s="219"/>
      <c r="BF76" s="220"/>
      <c r="BG76" s="219"/>
      <c r="BH76" s="219"/>
      <c r="BI76" s="220"/>
      <c r="BJ76" s="218"/>
      <c r="BK76" s="219"/>
      <c r="BL76" s="197"/>
      <c r="BM76" s="215"/>
      <c r="BN76" s="221"/>
      <c r="BO76" s="222" t="str">
        <f t="shared" si="14"/>
        <v/>
      </c>
      <c r="BP76" s="217" t="str">
        <f t="shared" si="15"/>
        <v/>
      </c>
      <c r="BQ76" s="215"/>
      <c r="BR76" s="224"/>
      <c r="BS76" s="225"/>
      <c r="BT76" s="223"/>
      <c r="BU76" s="215"/>
      <c r="BV76" s="226"/>
      <c r="BW76" s="222" t="str">
        <f t="shared" si="16"/>
        <v/>
      </c>
      <c r="BX76" s="223" t="str">
        <f t="shared" si="17"/>
        <v/>
      </c>
      <c r="BY76" s="215"/>
      <c r="BZ76" s="227"/>
      <c r="CA76" s="227"/>
      <c r="CB76" s="228"/>
      <c r="CC76" s="229"/>
      <c r="CD76" s="230" t="str">
        <f t="shared" si="18"/>
        <v/>
      </c>
      <c r="CE76" s="231" t="str">
        <f t="shared" si="19"/>
        <v/>
      </c>
      <c r="CF76" s="232" t="str">
        <f t="shared" si="20"/>
        <v/>
      </c>
      <c r="CG76" s="233" t="str">
        <f t="shared" si="21"/>
        <v/>
      </c>
      <c r="CH76" s="207" t="str">
        <f>IF(OR(G76="",CC76= ""), "", IF(ISERROR(SMALL((CJ76,CN76,CV76), 1)-CC76), "",  SMALL((CJ76,CN76,CV76), 1)-CC76))</f>
        <v/>
      </c>
      <c r="CI76" s="234"/>
      <c r="CJ76" s="235"/>
      <c r="CK76" s="236"/>
      <c r="CL76" s="222" t="str">
        <f t="shared" si="22"/>
        <v/>
      </c>
      <c r="CM76" s="237" t="str">
        <f>IF(OR(G76="", CJ76="",CK76=""), "", IF(ISERROR(SMALL((CN76,CV76), 1)-CK76), "",  SMALL((CN76,CV76), 1)-CK76))</f>
        <v/>
      </c>
      <c r="CN76" s="235"/>
      <c r="CO76" s="236"/>
      <c r="CP76" s="224" t="str">
        <f t="shared" si="23"/>
        <v/>
      </c>
      <c r="CQ76" s="235"/>
      <c r="CR76" s="236"/>
      <c r="CS76" s="222" t="str">
        <f t="shared" si="24"/>
        <v/>
      </c>
      <c r="CT76" s="237" t="str">
        <f t="shared" si="25"/>
        <v/>
      </c>
      <c r="CU76" s="238"/>
      <c r="CV76" s="239"/>
      <c r="CW76" s="240"/>
    </row>
    <row r="77" spans="2:101" ht="16.5" customHeight="1">
      <c r="B77" s="122"/>
      <c r="E77" s="122"/>
      <c r="F77" s="194"/>
      <c r="G77" s="195"/>
      <c r="H77" s="195"/>
      <c r="I77" s="195"/>
      <c r="J77" s="196"/>
      <c r="K77" s="197"/>
      <c r="L77" s="198"/>
      <c r="M77" s="199"/>
      <c r="N77" s="200"/>
      <c r="O77" s="201"/>
      <c r="P77" s="201"/>
      <c r="Q77" s="201"/>
      <c r="R77" s="201"/>
      <c r="S77" s="201"/>
      <c r="T77" s="201"/>
      <c r="U77" s="201"/>
      <c r="V77" s="201"/>
      <c r="W77" s="201"/>
      <c r="X77" s="202"/>
      <c r="Y77" s="203"/>
      <c r="Z77" s="204"/>
      <c r="AA77" s="205"/>
      <c r="AB77" s="206"/>
      <c r="AC77" s="206"/>
      <c r="AD77" s="194"/>
      <c r="AE77" s="201"/>
      <c r="AF77" s="207"/>
      <c r="AG77" s="208"/>
      <c r="AH77" s="209"/>
      <c r="AI77" s="210"/>
      <c r="AJ77" s="197"/>
      <c r="AK77" s="201"/>
      <c r="AL77" s="196"/>
      <c r="AM77" s="201"/>
      <c r="AN77" s="201"/>
      <c r="AO77" s="201"/>
      <c r="AP77" s="211"/>
      <c r="AQ77" s="212"/>
      <c r="AR77" s="201"/>
      <c r="AS77" s="201"/>
      <c r="AT77" s="201"/>
      <c r="AU77" s="201"/>
      <c r="AV77" s="202"/>
      <c r="AW77" s="194"/>
      <c r="AX77" s="201"/>
      <c r="AY77" s="213"/>
      <c r="AZ77" s="214"/>
      <c r="BA77" s="215"/>
      <c r="BB77" s="216"/>
      <c r="BC77" s="217" t="str">
        <f t="shared" si="13"/>
        <v/>
      </c>
      <c r="BD77" s="218"/>
      <c r="BE77" s="219"/>
      <c r="BF77" s="220"/>
      <c r="BG77" s="219"/>
      <c r="BH77" s="219"/>
      <c r="BI77" s="220"/>
      <c r="BJ77" s="218"/>
      <c r="BK77" s="219"/>
      <c r="BL77" s="197"/>
      <c r="BM77" s="215"/>
      <c r="BN77" s="221"/>
      <c r="BO77" s="222" t="str">
        <f t="shared" si="14"/>
        <v/>
      </c>
      <c r="BP77" s="217" t="str">
        <f t="shared" si="15"/>
        <v/>
      </c>
      <c r="BQ77" s="215"/>
      <c r="BR77" s="224"/>
      <c r="BS77" s="225"/>
      <c r="BT77" s="223"/>
      <c r="BU77" s="215"/>
      <c r="BV77" s="226"/>
      <c r="BW77" s="222" t="str">
        <f t="shared" si="16"/>
        <v/>
      </c>
      <c r="BX77" s="223" t="str">
        <f t="shared" si="17"/>
        <v/>
      </c>
      <c r="BY77" s="215"/>
      <c r="BZ77" s="227"/>
      <c r="CA77" s="227"/>
      <c r="CB77" s="228"/>
      <c r="CC77" s="229"/>
      <c r="CD77" s="230" t="str">
        <f t="shared" si="18"/>
        <v/>
      </c>
      <c r="CE77" s="231" t="str">
        <f t="shared" si="19"/>
        <v/>
      </c>
      <c r="CF77" s="232" t="str">
        <f t="shared" si="20"/>
        <v/>
      </c>
      <c r="CG77" s="233" t="str">
        <f t="shared" si="21"/>
        <v/>
      </c>
      <c r="CH77" s="207" t="str">
        <f>IF(OR(G77="",CC77= ""), "", IF(ISERROR(SMALL((CJ77,CN77,CV77), 1)-CC77), "",  SMALL((CJ77,CN77,CV77), 1)-CC77))</f>
        <v/>
      </c>
      <c r="CI77" s="234"/>
      <c r="CJ77" s="235"/>
      <c r="CK77" s="236"/>
      <c r="CL77" s="222" t="str">
        <f t="shared" si="22"/>
        <v/>
      </c>
      <c r="CM77" s="237" t="str">
        <f>IF(OR(G77="", CJ77="",CK77=""), "", IF(ISERROR(SMALL((CN77,CV77), 1)-CK77), "",  SMALL((CN77,CV77), 1)-CK77))</f>
        <v/>
      </c>
      <c r="CN77" s="235"/>
      <c r="CO77" s="236"/>
      <c r="CP77" s="224" t="str">
        <f t="shared" si="23"/>
        <v/>
      </c>
      <c r="CQ77" s="235"/>
      <c r="CR77" s="236"/>
      <c r="CS77" s="222" t="str">
        <f t="shared" si="24"/>
        <v/>
      </c>
      <c r="CT77" s="237" t="str">
        <f t="shared" si="25"/>
        <v/>
      </c>
      <c r="CU77" s="238"/>
      <c r="CV77" s="239"/>
      <c r="CW77" s="240"/>
    </row>
    <row r="78" spans="2:101" ht="16.5" customHeight="1">
      <c r="B78" s="122"/>
      <c r="E78" s="122"/>
      <c r="F78" s="194"/>
      <c r="G78" s="195"/>
      <c r="H78" s="195"/>
      <c r="I78" s="195"/>
      <c r="J78" s="196"/>
      <c r="K78" s="197"/>
      <c r="L78" s="198"/>
      <c r="M78" s="199"/>
      <c r="N78" s="200"/>
      <c r="O78" s="201"/>
      <c r="P78" s="201"/>
      <c r="Q78" s="201"/>
      <c r="R78" s="201"/>
      <c r="S78" s="201"/>
      <c r="T78" s="201"/>
      <c r="U78" s="201"/>
      <c r="V78" s="201"/>
      <c r="W78" s="201"/>
      <c r="X78" s="202"/>
      <c r="Y78" s="203"/>
      <c r="Z78" s="204"/>
      <c r="AA78" s="205"/>
      <c r="AB78" s="206"/>
      <c r="AC78" s="206"/>
      <c r="AD78" s="194"/>
      <c r="AE78" s="201"/>
      <c r="AF78" s="207"/>
      <c r="AG78" s="208"/>
      <c r="AH78" s="209"/>
      <c r="AI78" s="210"/>
      <c r="AJ78" s="197"/>
      <c r="AK78" s="201"/>
      <c r="AL78" s="196"/>
      <c r="AM78" s="201"/>
      <c r="AN78" s="201"/>
      <c r="AO78" s="201"/>
      <c r="AP78" s="211"/>
      <c r="AQ78" s="212"/>
      <c r="AR78" s="201"/>
      <c r="AS78" s="201"/>
      <c r="AT78" s="201"/>
      <c r="AU78" s="201"/>
      <c r="AV78" s="202"/>
      <c r="AW78" s="194"/>
      <c r="AX78" s="201"/>
      <c r="AY78" s="213"/>
      <c r="AZ78" s="214"/>
      <c r="BA78" s="215"/>
      <c r="BB78" s="216"/>
      <c r="BC78" s="217" t="str">
        <f t="shared" si="13"/>
        <v/>
      </c>
      <c r="BD78" s="218"/>
      <c r="BE78" s="219"/>
      <c r="BF78" s="220"/>
      <c r="BG78" s="219"/>
      <c r="BH78" s="219"/>
      <c r="BI78" s="220"/>
      <c r="BJ78" s="218"/>
      <c r="BK78" s="219"/>
      <c r="BL78" s="197"/>
      <c r="BM78" s="215"/>
      <c r="BN78" s="221"/>
      <c r="BO78" s="222" t="str">
        <f t="shared" si="14"/>
        <v/>
      </c>
      <c r="BP78" s="217" t="str">
        <f t="shared" si="15"/>
        <v/>
      </c>
      <c r="BQ78" s="215"/>
      <c r="BR78" s="224"/>
      <c r="BS78" s="225"/>
      <c r="BT78" s="223"/>
      <c r="BU78" s="215"/>
      <c r="BV78" s="226"/>
      <c r="BW78" s="222" t="str">
        <f t="shared" si="16"/>
        <v/>
      </c>
      <c r="BX78" s="223" t="str">
        <f t="shared" si="17"/>
        <v/>
      </c>
      <c r="BY78" s="215"/>
      <c r="BZ78" s="227"/>
      <c r="CA78" s="227"/>
      <c r="CB78" s="228"/>
      <c r="CC78" s="229"/>
      <c r="CD78" s="230" t="str">
        <f t="shared" si="18"/>
        <v/>
      </c>
      <c r="CE78" s="231" t="str">
        <f t="shared" si="19"/>
        <v/>
      </c>
      <c r="CF78" s="232" t="str">
        <f t="shared" si="20"/>
        <v/>
      </c>
      <c r="CG78" s="233" t="str">
        <f t="shared" si="21"/>
        <v/>
      </c>
      <c r="CH78" s="207" t="str">
        <f>IF(OR(G78="",CC78= ""), "", IF(ISERROR(SMALL((CJ78,CN78,CV78), 1)-CC78), "",  SMALL((CJ78,CN78,CV78), 1)-CC78))</f>
        <v/>
      </c>
      <c r="CI78" s="234"/>
      <c r="CJ78" s="235"/>
      <c r="CK78" s="236"/>
      <c r="CL78" s="222" t="str">
        <f t="shared" si="22"/>
        <v/>
      </c>
      <c r="CM78" s="237" t="str">
        <f>IF(OR(G78="", CJ78="",CK78=""), "", IF(ISERROR(SMALL((CN78,CV78), 1)-CK78), "",  SMALL((CN78,CV78), 1)-CK78))</f>
        <v/>
      </c>
      <c r="CN78" s="235"/>
      <c r="CO78" s="236"/>
      <c r="CP78" s="224" t="str">
        <f t="shared" si="23"/>
        <v/>
      </c>
      <c r="CQ78" s="235"/>
      <c r="CR78" s="236"/>
      <c r="CS78" s="222" t="str">
        <f t="shared" si="24"/>
        <v/>
      </c>
      <c r="CT78" s="237" t="str">
        <f t="shared" si="25"/>
        <v/>
      </c>
      <c r="CU78" s="238"/>
      <c r="CV78" s="239"/>
      <c r="CW78" s="240"/>
    </row>
    <row r="79" spans="2:101" ht="16.5" customHeight="1">
      <c r="B79" s="122"/>
      <c r="E79" s="122"/>
      <c r="F79" s="194"/>
      <c r="G79" s="195"/>
      <c r="H79" s="195"/>
      <c r="I79" s="195"/>
      <c r="J79" s="196"/>
      <c r="K79" s="197"/>
      <c r="L79" s="198"/>
      <c r="M79" s="199"/>
      <c r="N79" s="200"/>
      <c r="O79" s="201"/>
      <c r="P79" s="201"/>
      <c r="Q79" s="201"/>
      <c r="R79" s="201"/>
      <c r="S79" s="201"/>
      <c r="T79" s="201"/>
      <c r="U79" s="201"/>
      <c r="V79" s="201"/>
      <c r="W79" s="201"/>
      <c r="X79" s="202"/>
      <c r="Y79" s="203"/>
      <c r="Z79" s="204"/>
      <c r="AA79" s="205"/>
      <c r="AB79" s="206"/>
      <c r="AC79" s="206"/>
      <c r="AD79" s="194"/>
      <c r="AE79" s="201"/>
      <c r="AF79" s="207"/>
      <c r="AG79" s="208"/>
      <c r="AH79" s="209"/>
      <c r="AI79" s="210"/>
      <c r="AJ79" s="197"/>
      <c r="AK79" s="201"/>
      <c r="AL79" s="196"/>
      <c r="AM79" s="201"/>
      <c r="AN79" s="201"/>
      <c r="AO79" s="201"/>
      <c r="AP79" s="211"/>
      <c r="AQ79" s="212"/>
      <c r="AR79" s="201"/>
      <c r="AS79" s="201"/>
      <c r="AT79" s="201"/>
      <c r="AU79" s="201"/>
      <c r="AV79" s="202"/>
      <c r="AW79" s="194"/>
      <c r="AX79" s="201"/>
      <c r="AY79" s="213"/>
      <c r="AZ79" s="214"/>
      <c r="BA79" s="215"/>
      <c r="BB79" s="216"/>
      <c r="BC79" s="217" t="str">
        <f t="shared" si="13"/>
        <v/>
      </c>
      <c r="BD79" s="218"/>
      <c r="BE79" s="219"/>
      <c r="BF79" s="220"/>
      <c r="BG79" s="219"/>
      <c r="BH79" s="219"/>
      <c r="BI79" s="220"/>
      <c r="BJ79" s="218"/>
      <c r="BK79" s="219"/>
      <c r="BL79" s="197"/>
      <c r="BM79" s="215"/>
      <c r="BN79" s="221"/>
      <c r="BO79" s="222" t="str">
        <f t="shared" si="14"/>
        <v/>
      </c>
      <c r="BP79" s="217" t="str">
        <f t="shared" si="15"/>
        <v/>
      </c>
      <c r="BQ79" s="215"/>
      <c r="BR79" s="224"/>
      <c r="BS79" s="225"/>
      <c r="BT79" s="223"/>
      <c r="BU79" s="215"/>
      <c r="BV79" s="226"/>
      <c r="BW79" s="222" t="str">
        <f t="shared" si="16"/>
        <v/>
      </c>
      <c r="BX79" s="223" t="str">
        <f t="shared" si="17"/>
        <v/>
      </c>
      <c r="BY79" s="215"/>
      <c r="BZ79" s="227"/>
      <c r="CA79" s="227"/>
      <c r="CB79" s="228"/>
      <c r="CC79" s="229"/>
      <c r="CD79" s="230" t="str">
        <f t="shared" si="18"/>
        <v/>
      </c>
      <c r="CE79" s="231" t="str">
        <f t="shared" si="19"/>
        <v/>
      </c>
      <c r="CF79" s="232" t="str">
        <f t="shared" si="20"/>
        <v/>
      </c>
      <c r="CG79" s="233" t="str">
        <f t="shared" si="21"/>
        <v/>
      </c>
      <c r="CH79" s="207" t="str">
        <f>IF(OR(G79="",CC79= ""), "", IF(ISERROR(SMALL((CJ79,CN79,CV79), 1)-CC79), "",  SMALL((CJ79,CN79,CV79), 1)-CC79))</f>
        <v/>
      </c>
      <c r="CI79" s="234"/>
      <c r="CJ79" s="235"/>
      <c r="CK79" s="236"/>
      <c r="CL79" s="222" t="str">
        <f t="shared" si="22"/>
        <v/>
      </c>
      <c r="CM79" s="237" t="str">
        <f>IF(OR(G79="", CJ79="",CK79=""), "", IF(ISERROR(SMALL((CN79,CV79), 1)-CK79), "",  SMALL((CN79,CV79), 1)-CK79))</f>
        <v/>
      </c>
      <c r="CN79" s="235"/>
      <c r="CO79" s="236"/>
      <c r="CP79" s="224" t="str">
        <f t="shared" si="23"/>
        <v/>
      </c>
      <c r="CQ79" s="235"/>
      <c r="CR79" s="236"/>
      <c r="CS79" s="222" t="str">
        <f t="shared" si="24"/>
        <v/>
      </c>
      <c r="CT79" s="237" t="str">
        <f t="shared" si="25"/>
        <v/>
      </c>
      <c r="CU79" s="238"/>
      <c r="CV79" s="239"/>
      <c r="CW79" s="240"/>
    </row>
    <row r="80" spans="2:101" ht="16.5" customHeight="1">
      <c r="B80" s="122"/>
      <c r="E80" s="122"/>
      <c r="F80" s="194"/>
      <c r="G80" s="195"/>
      <c r="H80" s="195"/>
      <c r="I80" s="195"/>
      <c r="J80" s="196"/>
      <c r="K80" s="197"/>
      <c r="L80" s="198"/>
      <c r="M80" s="199"/>
      <c r="N80" s="200"/>
      <c r="O80" s="201"/>
      <c r="P80" s="201"/>
      <c r="Q80" s="201"/>
      <c r="R80" s="201"/>
      <c r="S80" s="201"/>
      <c r="T80" s="201"/>
      <c r="U80" s="201"/>
      <c r="V80" s="201"/>
      <c r="W80" s="201"/>
      <c r="X80" s="202"/>
      <c r="Y80" s="203"/>
      <c r="Z80" s="204"/>
      <c r="AA80" s="205"/>
      <c r="AB80" s="206"/>
      <c r="AC80" s="206"/>
      <c r="AD80" s="194"/>
      <c r="AE80" s="201"/>
      <c r="AF80" s="207"/>
      <c r="AG80" s="208"/>
      <c r="AH80" s="209"/>
      <c r="AI80" s="210"/>
      <c r="AJ80" s="197"/>
      <c r="AK80" s="201"/>
      <c r="AL80" s="196"/>
      <c r="AM80" s="201"/>
      <c r="AN80" s="201"/>
      <c r="AO80" s="201"/>
      <c r="AP80" s="211"/>
      <c r="AQ80" s="212"/>
      <c r="AR80" s="201"/>
      <c r="AS80" s="201"/>
      <c r="AT80" s="201"/>
      <c r="AU80" s="201"/>
      <c r="AV80" s="202"/>
      <c r="AW80" s="194"/>
      <c r="AX80" s="201"/>
      <c r="AY80" s="213"/>
      <c r="AZ80" s="214"/>
      <c r="BA80" s="215"/>
      <c r="BB80" s="216"/>
      <c r="BC80" s="217" t="str">
        <f t="shared" si="13"/>
        <v/>
      </c>
      <c r="BD80" s="218"/>
      <c r="BE80" s="219"/>
      <c r="BF80" s="220"/>
      <c r="BG80" s="219"/>
      <c r="BH80" s="219"/>
      <c r="BI80" s="220"/>
      <c r="BJ80" s="218"/>
      <c r="BK80" s="219"/>
      <c r="BL80" s="197"/>
      <c r="BM80" s="215"/>
      <c r="BN80" s="221"/>
      <c r="BO80" s="222" t="str">
        <f t="shared" si="14"/>
        <v/>
      </c>
      <c r="BP80" s="217" t="str">
        <f t="shared" si="15"/>
        <v/>
      </c>
      <c r="BQ80" s="215"/>
      <c r="BR80" s="224"/>
      <c r="BS80" s="225"/>
      <c r="BT80" s="223"/>
      <c r="BU80" s="215"/>
      <c r="BV80" s="226"/>
      <c r="BW80" s="222" t="str">
        <f t="shared" si="16"/>
        <v/>
      </c>
      <c r="BX80" s="223" t="str">
        <f t="shared" si="17"/>
        <v/>
      </c>
      <c r="BY80" s="215"/>
      <c r="BZ80" s="227"/>
      <c r="CA80" s="227"/>
      <c r="CB80" s="228"/>
      <c r="CC80" s="229"/>
      <c r="CD80" s="230" t="str">
        <f t="shared" si="18"/>
        <v/>
      </c>
      <c r="CE80" s="231" t="str">
        <f t="shared" si="19"/>
        <v/>
      </c>
      <c r="CF80" s="232" t="str">
        <f t="shared" si="20"/>
        <v/>
      </c>
      <c r="CG80" s="233" t="str">
        <f t="shared" si="21"/>
        <v/>
      </c>
      <c r="CH80" s="207" t="str">
        <f>IF(OR(G80="",CC80= ""), "", IF(ISERROR(SMALL((CJ80,CN80,CV80), 1)-CC80), "",  SMALL((CJ80,CN80,CV80), 1)-CC80))</f>
        <v/>
      </c>
      <c r="CI80" s="234"/>
      <c r="CJ80" s="235"/>
      <c r="CK80" s="236"/>
      <c r="CL80" s="222" t="str">
        <f t="shared" si="22"/>
        <v/>
      </c>
      <c r="CM80" s="237" t="str">
        <f>IF(OR(G80="", CJ80="",CK80=""), "", IF(ISERROR(SMALL((CN80,CV80), 1)-CK80), "",  SMALL((CN80,CV80), 1)-CK80))</f>
        <v/>
      </c>
      <c r="CN80" s="235"/>
      <c r="CO80" s="236"/>
      <c r="CP80" s="224" t="str">
        <f t="shared" si="23"/>
        <v/>
      </c>
      <c r="CQ80" s="235"/>
      <c r="CR80" s="236"/>
      <c r="CS80" s="222" t="str">
        <f t="shared" si="24"/>
        <v/>
      </c>
      <c r="CT80" s="237" t="str">
        <f t="shared" si="25"/>
        <v/>
      </c>
      <c r="CU80" s="238"/>
      <c r="CV80" s="239"/>
      <c r="CW80" s="240"/>
    </row>
    <row r="81" spans="2:101" ht="16.5" customHeight="1">
      <c r="B81" s="122"/>
      <c r="E81" s="122"/>
      <c r="F81" s="194"/>
      <c r="G81" s="195"/>
      <c r="H81" s="195"/>
      <c r="I81" s="195"/>
      <c r="J81" s="196"/>
      <c r="K81" s="197"/>
      <c r="L81" s="198"/>
      <c r="M81" s="199"/>
      <c r="N81" s="200"/>
      <c r="O81" s="201"/>
      <c r="P81" s="201"/>
      <c r="Q81" s="201"/>
      <c r="R81" s="201"/>
      <c r="S81" s="201"/>
      <c r="T81" s="201"/>
      <c r="U81" s="201"/>
      <c r="V81" s="201"/>
      <c r="W81" s="201"/>
      <c r="X81" s="202"/>
      <c r="Y81" s="203"/>
      <c r="Z81" s="204"/>
      <c r="AA81" s="205"/>
      <c r="AB81" s="206"/>
      <c r="AC81" s="206"/>
      <c r="AD81" s="194"/>
      <c r="AE81" s="201"/>
      <c r="AF81" s="207"/>
      <c r="AG81" s="208"/>
      <c r="AH81" s="209"/>
      <c r="AI81" s="210"/>
      <c r="AJ81" s="197"/>
      <c r="AK81" s="201"/>
      <c r="AL81" s="196"/>
      <c r="AM81" s="201"/>
      <c r="AN81" s="201"/>
      <c r="AO81" s="201"/>
      <c r="AP81" s="211"/>
      <c r="AQ81" s="212"/>
      <c r="AR81" s="201"/>
      <c r="AS81" s="201"/>
      <c r="AT81" s="201"/>
      <c r="AU81" s="201"/>
      <c r="AV81" s="202"/>
      <c r="AW81" s="194"/>
      <c r="AX81" s="201"/>
      <c r="AY81" s="213"/>
      <c r="AZ81" s="214"/>
      <c r="BA81" s="215"/>
      <c r="BB81" s="216"/>
      <c r="BC81" s="217" t="str">
        <f t="shared" si="13"/>
        <v/>
      </c>
      <c r="BD81" s="218"/>
      <c r="BE81" s="219"/>
      <c r="BF81" s="220"/>
      <c r="BG81" s="219"/>
      <c r="BH81" s="219"/>
      <c r="BI81" s="220"/>
      <c r="BJ81" s="218"/>
      <c r="BK81" s="219"/>
      <c r="BL81" s="197"/>
      <c r="BM81" s="215"/>
      <c r="BN81" s="221"/>
      <c r="BO81" s="222" t="str">
        <f t="shared" si="14"/>
        <v/>
      </c>
      <c r="BP81" s="217" t="str">
        <f t="shared" si="15"/>
        <v/>
      </c>
      <c r="BQ81" s="215"/>
      <c r="BR81" s="224"/>
      <c r="BS81" s="225"/>
      <c r="BT81" s="223"/>
      <c r="BU81" s="215"/>
      <c r="BV81" s="226"/>
      <c r="BW81" s="222" t="str">
        <f t="shared" si="16"/>
        <v/>
      </c>
      <c r="BX81" s="223" t="str">
        <f t="shared" si="17"/>
        <v/>
      </c>
      <c r="BY81" s="215"/>
      <c r="BZ81" s="227"/>
      <c r="CA81" s="227"/>
      <c r="CB81" s="228"/>
      <c r="CC81" s="229"/>
      <c r="CD81" s="230" t="str">
        <f t="shared" si="18"/>
        <v/>
      </c>
      <c r="CE81" s="231" t="str">
        <f t="shared" si="19"/>
        <v/>
      </c>
      <c r="CF81" s="232" t="str">
        <f t="shared" si="20"/>
        <v/>
      </c>
      <c r="CG81" s="233" t="str">
        <f t="shared" si="21"/>
        <v/>
      </c>
      <c r="CH81" s="207" t="str">
        <f>IF(OR(G81="",CC81= ""), "", IF(ISERROR(SMALL((CJ81,CN81,CV81), 1)-CC81), "",  SMALL((CJ81,CN81,CV81), 1)-CC81))</f>
        <v/>
      </c>
      <c r="CI81" s="234"/>
      <c r="CJ81" s="235"/>
      <c r="CK81" s="236"/>
      <c r="CL81" s="222" t="str">
        <f t="shared" si="22"/>
        <v/>
      </c>
      <c r="CM81" s="237" t="str">
        <f>IF(OR(G81="", CJ81="",CK81=""), "", IF(ISERROR(SMALL((CN81,CV81), 1)-CK81), "",  SMALL((CN81,CV81), 1)-CK81))</f>
        <v/>
      </c>
      <c r="CN81" s="235"/>
      <c r="CO81" s="236"/>
      <c r="CP81" s="224" t="str">
        <f t="shared" si="23"/>
        <v/>
      </c>
      <c r="CQ81" s="235"/>
      <c r="CR81" s="236"/>
      <c r="CS81" s="222" t="str">
        <f t="shared" si="24"/>
        <v/>
      </c>
      <c r="CT81" s="237" t="str">
        <f t="shared" si="25"/>
        <v/>
      </c>
      <c r="CU81" s="238"/>
      <c r="CV81" s="239"/>
      <c r="CW81" s="240"/>
    </row>
    <row r="82" spans="2:101" ht="16.5" customHeight="1">
      <c r="B82" s="122"/>
      <c r="E82" s="122"/>
      <c r="F82" s="194"/>
      <c r="G82" s="195"/>
      <c r="H82" s="195"/>
      <c r="I82" s="195"/>
      <c r="J82" s="196"/>
      <c r="K82" s="197"/>
      <c r="L82" s="198"/>
      <c r="M82" s="199"/>
      <c r="N82" s="200"/>
      <c r="O82" s="201"/>
      <c r="P82" s="201"/>
      <c r="Q82" s="201"/>
      <c r="R82" s="201"/>
      <c r="S82" s="201"/>
      <c r="T82" s="201"/>
      <c r="U82" s="201"/>
      <c r="V82" s="201"/>
      <c r="W82" s="201"/>
      <c r="X82" s="202"/>
      <c r="Y82" s="203"/>
      <c r="Z82" s="204"/>
      <c r="AA82" s="205"/>
      <c r="AB82" s="206"/>
      <c r="AC82" s="206"/>
      <c r="AD82" s="194"/>
      <c r="AE82" s="201"/>
      <c r="AF82" s="207"/>
      <c r="AG82" s="208"/>
      <c r="AH82" s="209"/>
      <c r="AI82" s="210"/>
      <c r="AJ82" s="197"/>
      <c r="AK82" s="201"/>
      <c r="AL82" s="196"/>
      <c r="AM82" s="201"/>
      <c r="AN82" s="201"/>
      <c r="AO82" s="201"/>
      <c r="AP82" s="211"/>
      <c r="AQ82" s="212"/>
      <c r="AR82" s="201"/>
      <c r="AS82" s="201"/>
      <c r="AT82" s="201"/>
      <c r="AU82" s="201"/>
      <c r="AV82" s="202"/>
      <c r="AW82" s="194"/>
      <c r="AX82" s="201"/>
      <c r="AY82" s="213"/>
      <c r="AZ82" s="214"/>
      <c r="BA82" s="215"/>
      <c r="BB82" s="216"/>
      <c r="BC82" s="217" t="str">
        <f t="shared" si="13"/>
        <v/>
      </c>
      <c r="BD82" s="218"/>
      <c r="BE82" s="219"/>
      <c r="BF82" s="220"/>
      <c r="BG82" s="219"/>
      <c r="BH82" s="219"/>
      <c r="BI82" s="220"/>
      <c r="BJ82" s="218"/>
      <c r="BK82" s="219"/>
      <c r="BL82" s="197"/>
      <c r="BM82" s="215"/>
      <c r="BN82" s="221"/>
      <c r="BO82" s="222" t="str">
        <f t="shared" si="14"/>
        <v/>
      </c>
      <c r="BP82" s="217" t="str">
        <f t="shared" si="15"/>
        <v/>
      </c>
      <c r="BQ82" s="215"/>
      <c r="BR82" s="224"/>
      <c r="BS82" s="225"/>
      <c r="BT82" s="223"/>
      <c r="BU82" s="215"/>
      <c r="BV82" s="226"/>
      <c r="BW82" s="222" t="str">
        <f t="shared" si="16"/>
        <v/>
      </c>
      <c r="BX82" s="223" t="str">
        <f t="shared" si="17"/>
        <v/>
      </c>
      <c r="BY82" s="215"/>
      <c r="BZ82" s="227"/>
      <c r="CA82" s="227"/>
      <c r="CB82" s="228"/>
      <c r="CC82" s="229"/>
      <c r="CD82" s="230" t="str">
        <f t="shared" si="18"/>
        <v/>
      </c>
      <c r="CE82" s="231" t="str">
        <f t="shared" si="19"/>
        <v/>
      </c>
      <c r="CF82" s="232" t="str">
        <f t="shared" si="20"/>
        <v/>
      </c>
      <c r="CG82" s="233" t="str">
        <f t="shared" si="21"/>
        <v/>
      </c>
      <c r="CH82" s="207" t="str">
        <f>IF(OR(G82="",CC82= ""), "", IF(ISERROR(SMALL((CJ82,CN82,CV82), 1)-CC82), "",  SMALL((CJ82,CN82,CV82), 1)-CC82))</f>
        <v/>
      </c>
      <c r="CI82" s="234"/>
      <c r="CJ82" s="235"/>
      <c r="CK82" s="236"/>
      <c r="CL82" s="222" t="str">
        <f t="shared" si="22"/>
        <v/>
      </c>
      <c r="CM82" s="237" t="str">
        <f>IF(OR(G82="", CJ82="",CK82=""), "", IF(ISERROR(SMALL((CN82,CV82), 1)-CK82), "",  SMALL((CN82,CV82), 1)-CK82))</f>
        <v/>
      </c>
      <c r="CN82" s="235"/>
      <c r="CO82" s="236"/>
      <c r="CP82" s="224" t="str">
        <f t="shared" si="23"/>
        <v/>
      </c>
      <c r="CQ82" s="235"/>
      <c r="CR82" s="236"/>
      <c r="CS82" s="222" t="str">
        <f t="shared" si="24"/>
        <v/>
      </c>
      <c r="CT82" s="237" t="str">
        <f t="shared" si="25"/>
        <v/>
      </c>
      <c r="CU82" s="238"/>
      <c r="CV82" s="239"/>
      <c r="CW82" s="240"/>
    </row>
    <row r="83" spans="2:101" ht="16.5" customHeight="1">
      <c r="B83" s="122"/>
      <c r="E83" s="122"/>
      <c r="F83" s="194"/>
      <c r="G83" s="195"/>
      <c r="H83" s="195"/>
      <c r="I83" s="195"/>
      <c r="J83" s="196"/>
      <c r="K83" s="197"/>
      <c r="L83" s="198"/>
      <c r="M83" s="199"/>
      <c r="N83" s="200"/>
      <c r="O83" s="201"/>
      <c r="P83" s="201"/>
      <c r="Q83" s="201"/>
      <c r="R83" s="201"/>
      <c r="S83" s="201"/>
      <c r="T83" s="201"/>
      <c r="U83" s="201"/>
      <c r="V83" s="201"/>
      <c r="W83" s="201"/>
      <c r="X83" s="202"/>
      <c r="Y83" s="203"/>
      <c r="Z83" s="204"/>
      <c r="AA83" s="205"/>
      <c r="AB83" s="206"/>
      <c r="AC83" s="206"/>
      <c r="AD83" s="194"/>
      <c r="AE83" s="201"/>
      <c r="AF83" s="207"/>
      <c r="AG83" s="208"/>
      <c r="AH83" s="209"/>
      <c r="AI83" s="210"/>
      <c r="AJ83" s="197"/>
      <c r="AK83" s="201"/>
      <c r="AL83" s="196"/>
      <c r="AM83" s="201"/>
      <c r="AN83" s="201"/>
      <c r="AO83" s="201"/>
      <c r="AP83" s="211"/>
      <c r="AQ83" s="212"/>
      <c r="AR83" s="201"/>
      <c r="AS83" s="201"/>
      <c r="AT83" s="201"/>
      <c r="AU83" s="201"/>
      <c r="AV83" s="202"/>
      <c r="AW83" s="194"/>
      <c r="AX83" s="201"/>
      <c r="AY83" s="213"/>
      <c r="AZ83" s="214"/>
      <c r="BA83" s="215"/>
      <c r="BB83" s="216"/>
      <c r="BC83" s="217" t="str">
        <f t="shared" si="13"/>
        <v/>
      </c>
      <c r="BD83" s="218"/>
      <c r="BE83" s="219"/>
      <c r="BF83" s="220"/>
      <c r="BG83" s="219"/>
      <c r="BH83" s="219"/>
      <c r="BI83" s="220"/>
      <c r="BJ83" s="218"/>
      <c r="BK83" s="219"/>
      <c r="BL83" s="197"/>
      <c r="BM83" s="215"/>
      <c r="BN83" s="221"/>
      <c r="BO83" s="222" t="str">
        <f t="shared" si="14"/>
        <v/>
      </c>
      <c r="BP83" s="217" t="str">
        <f t="shared" si="15"/>
        <v/>
      </c>
      <c r="BQ83" s="215"/>
      <c r="BR83" s="224"/>
      <c r="BS83" s="225"/>
      <c r="BT83" s="223"/>
      <c r="BU83" s="215"/>
      <c r="BV83" s="226"/>
      <c r="BW83" s="222" t="str">
        <f t="shared" si="16"/>
        <v/>
      </c>
      <c r="BX83" s="223" t="str">
        <f t="shared" si="17"/>
        <v/>
      </c>
      <c r="BY83" s="215"/>
      <c r="BZ83" s="227"/>
      <c r="CA83" s="227"/>
      <c r="CB83" s="228"/>
      <c r="CC83" s="229"/>
      <c r="CD83" s="230" t="str">
        <f t="shared" si="18"/>
        <v/>
      </c>
      <c r="CE83" s="231" t="str">
        <f t="shared" si="19"/>
        <v/>
      </c>
      <c r="CF83" s="232" t="str">
        <f t="shared" si="20"/>
        <v/>
      </c>
      <c r="CG83" s="233" t="str">
        <f t="shared" si="21"/>
        <v/>
      </c>
      <c r="CH83" s="207" t="str">
        <f>IF(OR(G83="",CC83= ""), "", IF(ISERROR(SMALL((CJ83,CN83,CV83), 1)-CC83), "",  SMALL((CJ83,CN83,CV83), 1)-CC83))</f>
        <v/>
      </c>
      <c r="CI83" s="234"/>
      <c r="CJ83" s="235"/>
      <c r="CK83" s="236"/>
      <c r="CL83" s="222" t="str">
        <f t="shared" si="22"/>
        <v/>
      </c>
      <c r="CM83" s="237" t="str">
        <f>IF(OR(G83="", CJ83="",CK83=""), "", IF(ISERROR(SMALL((CN83,CV83), 1)-CK83), "",  SMALL((CN83,CV83), 1)-CK83))</f>
        <v/>
      </c>
      <c r="CN83" s="235"/>
      <c r="CO83" s="236"/>
      <c r="CP83" s="224" t="str">
        <f t="shared" si="23"/>
        <v/>
      </c>
      <c r="CQ83" s="235"/>
      <c r="CR83" s="236"/>
      <c r="CS83" s="222" t="str">
        <f t="shared" si="24"/>
        <v/>
      </c>
      <c r="CT83" s="237" t="str">
        <f t="shared" si="25"/>
        <v/>
      </c>
      <c r="CU83" s="238"/>
      <c r="CV83" s="239"/>
      <c r="CW83" s="240"/>
    </row>
    <row r="84" spans="2:101" ht="16.5" customHeight="1">
      <c r="B84" s="122"/>
      <c r="E84" s="122"/>
      <c r="F84" s="194"/>
      <c r="G84" s="195"/>
      <c r="H84" s="195"/>
      <c r="I84" s="195"/>
      <c r="J84" s="196"/>
      <c r="K84" s="197"/>
      <c r="L84" s="198"/>
      <c r="M84" s="199"/>
      <c r="N84" s="200"/>
      <c r="O84" s="201"/>
      <c r="P84" s="201"/>
      <c r="Q84" s="201"/>
      <c r="R84" s="201"/>
      <c r="S84" s="201"/>
      <c r="T84" s="201"/>
      <c r="U84" s="201"/>
      <c r="V84" s="201"/>
      <c r="W84" s="201"/>
      <c r="X84" s="202"/>
      <c r="Y84" s="203"/>
      <c r="Z84" s="204"/>
      <c r="AA84" s="205"/>
      <c r="AB84" s="206"/>
      <c r="AC84" s="206"/>
      <c r="AD84" s="194"/>
      <c r="AE84" s="201"/>
      <c r="AF84" s="207"/>
      <c r="AG84" s="208"/>
      <c r="AH84" s="209"/>
      <c r="AI84" s="210"/>
      <c r="AJ84" s="197"/>
      <c r="AK84" s="201"/>
      <c r="AL84" s="196"/>
      <c r="AM84" s="201"/>
      <c r="AN84" s="201"/>
      <c r="AO84" s="201"/>
      <c r="AP84" s="211"/>
      <c r="AQ84" s="212"/>
      <c r="AR84" s="201"/>
      <c r="AS84" s="201"/>
      <c r="AT84" s="201"/>
      <c r="AU84" s="201"/>
      <c r="AV84" s="202"/>
      <c r="AW84" s="194"/>
      <c r="AX84" s="201"/>
      <c r="AY84" s="213"/>
      <c r="AZ84" s="214"/>
      <c r="BA84" s="215"/>
      <c r="BB84" s="216"/>
      <c r="BC84" s="217" t="str">
        <f t="shared" si="13"/>
        <v/>
      </c>
      <c r="BD84" s="218"/>
      <c r="BE84" s="219"/>
      <c r="BF84" s="220"/>
      <c r="BG84" s="219"/>
      <c r="BH84" s="219"/>
      <c r="BI84" s="220"/>
      <c r="BJ84" s="218"/>
      <c r="BK84" s="219"/>
      <c r="BL84" s="197"/>
      <c r="BM84" s="215"/>
      <c r="BN84" s="221"/>
      <c r="BO84" s="222" t="str">
        <f t="shared" si="14"/>
        <v/>
      </c>
      <c r="BP84" s="217" t="str">
        <f t="shared" si="15"/>
        <v/>
      </c>
      <c r="BQ84" s="215"/>
      <c r="BR84" s="224"/>
      <c r="BS84" s="225"/>
      <c r="BT84" s="223"/>
      <c r="BU84" s="215"/>
      <c r="BV84" s="226"/>
      <c r="BW84" s="222" t="str">
        <f t="shared" si="16"/>
        <v/>
      </c>
      <c r="BX84" s="223" t="str">
        <f t="shared" si="17"/>
        <v/>
      </c>
      <c r="BY84" s="215"/>
      <c r="BZ84" s="227"/>
      <c r="CA84" s="227"/>
      <c r="CB84" s="228"/>
      <c r="CC84" s="229"/>
      <c r="CD84" s="230" t="str">
        <f t="shared" si="18"/>
        <v/>
      </c>
      <c r="CE84" s="231" t="str">
        <f t="shared" si="19"/>
        <v/>
      </c>
      <c r="CF84" s="232" t="str">
        <f t="shared" si="20"/>
        <v/>
      </c>
      <c r="CG84" s="233" t="str">
        <f t="shared" si="21"/>
        <v/>
      </c>
      <c r="CH84" s="207" t="str">
        <f>IF(OR(G84="",CC84= ""), "", IF(ISERROR(SMALL((CJ84,CN84,CV84), 1)-CC84), "",  SMALL((CJ84,CN84,CV84), 1)-CC84))</f>
        <v/>
      </c>
      <c r="CI84" s="234"/>
      <c r="CJ84" s="235"/>
      <c r="CK84" s="236"/>
      <c r="CL84" s="222" t="str">
        <f t="shared" si="22"/>
        <v/>
      </c>
      <c r="CM84" s="237" t="str">
        <f>IF(OR(G84="", CJ84="",CK84=""), "", IF(ISERROR(SMALL((CN84,CV84), 1)-CK84), "",  SMALL((CN84,CV84), 1)-CK84))</f>
        <v/>
      </c>
      <c r="CN84" s="235"/>
      <c r="CO84" s="236"/>
      <c r="CP84" s="224" t="str">
        <f t="shared" si="23"/>
        <v/>
      </c>
      <c r="CQ84" s="235"/>
      <c r="CR84" s="236"/>
      <c r="CS84" s="222" t="str">
        <f t="shared" si="24"/>
        <v/>
      </c>
      <c r="CT84" s="237" t="str">
        <f t="shared" si="25"/>
        <v/>
      </c>
      <c r="CU84" s="238"/>
      <c r="CV84" s="239"/>
      <c r="CW84" s="240"/>
    </row>
    <row r="85" spans="2:101" ht="16.5" customHeight="1">
      <c r="B85" s="122"/>
      <c r="E85" s="122"/>
      <c r="F85" s="194"/>
      <c r="G85" s="195"/>
      <c r="H85" s="195"/>
      <c r="I85" s="195"/>
      <c r="J85" s="196"/>
      <c r="K85" s="197"/>
      <c r="L85" s="198"/>
      <c r="M85" s="199"/>
      <c r="N85" s="200"/>
      <c r="O85" s="201"/>
      <c r="P85" s="201"/>
      <c r="Q85" s="201"/>
      <c r="R85" s="201"/>
      <c r="S85" s="201"/>
      <c r="T85" s="201"/>
      <c r="U85" s="201"/>
      <c r="V85" s="201"/>
      <c r="W85" s="201"/>
      <c r="X85" s="202"/>
      <c r="Y85" s="203"/>
      <c r="Z85" s="204"/>
      <c r="AA85" s="205"/>
      <c r="AB85" s="206"/>
      <c r="AC85" s="206"/>
      <c r="AD85" s="194"/>
      <c r="AE85" s="201"/>
      <c r="AF85" s="207"/>
      <c r="AG85" s="208"/>
      <c r="AH85" s="209"/>
      <c r="AI85" s="210"/>
      <c r="AJ85" s="197"/>
      <c r="AK85" s="201"/>
      <c r="AL85" s="196"/>
      <c r="AM85" s="201"/>
      <c r="AN85" s="201"/>
      <c r="AO85" s="201"/>
      <c r="AP85" s="211"/>
      <c r="AQ85" s="212"/>
      <c r="AR85" s="201"/>
      <c r="AS85" s="201"/>
      <c r="AT85" s="201"/>
      <c r="AU85" s="201"/>
      <c r="AV85" s="202"/>
      <c r="AW85" s="194"/>
      <c r="AX85" s="201"/>
      <c r="AY85" s="213"/>
      <c r="AZ85" s="214"/>
      <c r="BA85" s="215"/>
      <c r="BB85" s="216"/>
      <c r="BC85" s="217" t="str">
        <f t="shared" si="13"/>
        <v/>
      </c>
      <c r="BD85" s="218"/>
      <c r="BE85" s="219"/>
      <c r="BF85" s="220"/>
      <c r="BG85" s="219"/>
      <c r="BH85" s="219"/>
      <c r="BI85" s="220"/>
      <c r="BJ85" s="218"/>
      <c r="BK85" s="219"/>
      <c r="BL85" s="197"/>
      <c r="BM85" s="215"/>
      <c r="BN85" s="221"/>
      <c r="BO85" s="222" t="str">
        <f t="shared" si="14"/>
        <v/>
      </c>
      <c r="BP85" s="217" t="str">
        <f t="shared" si="15"/>
        <v/>
      </c>
      <c r="BQ85" s="215"/>
      <c r="BR85" s="224"/>
      <c r="BS85" s="225"/>
      <c r="BT85" s="223"/>
      <c r="BU85" s="215"/>
      <c r="BV85" s="226"/>
      <c r="BW85" s="222" t="str">
        <f t="shared" si="16"/>
        <v/>
      </c>
      <c r="BX85" s="223" t="str">
        <f t="shared" si="17"/>
        <v/>
      </c>
      <c r="BY85" s="215"/>
      <c r="BZ85" s="227"/>
      <c r="CA85" s="227"/>
      <c r="CB85" s="228"/>
      <c r="CC85" s="229"/>
      <c r="CD85" s="230" t="str">
        <f t="shared" si="18"/>
        <v/>
      </c>
      <c r="CE85" s="231" t="str">
        <f t="shared" si="19"/>
        <v/>
      </c>
      <c r="CF85" s="232" t="str">
        <f t="shared" si="20"/>
        <v/>
      </c>
      <c r="CG85" s="233" t="str">
        <f t="shared" si="21"/>
        <v/>
      </c>
      <c r="CH85" s="207" t="str">
        <f>IF(OR(G85="",CC85= ""), "", IF(ISERROR(SMALL((CJ85,CN85,CV85), 1)-CC85), "",  SMALL((CJ85,CN85,CV85), 1)-CC85))</f>
        <v/>
      </c>
      <c r="CI85" s="234"/>
      <c r="CJ85" s="235"/>
      <c r="CK85" s="236"/>
      <c r="CL85" s="222" t="str">
        <f t="shared" si="22"/>
        <v/>
      </c>
      <c r="CM85" s="237" t="str">
        <f>IF(OR(G85="", CJ85="",CK85=""), "", IF(ISERROR(SMALL((CN85,CV85), 1)-CK85), "",  SMALL((CN85,CV85), 1)-CK85))</f>
        <v/>
      </c>
      <c r="CN85" s="235"/>
      <c r="CO85" s="236"/>
      <c r="CP85" s="224" t="str">
        <f t="shared" si="23"/>
        <v/>
      </c>
      <c r="CQ85" s="235"/>
      <c r="CR85" s="236"/>
      <c r="CS85" s="222" t="str">
        <f t="shared" si="24"/>
        <v/>
      </c>
      <c r="CT85" s="237" t="str">
        <f t="shared" si="25"/>
        <v/>
      </c>
      <c r="CU85" s="238"/>
      <c r="CV85" s="239"/>
      <c r="CW85" s="240"/>
    </row>
    <row r="86" spans="2:101" ht="16.5" customHeight="1">
      <c r="B86" s="122"/>
      <c r="E86" s="122"/>
      <c r="F86" s="194"/>
      <c r="G86" s="195"/>
      <c r="H86" s="195"/>
      <c r="I86" s="195"/>
      <c r="J86" s="196"/>
      <c r="K86" s="197"/>
      <c r="L86" s="198"/>
      <c r="M86" s="199"/>
      <c r="N86" s="200"/>
      <c r="O86" s="201"/>
      <c r="P86" s="201"/>
      <c r="Q86" s="201"/>
      <c r="R86" s="201"/>
      <c r="S86" s="201"/>
      <c r="T86" s="201"/>
      <c r="U86" s="201"/>
      <c r="V86" s="201"/>
      <c r="W86" s="201"/>
      <c r="X86" s="202"/>
      <c r="Y86" s="203"/>
      <c r="Z86" s="204"/>
      <c r="AA86" s="205"/>
      <c r="AB86" s="206"/>
      <c r="AC86" s="206"/>
      <c r="AD86" s="194"/>
      <c r="AE86" s="201"/>
      <c r="AF86" s="207"/>
      <c r="AG86" s="208"/>
      <c r="AH86" s="209"/>
      <c r="AI86" s="210"/>
      <c r="AJ86" s="197"/>
      <c r="AK86" s="201"/>
      <c r="AL86" s="196"/>
      <c r="AM86" s="201"/>
      <c r="AN86" s="201"/>
      <c r="AO86" s="201"/>
      <c r="AP86" s="211"/>
      <c r="AQ86" s="212"/>
      <c r="AR86" s="201"/>
      <c r="AS86" s="201"/>
      <c r="AT86" s="201"/>
      <c r="AU86" s="201"/>
      <c r="AV86" s="202"/>
      <c r="AW86" s="194"/>
      <c r="AX86" s="201"/>
      <c r="AY86" s="213"/>
      <c r="AZ86" s="214"/>
      <c r="BA86" s="215"/>
      <c r="BB86" s="216"/>
      <c r="BC86" s="217" t="str">
        <f t="shared" si="13"/>
        <v/>
      </c>
      <c r="BD86" s="218"/>
      <c r="BE86" s="219"/>
      <c r="BF86" s="220"/>
      <c r="BG86" s="219"/>
      <c r="BH86" s="219"/>
      <c r="BI86" s="220"/>
      <c r="BJ86" s="218"/>
      <c r="BK86" s="219"/>
      <c r="BL86" s="197"/>
      <c r="BM86" s="215"/>
      <c r="BN86" s="221"/>
      <c r="BO86" s="222" t="str">
        <f t="shared" si="14"/>
        <v/>
      </c>
      <c r="BP86" s="217" t="str">
        <f t="shared" si="15"/>
        <v/>
      </c>
      <c r="BQ86" s="215"/>
      <c r="BR86" s="224"/>
      <c r="BS86" s="225"/>
      <c r="BT86" s="223"/>
      <c r="BU86" s="215"/>
      <c r="BV86" s="226"/>
      <c r="BW86" s="222" t="str">
        <f t="shared" si="16"/>
        <v/>
      </c>
      <c r="BX86" s="223" t="str">
        <f t="shared" si="17"/>
        <v/>
      </c>
      <c r="BY86" s="215"/>
      <c r="BZ86" s="227"/>
      <c r="CA86" s="227"/>
      <c r="CB86" s="228"/>
      <c r="CC86" s="229"/>
      <c r="CD86" s="230" t="str">
        <f t="shared" si="18"/>
        <v/>
      </c>
      <c r="CE86" s="231" t="str">
        <f t="shared" si="19"/>
        <v/>
      </c>
      <c r="CF86" s="232" t="str">
        <f t="shared" si="20"/>
        <v/>
      </c>
      <c r="CG86" s="233" t="str">
        <f t="shared" si="21"/>
        <v/>
      </c>
      <c r="CH86" s="207" t="str">
        <f>IF(OR(G86="",CC86= ""), "", IF(ISERROR(SMALL((CJ86,CN86,CV86), 1)-CC86), "",  SMALL((CJ86,CN86,CV86), 1)-CC86))</f>
        <v/>
      </c>
      <c r="CI86" s="234"/>
      <c r="CJ86" s="235"/>
      <c r="CK86" s="236"/>
      <c r="CL86" s="222" t="str">
        <f t="shared" si="22"/>
        <v/>
      </c>
      <c r="CM86" s="237" t="str">
        <f>IF(OR(G86="", CJ86="",CK86=""), "", IF(ISERROR(SMALL((CN86,CV86), 1)-CK86), "",  SMALL((CN86,CV86), 1)-CK86))</f>
        <v/>
      </c>
      <c r="CN86" s="235"/>
      <c r="CO86" s="236"/>
      <c r="CP86" s="224" t="str">
        <f t="shared" si="23"/>
        <v/>
      </c>
      <c r="CQ86" s="235"/>
      <c r="CR86" s="236"/>
      <c r="CS86" s="222" t="str">
        <f t="shared" si="24"/>
        <v/>
      </c>
      <c r="CT86" s="237" t="str">
        <f t="shared" si="25"/>
        <v/>
      </c>
      <c r="CU86" s="238"/>
      <c r="CV86" s="239"/>
      <c r="CW86" s="240"/>
    </row>
    <row r="87" spans="2:101" ht="16.5" customHeight="1">
      <c r="B87" s="122"/>
      <c r="E87" s="122"/>
      <c r="F87" s="194"/>
      <c r="G87" s="195"/>
      <c r="H87" s="195"/>
      <c r="I87" s="195"/>
      <c r="J87" s="196"/>
      <c r="K87" s="197"/>
      <c r="L87" s="198"/>
      <c r="M87" s="199"/>
      <c r="N87" s="200"/>
      <c r="O87" s="201"/>
      <c r="P87" s="201"/>
      <c r="Q87" s="201"/>
      <c r="R87" s="201"/>
      <c r="S87" s="201"/>
      <c r="T87" s="201"/>
      <c r="U87" s="201"/>
      <c r="V87" s="201"/>
      <c r="W87" s="201"/>
      <c r="X87" s="202"/>
      <c r="Y87" s="203"/>
      <c r="Z87" s="204"/>
      <c r="AA87" s="205"/>
      <c r="AB87" s="206"/>
      <c r="AC87" s="206"/>
      <c r="AD87" s="194"/>
      <c r="AE87" s="201"/>
      <c r="AF87" s="207"/>
      <c r="AG87" s="208"/>
      <c r="AH87" s="209"/>
      <c r="AI87" s="210"/>
      <c r="AJ87" s="197"/>
      <c r="AK87" s="201"/>
      <c r="AL87" s="196"/>
      <c r="AM87" s="201"/>
      <c r="AN87" s="201"/>
      <c r="AO87" s="201"/>
      <c r="AP87" s="211"/>
      <c r="AQ87" s="212"/>
      <c r="AR87" s="201"/>
      <c r="AS87" s="201"/>
      <c r="AT87" s="201"/>
      <c r="AU87" s="201"/>
      <c r="AV87" s="202"/>
      <c r="AW87" s="194"/>
      <c r="AX87" s="201"/>
      <c r="AY87" s="213"/>
      <c r="AZ87" s="214"/>
      <c r="BA87" s="215"/>
      <c r="BB87" s="216"/>
      <c r="BC87" s="217" t="str">
        <f t="shared" si="13"/>
        <v/>
      </c>
      <c r="BD87" s="218"/>
      <c r="BE87" s="219"/>
      <c r="BF87" s="220"/>
      <c r="BG87" s="219"/>
      <c r="BH87" s="219"/>
      <c r="BI87" s="220"/>
      <c r="BJ87" s="218"/>
      <c r="BK87" s="219"/>
      <c r="BL87" s="197"/>
      <c r="BM87" s="215"/>
      <c r="BN87" s="221"/>
      <c r="BO87" s="222" t="str">
        <f t="shared" si="14"/>
        <v/>
      </c>
      <c r="BP87" s="217" t="str">
        <f t="shared" si="15"/>
        <v/>
      </c>
      <c r="BQ87" s="215"/>
      <c r="BR87" s="224"/>
      <c r="BS87" s="225"/>
      <c r="BT87" s="223"/>
      <c r="BU87" s="215"/>
      <c r="BV87" s="226"/>
      <c r="BW87" s="222" t="str">
        <f t="shared" si="16"/>
        <v/>
      </c>
      <c r="BX87" s="223" t="str">
        <f t="shared" si="17"/>
        <v/>
      </c>
      <c r="BY87" s="215"/>
      <c r="BZ87" s="227"/>
      <c r="CA87" s="227"/>
      <c r="CB87" s="228"/>
      <c r="CC87" s="229"/>
      <c r="CD87" s="230" t="str">
        <f t="shared" si="18"/>
        <v/>
      </c>
      <c r="CE87" s="231" t="str">
        <f t="shared" si="19"/>
        <v/>
      </c>
      <c r="CF87" s="232" t="str">
        <f t="shared" si="20"/>
        <v/>
      </c>
      <c r="CG87" s="233" t="str">
        <f t="shared" si="21"/>
        <v/>
      </c>
      <c r="CH87" s="207" t="str">
        <f>IF(OR(G87="",CC87= ""), "", IF(ISERROR(SMALL((CJ87,CN87,CV87), 1)-CC87), "",  SMALL((CJ87,CN87,CV87), 1)-CC87))</f>
        <v/>
      </c>
      <c r="CI87" s="234"/>
      <c r="CJ87" s="235"/>
      <c r="CK87" s="236"/>
      <c r="CL87" s="222" t="str">
        <f t="shared" si="22"/>
        <v/>
      </c>
      <c r="CM87" s="237" t="str">
        <f>IF(OR(G87="", CJ87="",CK87=""), "", IF(ISERROR(SMALL((CN87,CV87), 1)-CK87), "",  SMALL((CN87,CV87), 1)-CK87))</f>
        <v/>
      </c>
      <c r="CN87" s="235"/>
      <c r="CO87" s="236"/>
      <c r="CP87" s="224" t="str">
        <f t="shared" si="23"/>
        <v/>
      </c>
      <c r="CQ87" s="235"/>
      <c r="CR87" s="236"/>
      <c r="CS87" s="222" t="str">
        <f t="shared" si="24"/>
        <v/>
      </c>
      <c r="CT87" s="237" t="str">
        <f t="shared" si="25"/>
        <v/>
      </c>
      <c r="CU87" s="238"/>
      <c r="CV87" s="239"/>
      <c r="CW87" s="240"/>
    </row>
    <row r="88" spans="2:101" ht="16.5" customHeight="1">
      <c r="B88" s="122"/>
      <c r="E88" s="122"/>
      <c r="F88" s="194"/>
      <c r="G88" s="195"/>
      <c r="H88" s="195"/>
      <c r="I88" s="195"/>
      <c r="J88" s="196"/>
      <c r="K88" s="197"/>
      <c r="L88" s="198"/>
      <c r="M88" s="199"/>
      <c r="N88" s="200"/>
      <c r="O88" s="201"/>
      <c r="P88" s="201"/>
      <c r="Q88" s="201"/>
      <c r="R88" s="201"/>
      <c r="S88" s="201"/>
      <c r="T88" s="201"/>
      <c r="U88" s="201"/>
      <c r="V88" s="201"/>
      <c r="W88" s="201"/>
      <c r="X88" s="202"/>
      <c r="Y88" s="203"/>
      <c r="Z88" s="204"/>
      <c r="AA88" s="205"/>
      <c r="AB88" s="206"/>
      <c r="AC88" s="206"/>
      <c r="AD88" s="194"/>
      <c r="AE88" s="201"/>
      <c r="AF88" s="207"/>
      <c r="AG88" s="208"/>
      <c r="AH88" s="209"/>
      <c r="AI88" s="210"/>
      <c r="AJ88" s="197"/>
      <c r="AK88" s="201"/>
      <c r="AL88" s="196"/>
      <c r="AM88" s="201"/>
      <c r="AN88" s="201"/>
      <c r="AO88" s="201"/>
      <c r="AP88" s="211"/>
      <c r="AQ88" s="212"/>
      <c r="AR88" s="201"/>
      <c r="AS88" s="201"/>
      <c r="AT88" s="201"/>
      <c r="AU88" s="201"/>
      <c r="AV88" s="202"/>
      <c r="AW88" s="194"/>
      <c r="AX88" s="201"/>
      <c r="AY88" s="213"/>
      <c r="AZ88" s="214"/>
      <c r="BA88" s="215"/>
      <c r="BB88" s="216"/>
      <c r="BC88" s="217" t="str">
        <f t="shared" si="13"/>
        <v/>
      </c>
      <c r="BD88" s="218"/>
      <c r="BE88" s="219"/>
      <c r="BF88" s="220"/>
      <c r="BG88" s="219"/>
      <c r="BH88" s="219"/>
      <c r="BI88" s="220"/>
      <c r="BJ88" s="218"/>
      <c r="BK88" s="219"/>
      <c r="BL88" s="197"/>
      <c r="BM88" s="215"/>
      <c r="BN88" s="221"/>
      <c r="BO88" s="222" t="str">
        <f t="shared" si="14"/>
        <v/>
      </c>
      <c r="BP88" s="217" t="str">
        <f t="shared" si="15"/>
        <v/>
      </c>
      <c r="BQ88" s="215"/>
      <c r="BR88" s="224"/>
      <c r="BS88" s="225"/>
      <c r="BT88" s="223"/>
      <c r="BU88" s="215"/>
      <c r="BV88" s="226"/>
      <c r="BW88" s="222" t="str">
        <f t="shared" si="16"/>
        <v/>
      </c>
      <c r="BX88" s="223" t="str">
        <f t="shared" si="17"/>
        <v/>
      </c>
      <c r="BY88" s="215"/>
      <c r="BZ88" s="227"/>
      <c r="CA88" s="227"/>
      <c r="CB88" s="228"/>
      <c r="CC88" s="229"/>
      <c r="CD88" s="230" t="str">
        <f t="shared" si="18"/>
        <v/>
      </c>
      <c r="CE88" s="231" t="str">
        <f t="shared" si="19"/>
        <v/>
      </c>
      <c r="CF88" s="232" t="str">
        <f t="shared" si="20"/>
        <v/>
      </c>
      <c r="CG88" s="233" t="str">
        <f t="shared" si="21"/>
        <v/>
      </c>
      <c r="CH88" s="207" t="str">
        <f>IF(OR(G88="",CC88= ""), "", IF(ISERROR(SMALL((CJ88,CN88,CV88), 1)-CC88), "",  SMALL((CJ88,CN88,CV88), 1)-CC88))</f>
        <v/>
      </c>
      <c r="CI88" s="234"/>
      <c r="CJ88" s="235"/>
      <c r="CK88" s="236"/>
      <c r="CL88" s="222" t="str">
        <f t="shared" si="22"/>
        <v/>
      </c>
      <c r="CM88" s="237" t="str">
        <f>IF(OR(G88="", CJ88="",CK88=""), "", IF(ISERROR(SMALL((CN88,CV88), 1)-CK88), "",  SMALL((CN88,CV88), 1)-CK88))</f>
        <v/>
      </c>
      <c r="CN88" s="235"/>
      <c r="CO88" s="236"/>
      <c r="CP88" s="224" t="str">
        <f t="shared" si="23"/>
        <v/>
      </c>
      <c r="CQ88" s="235"/>
      <c r="CR88" s="236"/>
      <c r="CS88" s="222" t="str">
        <f t="shared" si="24"/>
        <v/>
      </c>
      <c r="CT88" s="237" t="str">
        <f t="shared" si="25"/>
        <v/>
      </c>
      <c r="CU88" s="238"/>
      <c r="CV88" s="239"/>
      <c r="CW88" s="240"/>
    </row>
    <row r="89" spans="2:101" ht="16.5" customHeight="1">
      <c r="B89" s="122"/>
      <c r="E89" s="122"/>
      <c r="F89" s="194"/>
      <c r="G89" s="195"/>
      <c r="H89" s="195"/>
      <c r="I89" s="195"/>
      <c r="J89" s="196"/>
      <c r="K89" s="197"/>
      <c r="L89" s="198"/>
      <c r="M89" s="199"/>
      <c r="N89" s="200"/>
      <c r="O89" s="201"/>
      <c r="P89" s="201"/>
      <c r="Q89" s="201"/>
      <c r="R89" s="201"/>
      <c r="S89" s="201"/>
      <c r="T89" s="201"/>
      <c r="U89" s="201"/>
      <c r="V89" s="201"/>
      <c r="W89" s="201"/>
      <c r="X89" s="202"/>
      <c r="Y89" s="203"/>
      <c r="Z89" s="204"/>
      <c r="AA89" s="205"/>
      <c r="AB89" s="206"/>
      <c r="AC89" s="206"/>
      <c r="AD89" s="194"/>
      <c r="AE89" s="201"/>
      <c r="AF89" s="207"/>
      <c r="AG89" s="208"/>
      <c r="AH89" s="209"/>
      <c r="AI89" s="210"/>
      <c r="AJ89" s="197"/>
      <c r="AK89" s="201"/>
      <c r="AL89" s="196"/>
      <c r="AM89" s="201"/>
      <c r="AN89" s="201"/>
      <c r="AO89" s="201"/>
      <c r="AP89" s="211"/>
      <c r="AQ89" s="212"/>
      <c r="AR89" s="201"/>
      <c r="AS89" s="201"/>
      <c r="AT89" s="201"/>
      <c r="AU89" s="201"/>
      <c r="AV89" s="202"/>
      <c r="AW89" s="194"/>
      <c r="AX89" s="201"/>
      <c r="AY89" s="213"/>
      <c r="AZ89" s="214"/>
      <c r="BA89" s="215"/>
      <c r="BB89" s="216"/>
      <c r="BC89" s="217" t="str">
        <f t="shared" si="13"/>
        <v/>
      </c>
      <c r="BD89" s="218"/>
      <c r="BE89" s="219"/>
      <c r="BF89" s="220"/>
      <c r="BG89" s="219"/>
      <c r="BH89" s="219"/>
      <c r="BI89" s="220"/>
      <c r="BJ89" s="218"/>
      <c r="BK89" s="219"/>
      <c r="BL89" s="197"/>
      <c r="BM89" s="215"/>
      <c r="BN89" s="221"/>
      <c r="BO89" s="222" t="str">
        <f t="shared" si="14"/>
        <v/>
      </c>
      <c r="BP89" s="217" t="str">
        <f t="shared" si="15"/>
        <v/>
      </c>
      <c r="BQ89" s="215"/>
      <c r="BR89" s="224"/>
      <c r="BS89" s="225"/>
      <c r="BT89" s="223"/>
      <c r="BU89" s="215"/>
      <c r="BV89" s="226"/>
      <c r="BW89" s="222" t="str">
        <f t="shared" si="16"/>
        <v/>
      </c>
      <c r="BX89" s="223" t="str">
        <f t="shared" si="17"/>
        <v/>
      </c>
      <c r="BY89" s="215"/>
      <c r="BZ89" s="227"/>
      <c r="CA89" s="227"/>
      <c r="CB89" s="228"/>
      <c r="CC89" s="229"/>
      <c r="CD89" s="230" t="str">
        <f t="shared" si="18"/>
        <v/>
      </c>
      <c r="CE89" s="231" t="str">
        <f t="shared" si="19"/>
        <v/>
      </c>
      <c r="CF89" s="232" t="str">
        <f t="shared" si="20"/>
        <v/>
      </c>
      <c r="CG89" s="233" t="str">
        <f t="shared" si="21"/>
        <v/>
      </c>
      <c r="CH89" s="207" t="str">
        <f>IF(OR(G89="",CC89= ""), "", IF(ISERROR(SMALL((CJ89,CN89,CV89), 1)-CC89), "",  SMALL((CJ89,CN89,CV89), 1)-CC89))</f>
        <v/>
      </c>
      <c r="CI89" s="234"/>
      <c r="CJ89" s="235"/>
      <c r="CK89" s="236"/>
      <c r="CL89" s="222" t="str">
        <f t="shared" si="22"/>
        <v/>
      </c>
      <c r="CM89" s="237" t="str">
        <f>IF(OR(G89="", CJ89="",CK89=""), "", IF(ISERROR(SMALL((CN89,CV89), 1)-CK89), "",  SMALL((CN89,CV89), 1)-CK89))</f>
        <v/>
      </c>
      <c r="CN89" s="235"/>
      <c r="CO89" s="236"/>
      <c r="CP89" s="224" t="str">
        <f t="shared" si="23"/>
        <v/>
      </c>
      <c r="CQ89" s="235"/>
      <c r="CR89" s="236"/>
      <c r="CS89" s="222" t="str">
        <f t="shared" si="24"/>
        <v/>
      </c>
      <c r="CT89" s="237" t="str">
        <f t="shared" si="25"/>
        <v/>
      </c>
      <c r="CU89" s="238"/>
      <c r="CV89" s="239"/>
      <c r="CW89" s="240"/>
    </row>
    <row r="90" spans="2:101" ht="16.5" customHeight="1">
      <c r="B90" s="122"/>
      <c r="E90" s="122"/>
      <c r="F90" s="194"/>
      <c r="G90" s="195"/>
      <c r="H90" s="195"/>
      <c r="I90" s="195"/>
      <c r="J90" s="196"/>
      <c r="K90" s="197"/>
      <c r="L90" s="198"/>
      <c r="M90" s="199"/>
      <c r="N90" s="200"/>
      <c r="O90" s="201"/>
      <c r="P90" s="201"/>
      <c r="Q90" s="201"/>
      <c r="R90" s="201"/>
      <c r="S90" s="201"/>
      <c r="T90" s="201"/>
      <c r="U90" s="201"/>
      <c r="V90" s="201"/>
      <c r="W90" s="201"/>
      <c r="X90" s="202"/>
      <c r="Y90" s="203"/>
      <c r="Z90" s="204"/>
      <c r="AA90" s="205"/>
      <c r="AB90" s="206"/>
      <c r="AC90" s="206"/>
      <c r="AD90" s="194"/>
      <c r="AE90" s="201"/>
      <c r="AF90" s="207"/>
      <c r="AG90" s="208"/>
      <c r="AH90" s="209"/>
      <c r="AI90" s="210"/>
      <c r="AJ90" s="197"/>
      <c r="AK90" s="201"/>
      <c r="AL90" s="196"/>
      <c r="AM90" s="201"/>
      <c r="AN90" s="201"/>
      <c r="AO90" s="201"/>
      <c r="AP90" s="211"/>
      <c r="AQ90" s="212"/>
      <c r="AR90" s="201"/>
      <c r="AS90" s="201"/>
      <c r="AT90" s="201"/>
      <c r="AU90" s="201"/>
      <c r="AV90" s="202"/>
      <c r="AW90" s="194"/>
      <c r="AX90" s="201"/>
      <c r="AY90" s="213"/>
      <c r="AZ90" s="214"/>
      <c r="BA90" s="215"/>
      <c r="BB90" s="216"/>
      <c r="BC90" s="217" t="str">
        <f t="shared" si="13"/>
        <v/>
      </c>
      <c r="BD90" s="218"/>
      <c r="BE90" s="219"/>
      <c r="BF90" s="220"/>
      <c r="BG90" s="219"/>
      <c r="BH90" s="219"/>
      <c r="BI90" s="220"/>
      <c r="BJ90" s="218"/>
      <c r="BK90" s="219"/>
      <c r="BL90" s="197"/>
      <c r="BM90" s="215"/>
      <c r="BN90" s="221"/>
      <c r="BO90" s="222" t="str">
        <f t="shared" si="14"/>
        <v/>
      </c>
      <c r="BP90" s="217" t="str">
        <f t="shared" si="15"/>
        <v/>
      </c>
      <c r="BQ90" s="215"/>
      <c r="BR90" s="224"/>
      <c r="BS90" s="225"/>
      <c r="BT90" s="223"/>
      <c r="BU90" s="215"/>
      <c r="BV90" s="226"/>
      <c r="BW90" s="222" t="str">
        <f t="shared" si="16"/>
        <v/>
      </c>
      <c r="BX90" s="223" t="str">
        <f t="shared" si="17"/>
        <v/>
      </c>
      <c r="BY90" s="215"/>
      <c r="BZ90" s="227"/>
      <c r="CA90" s="227"/>
      <c r="CB90" s="228"/>
      <c r="CC90" s="229"/>
      <c r="CD90" s="230" t="str">
        <f t="shared" si="18"/>
        <v/>
      </c>
      <c r="CE90" s="231" t="str">
        <f t="shared" si="19"/>
        <v/>
      </c>
      <c r="CF90" s="232" t="str">
        <f t="shared" si="20"/>
        <v/>
      </c>
      <c r="CG90" s="233" t="str">
        <f t="shared" si="21"/>
        <v/>
      </c>
      <c r="CH90" s="207" t="str">
        <f>IF(OR(G90="",CC90= ""), "", IF(ISERROR(SMALL((CJ90,CN90,CV90), 1)-CC90), "",  SMALL((CJ90,CN90,CV90), 1)-CC90))</f>
        <v/>
      </c>
      <c r="CI90" s="234"/>
      <c r="CJ90" s="235"/>
      <c r="CK90" s="236"/>
      <c r="CL90" s="222" t="str">
        <f t="shared" si="22"/>
        <v/>
      </c>
      <c r="CM90" s="237" t="str">
        <f>IF(OR(G90="", CJ90="",CK90=""), "", IF(ISERROR(SMALL((CN90,CV90), 1)-CK90), "",  SMALL((CN90,CV90), 1)-CK90))</f>
        <v/>
      </c>
      <c r="CN90" s="235"/>
      <c r="CO90" s="236"/>
      <c r="CP90" s="224" t="str">
        <f t="shared" si="23"/>
        <v/>
      </c>
      <c r="CQ90" s="235"/>
      <c r="CR90" s="236"/>
      <c r="CS90" s="222" t="str">
        <f t="shared" si="24"/>
        <v/>
      </c>
      <c r="CT90" s="237" t="str">
        <f t="shared" si="25"/>
        <v/>
      </c>
      <c r="CU90" s="238"/>
      <c r="CV90" s="239"/>
      <c r="CW90" s="240"/>
    </row>
    <row r="91" spans="2:101" ht="16.5" customHeight="1">
      <c r="B91" s="122"/>
      <c r="E91" s="122"/>
      <c r="F91" s="194"/>
      <c r="G91" s="195"/>
      <c r="H91" s="195"/>
      <c r="I91" s="195"/>
      <c r="J91" s="196"/>
      <c r="K91" s="197"/>
      <c r="L91" s="198"/>
      <c r="M91" s="199"/>
      <c r="N91" s="200"/>
      <c r="O91" s="201"/>
      <c r="P91" s="201"/>
      <c r="Q91" s="201"/>
      <c r="R91" s="201"/>
      <c r="S91" s="201"/>
      <c r="T91" s="201"/>
      <c r="U91" s="201"/>
      <c r="V91" s="201"/>
      <c r="W91" s="201"/>
      <c r="X91" s="202"/>
      <c r="Y91" s="203"/>
      <c r="Z91" s="204"/>
      <c r="AA91" s="205"/>
      <c r="AB91" s="206"/>
      <c r="AC91" s="206"/>
      <c r="AD91" s="194"/>
      <c r="AE91" s="201"/>
      <c r="AF91" s="207"/>
      <c r="AG91" s="208"/>
      <c r="AH91" s="209"/>
      <c r="AI91" s="210"/>
      <c r="AJ91" s="197"/>
      <c r="AK91" s="201"/>
      <c r="AL91" s="196"/>
      <c r="AM91" s="201"/>
      <c r="AN91" s="201"/>
      <c r="AO91" s="201"/>
      <c r="AP91" s="211"/>
      <c r="AQ91" s="212"/>
      <c r="AR91" s="201"/>
      <c r="AS91" s="201"/>
      <c r="AT91" s="201"/>
      <c r="AU91" s="201"/>
      <c r="AV91" s="202"/>
      <c r="AW91" s="194"/>
      <c r="AX91" s="201"/>
      <c r="AY91" s="213"/>
      <c r="AZ91" s="214"/>
      <c r="BA91" s="215"/>
      <c r="BB91" s="216"/>
      <c r="BC91" s="217" t="str">
        <f t="shared" si="13"/>
        <v/>
      </c>
      <c r="BD91" s="218"/>
      <c r="BE91" s="219"/>
      <c r="BF91" s="220"/>
      <c r="BG91" s="219"/>
      <c r="BH91" s="219"/>
      <c r="BI91" s="220"/>
      <c r="BJ91" s="218"/>
      <c r="BK91" s="219"/>
      <c r="BL91" s="197"/>
      <c r="BM91" s="215"/>
      <c r="BN91" s="221"/>
      <c r="BO91" s="222" t="str">
        <f t="shared" si="14"/>
        <v/>
      </c>
      <c r="BP91" s="217" t="str">
        <f t="shared" si="15"/>
        <v/>
      </c>
      <c r="BQ91" s="215"/>
      <c r="BR91" s="224"/>
      <c r="BS91" s="225"/>
      <c r="BT91" s="223"/>
      <c r="BU91" s="215"/>
      <c r="BV91" s="226"/>
      <c r="BW91" s="222" t="str">
        <f t="shared" si="16"/>
        <v/>
      </c>
      <c r="BX91" s="223" t="str">
        <f t="shared" si="17"/>
        <v/>
      </c>
      <c r="BY91" s="215"/>
      <c r="BZ91" s="227"/>
      <c r="CA91" s="227"/>
      <c r="CB91" s="228"/>
      <c r="CC91" s="229"/>
      <c r="CD91" s="230" t="str">
        <f t="shared" si="18"/>
        <v/>
      </c>
      <c r="CE91" s="231" t="str">
        <f t="shared" si="19"/>
        <v/>
      </c>
      <c r="CF91" s="232" t="str">
        <f t="shared" si="20"/>
        <v/>
      </c>
      <c r="CG91" s="233" t="str">
        <f t="shared" si="21"/>
        <v/>
      </c>
      <c r="CH91" s="207" t="str">
        <f>IF(OR(G91="",CC91= ""), "", IF(ISERROR(SMALL((CJ91,CN91,CV91), 1)-CC91), "",  SMALL((CJ91,CN91,CV91), 1)-CC91))</f>
        <v/>
      </c>
      <c r="CI91" s="234"/>
      <c r="CJ91" s="235"/>
      <c r="CK91" s="236"/>
      <c r="CL91" s="222" t="str">
        <f t="shared" si="22"/>
        <v/>
      </c>
      <c r="CM91" s="237" t="str">
        <f>IF(OR(G91="", CJ91="",CK91=""), "", IF(ISERROR(SMALL((CN91,CV91), 1)-CK91), "",  SMALL((CN91,CV91), 1)-CK91))</f>
        <v/>
      </c>
      <c r="CN91" s="235"/>
      <c r="CO91" s="236"/>
      <c r="CP91" s="224" t="str">
        <f t="shared" si="23"/>
        <v/>
      </c>
      <c r="CQ91" s="235"/>
      <c r="CR91" s="236"/>
      <c r="CS91" s="222" t="str">
        <f t="shared" si="24"/>
        <v/>
      </c>
      <c r="CT91" s="237" t="str">
        <f t="shared" si="25"/>
        <v/>
      </c>
      <c r="CU91" s="238"/>
      <c r="CV91" s="239"/>
      <c r="CW91" s="240"/>
    </row>
    <row r="92" spans="2:101" ht="16.5" customHeight="1">
      <c r="B92" s="122"/>
      <c r="E92" s="122"/>
      <c r="F92" s="194"/>
      <c r="G92" s="195"/>
      <c r="H92" s="195"/>
      <c r="I92" s="195"/>
      <c r="J92" s="196"/>
      <c r="K92" s="197"/>
      <c r="L92" s="198"/>
      <c r="M92" s="199"/>
      <c r="N92" s="200"/>
      <c r="O92" s="201"/>
      <c r="P92" s="201"/>
      <c r="Q92" s="201"/>
      <c r="R92" s="201"/>
      <c r="S92" s="201"/>
      <c r="T92" s="201"/>
      <c r="U92" s="201"/>
      <c r="V92" s="201"/>
      <c r="W92" s="201"/>
      <c r="X92" s="202"/>
      <c r="Y92" s="203"/>
      <c r="Z92" s="204"/>
      <c r="AA92" s="205"/>
      <c r="AB92" s="206"/>
      <c r="AC92" s="206"/>
      <c r="AD92" s="194"/>
      <c r="AE92" s="201"/>
      <c r="AF92" s="207"/>
      <c r="AG92" s="208"/>
      <c r="AH92" s="209"/>
      <c r="AI92" s="210"/>
      <c r="AJ92" s="197"/>
      <c r="AK92" s="201"/>
      <c r="AL92" s="196"/>
      <c r="AM92" s="201"/>
      <c r="AN92" s="201"/>
      <c r="AO92" s="201"/>
      <c r="AP92" s="211"/>
      <c r="AQ92" s="212"/>
      <c r="AR92" s="201"/>
      <c r="AS92" s="201"/>
      <c r="AT92" s="201"/>
      <c r="AU92" s="201"/>
      <c r="AV92" s="202"/>
      <c r="AW92" s="194"/>
      <c r="AX92" s="201"/>
      <c r="AY92" s="213"/>
      <c r="AZ92" s="214"/>
      <c r="BA92" s="215"/>
      <c r="BB92" s="216"/>
      <c r="BC92" s="217" t="str">
        <f t="shared" si="13"/>
        <v/>
      </c>
      <c r="BD92" s="218"/>
      <c r="BE92" s="219"/>
      <c r="BF92" s="220"/>
      <c r="BG92" s="219"/>
      <c r="BH92" s="219"/>
      <c r="BI92" s="220"/>
      <c r="BJ92" s="218"/>
      <c r="BK92" s="219"/>
      <c r="BL92" s="197"/>
      <c r="BM92" s="215"/>
      <c r="BN92" s="221"/>
      <c r="BO92" s="222" t="str">
        <f t="shared" si="14"/>
        <v/>
      </c>
      <c r="BP92" s="217" t="str">
        <f t="shared" si="15"/>
        <v/>
      </c>
      <c r="BQ92" s="215"/>
      <c r="BR92" s="224"/>
      <c r="BS92" s="225"/>
      <c r="BT92" s="223"/>
      <c r="BU92" s="215"/>
      <c r="BV92" s="226"/>
      <c r="BW92" s="222" t="str">
        <f t="shared" si="16"/>
        <v/>
      </c>
      <c r="BX92" s="223" t="str">
        <f t="shared" si="17"/>
        <v/>
      </c>
      <c r="BY92" s="215"/>
      <c r="BZ92" s="227"/>
      <c r="CA92" s="227"/>
      <c r="CB92" s="228"/>
      <c r="CC92" s="229"/>
      <c r="CD92" s="230" t="str">
        <f t="shared" si="18"/>
        <v/>
      </c>
      <c r="CE92" s="231" t="str">
        <f t="shared" si="19"/>
        <v/>
      </c>
      <c r="CF92" s="232" t="str">
        <f t="shared" si="20"/>
        <v/>
      </c>
      <c r="CG92" s="233" t="str">
        <f t="shared" si="21"/>
        <v/>
      </c>
      <c r="CH92" s="207" t="str">
        <f>IF(OR(G92="",CC92= ""), "", IF(ISERROR(SMALL((CJ92,CN92,CV92), 1)-CC92), "",  SMALL((CJ92,CN92,CV92), 1)-CC92))</f>
        <v/>
      </c>
      <c r="CI92" s="234"/>
      <c r="CJ92" s="235"/>
      <c r="CK92" s="236"/>
      <c r="CL92" s="222" t="str">
        <f t="shared" si="22"/>
        <v/>
      </c>
      <c r="CM92" s="237" t="str">
        <f>IF(OR(G92="", CJ92="",CK92=""), "", IF(ISERROR(SMALL((CN92,CV92), 1)-CK92), "",  SMALL((CN92,CV92), 1)-CK92))</f>
        <v/>
      </c>
      <c r="CN92" s="235"/>
      <c r="CO92" s="236"/>
      <c r="CP92" s="224" t="str">
        <f t="shared" si="23"/>
        <v/>
      </c>
      <c r="CQ92" s="235"/>
      <c r="CR92" s="236"/>
      <c r="CS92" s="222" t="str">
        <f t="shared" si="24"/>
        <v/>
      </c>
      <c r="CT92" s="237" t="str">
        <f t="shared" si="25"/>
        <v/>
      </c>
      <c r="CU92" s="238"/>
      <c r="CV92" s="239"/>
      <c r="CW92" s="240"/>
    </row>
    <row r="93" spans="2:101" ht="16.5" customHeight="1">
      <c r="B93" s="122"/>
      <c r="E93" s="122"/>
      <c r="F93" s="194"/>
      <c r="G93" s="195"/>
      <c r="H93" s="195"/>
      <c r="I93" s="195"/>
      <c r="J93" s="196"/>
      <c r="K93" s="197"/>
      <c r="L93" s="198"/>
      <c r="M93" s="199"/>
      <c r="N93" s="200"/>
      <c r="O93" s="201"/>
      <c r="P93" s="201"/>
      <c r="Q93" s="201"/>
      <c r="R93" s="201"/>
      <c r="S93" s="201"/>
      <c r="T93" s="201"/>
      <c r="U93" s="201"/>
      <c r="V93" s="201"/>
      <c r="W93" s="201"/>
      <c r="X93" s="202"/>
      <c r="Y93" s="203"/>
      <c r="Z93" s="204"/>
      <c r="AA93" s="205"/>
      <c r="AB93" s="206"/>
      <c r="AC93" s="206"/>
      <c r="AD93" s="194"/>
      <c r="AE93" s="201"/>
      <c r="AF93" s="207"/>
      <c r="AG93" s="208"/>
      <c r="AH93" s="209"/>
      <c r="AI93" s="210"/>
      <c r="AJ93" s="197"/>
      <c r="AK93" s="201"/>
      <c r="AL93" s="196"/>
      <c r="AM93" s="201"/>
      <c r="AN93" s="201"/>
      <c r="AO93" s="201"/>
      <c r="AP93" s="211"/>
      <c r="AQ93" s="212"/>
      <c r="AR93" s="201"/>
      <c r="AS93" s="201"/>
      <c r="AT93" s="201"/>
      <c r="AU93" s="201"/>
      <c r="AV93" s="202"/>
      <c r="AW93" s="194"/>
      <c r="AX93" s="201"/>
      <c r="AY93" s="213"/>
      <c r="AZ93" s="214"/>
      <c r="BA93" s="215"/>
      <c r="BB93" s="216"/>
      <c r="BC93" s="217" t="str">
        <f t="shared" si="13"/>
        <v/>
      </c>
      <c r="BD93" s="218"/>
      <c r="BE93" s="219"/>
      <c r="BF93" s="220"/>
      <c r="BG93" s="219"/>
      <c r="BH93" s="219"/>
      <c r="BI93" s="220"/>
      <c r="BJ93" s="218"/>
      <c r="BK93" s="219"/>
      <c r="BL93" s="197"/>
      <c r="BM93" s="215"/>
      <c r="BN93" s="221"/>
      <c r="BO93" s="222" t="str">
        <f t="shared" si="14"/>
        <v/>
      </c>
      <c r="BP93" s="217" t="str">
        <f t="shared" si="15"/>
        <v/>
      </c>
      <c r="BQ93" s="215"/>
      <c r="BR93" s="224"/>
      <c r="BS93" s="225"/>
      <c r="BT93" s="223"/>
      <c r="BU93" s="215"/>
      <c r="BV93" s="226"/>
      <c r="BW93" s="222" t="str">
        <f t="shared" si="16"/>
        <v/>
      </c>
      <c r="BX93" s="223" t="str">
        <f t="shared" si="17"/>
        <v/>
      </c>
      <c r="BY93" s="215"/>
      <c r="BZ93" s="227"/>
      <c r="CA93" s="227"/>
      <c r="CB93" s="228"/>
      <c r="CC93" s="229"/>
      <c r="CD93" s="230" t="str">
        <f t="shared" si="18"/>
        <v/>
      </c>
      <c r="CE93" s="231" t="str">
        <f t="shared" si="19"/>
        <v/>
      </c>
      <c r="CF93" s="232" t="str">
        <f t="shared" si="20"/>
        <v/>
      </c>
      <c r="CG93" s="233" t="str">
        <f t="shared" si="21"/>
        <v/>
      </c>
      <c r="CH93" s="207" t="str">
        <f>IF(OR(G93="",CC93= ""), "", IF(ISERROR(SMALL((CJ93,CN93,CV93), 1)-CC93), "",  SMALL((CJ93,CN93,CV93), 1)-CC93))</f>
        <v/>
      </c>
      <c r="CI93" s="234"/>
      <c r="CJ93" s="235"/>
      <c r="CK93" s="236"/>
      <c r="CL93" s="222" t="str">
        <f t="shared" si="22"/>
        <v/>
      </c>
      <c r="CM93" s="237" t="str">
        <f>IF(OR(G93="", CJ93="",CK93=""), "", IF(ISERROR(SMALL((CN93,CV93), 1)-CK93), "",  SMALL((CN93,CV93), 1)-CK93))</f>
        <v/>
      </c>
      <c r="CN93" s="235"/>
      <c r="CO93" s="236"/>
      <c r="CP93" s="224" t="str">
        <f t="shared" si="23"/>
        <v/>
      </c>
      <c r="CQ93" s="235"/>
      <c r="CR93" s="236"/>
      <c r="CS93" s="222" t="str">
        <f t="shared" si="24"/>
        <v/>
      </c>
      <c r="CT93" s="237" t="str">
        <f t="shared" si="25"/>
        <v/>
      </c>
      <c r="CU93" s="238"/>
      <c r="CV93" s="239"/>
      <c r="CW93" s="240"/>
    </row>
    <row r="94" spans="2:101" ht="16.5" customHeight="1">
      <c r="B94" s="122"/>
      <c r="E94" s="122"/>
      <c r="F94" s="194"/>
      <c r="G94" s="195"/>
      <c r="H94" s="195"/>
      <c r="I94" s="195"/>
      <c r="J94" s="196"/>
      <c r="K94" s="197"/>
      <c r="L94" s="198"/>
      <c r="M94" s="199"/>
      <c r="N94" s="200"/>
      <c r="O94" s="201"/>
      <c r="P94" s="201"/>
      <c r="Q94" s="201"/>
      <c r="R94" s="201"/>
      <c r="S94" s="201"/>
      <c r="T94" s="201"/>
      <c r="U94" s="201"/>
      <c r="V94" s="201"/>
      <c r="W94" s="201"/>
      <c r="X94" s="202"/>
      <c r="Y94" s="203"/>
      <c r="Z94" s="204"/>
      <c r="AA94" s="205"/>
      <c r="AB94" s="206"/>
      <c r="AC94" s="206"/>
      <c r="AD94" s="194"/>
      <c r="AE94" s="201"/>
      <c r="AF94" s="207"/>
      <c r="AG94" s="208"/>
      <c r="AH94" s="209"/>
      <c r="AI94" s="210"/>
      <c r="AJ94" s="197"/>
      <c r="AK94" s="201"/>
      <c r="AL94" s="196"/>
      <c r="AM94" s="201"/>
      <c r="AN94" s="201"/>
      <c r="AO94" s="201"/>
      <c r="AP94" s="211"/>
      <c r="AQ94" s="212"/>
      <c r="AR94" s="201"/>
      <c r="AS94" s="201"/>
      <c r="AT94" s="201"/>
      <c r="AU94" s="201"/>
      <c r="AV94" s="202"/>
      <c r="AW94" s="194"/>
      <c r="AX94" s="201"/>
      <c r="AY94" s="213"/>
      <c r="AZ94" s="214"/>
      <c r="BA94" s="215"/>
      <c r="BB94" s="216"/>
      <c r="BC94" s="217" t="str">
        <f t="shared" si="13"/>
        <v/>
      </c>
      <c r="BD94" s="218"/>
      <c r="BE94" s="219"/>
      <c r="BF94" s="220"/>
      <c r="BG94" s="219"/>
      <c r="BH94" s="219"/>
      <c r="BI94" s="220"/>
      <c r="BJ94" s="218"/>
      <c r="BK94" s="219"/>
      <c r="BL94" s="197"/>
      <c r="BM94" s="215"/>
      <c r="BN94" s="221"/>
      <c r="BO94" s="222" t="str">
        <f t="shared" si="14"/>
        <v/>
      </c>
      <c r="BP94" s="217" t="str">
        <f t="shared" si="15"/>
        <v/>
      </c>
      <c r="BQ94" s="215"/>
      <c r="BR94" s="224"/>
      <c r="BS94" s="225"/>
      <c r="BT94" s="223"/>
      <c r="BU94" s="215"/>
      <c r="BV94" s="226"/>
      <c r="BW94" s="222" t="str">
        <f t="shared" si="16"/>
        <v/>
      </c>
      <c r="BX94" s="223" t="str">
        <f t="shared" si="17"/>
        <v/>
      </c>
      <c r="BY94" s="215"/>
      <c r="BZ94" s="227"/>
      <c r="CA94" s="227"/>
      <c r="CB94" s="228"/>
      <c r="CC94" s="229"/>
      <c r="CD94" s="230" t="str">
        <f t="shared" si="18"/>
        <v/>
      </c>
      <c r="CE94" s="231" t="str">
        <f t="shared" si="19"/>
        <v/>
      </c>
      <c r="CF94" s="232" t="str">
        <f t="shared" si="20"/>
        <v/>
      </c>
      <c r="CG94" s="233" t="str">
        <f t="shared" si="21"/>
        <v/>
      </c>
      <c r="CH94" s="207" t="str">
        <f>IF(OR(G94="",CC94= ""), "", IF(ISERROR(SMALL((CJ94,CN94,CV94), 1)-CC94), "",  SMALL((CJ94,CN94,CV94), 1)-CC94))</f>
        <v/>
      </c>
      <c r="CI94" s="234"/>
      <c r="CJ94" s="235"/>
      <c r="CK94" s="236"/>
      <c r="CL94" s="222" t="str">
        <f t="shared" si="22"/>
        <v/>
      </c>
      <c r="CM94" s="237" t="str">
        <f>IF(OR(G94="", CJ94="",CK94=""), "", IF(ISERROR(SMALL((CN94,CV94), 1)-CK94), "",  SMALL((CN94,CV94), 1)-CK94))</f>
        <v/>
      </c>
      <c r="CN94" s="235"/>
      <c r="CO94" s="236"/>
      <c r="CP94" s="224" t="str">
        <f t="shared" si="23"/>
        <v/>
      </c>
      <c r="CQ94" s="235"/>
      <c r="CR94" s="236"/>
      <c r="CS94" s="222" t="str">
        <f t="shared" si="24"/>
        <v/>
      </c>
      <c r="CT94" s="237" t="str">
        <f t="shared" si="25"/>
        <v/>
      </c>
      <c r="CU94" s="238"/>
      <c r="CV94" s="239"/>
      <c r="CW94" s="240"/>
    </row>
    <row r="95" spans="2:101" ht="16.5" customHeight="1">
      <c r="B95" s="122"/>
      <c r="E95" s="122"/>
      <c r="F95" s="194"/>
      <c r="G95" s="195"/>
      <c r="H95" s="195"/>
      <c r="I95" s="195"/>
      <c r="J95" s="196"/>
      <c r="K95" s="197"/>
      <c r="L95" s="198"/>
      <c r="M95" s="199"/>
      <c r="N95" s="200"/>
      <c r="O95" s="201"/>
      <c r="P95" s="201"/>
      <c r="Q95" s="201"/>
      <c r="R95" s="201"/>
      <c r="S95" s="201"/>
      <c r="T95" s="201"/>
      <c r="U95" s="201"/>
      <c r="V95" s="201"/>
      <c r="W95" s="201"/>
      <c r="X95" s="202"/>
      <c r="Y95" s="203"/>
      <c r="Z95" s="204"/>
      <c r="AA95" s="205"/>
      <c r="AB95" s="206"/>
      <c r="AC95" s="206"/>
      <c r="AD95" s="194"/>
      <c r="AE95" s="201"/>
      <c r="AF95" s="207"/>
      <c r="AG95" s="208"/>
      <c r="AH95" s="209"/>
      <c r="AI95" s="210"/>
      <c r="AJ95" s="197"/>
      <c r="AK95" s="201"/>
      <c r="AL95" s="196"/>
      <c r="AM95" s="201"/>
      <c r="AN95" s="201"/>
      <c r="AO95" s="201"/>
      <c r="AP95" s="211"/>
      <c r="AQ95" s="212"/>
      <c r="AR95" s="201"/>
      <c r="AS95" s="201"/>
      <c r="AT95" s="201"/>
      <c r="AU95" s="201"/>
      <c r="AV95" s="202"/>
      <c r="AW95" s="194"/>
      <c r="AX95" s="201"/>
      <c r="AY95" s="213"/>
      <c r="AZ95" s="214"/>
      <c r="BA95" s="215"/>
      <c r="BB95" s="216"/>
      <c r="BC95" s="217" t="str">
        <f t="shared" si="13"/>
        <v/>
      </c>
      <c r="BD95" s="218"/>
      <c r="BE95" s="219"/>
      <c r="BF95" s="220"/>
      <c r="BG95" s="219"/>
      <c r="BH95" s="219"/>
      <c r="BI95" s="220"/>
      <c r="BJ95" s="218"/>
      <c r="BK95" s="219"/>
      <c r="BL95" s="197"/>
      <c r="BM95" s="215"/>
      <c r="BN95" s="221"/>
      <c r="BO95" s="222" t="str">
        <f t="shared" si="14"/>
        <v/>
      </c>
      <c r="BP95" s="217" t="str">
        <f t="shared" si="15"/>
        <v/>
      </c>
      <c r="BQ95" s="215"/>
      <c r="BR95" s="224"/>
      <c r="BS95" s="225"/>
      <c r="BT95" s="223"/>
      <c r="BU95" s="215"/>
      <c r="BV95" s="226"/>
      <c r="BW95" s="222" t="str">
        <f t="shared" si="16"/>
        <v/>
      </c>
      <c r="BX95" s="223" t="str">
        <f t="shared" si="17"/>
        <v/>
      </c>
      <c r="BY95" s="215"/>
      <c r="BZ95" s="227"/>
      <c r="CA95" s="227"/>
      <c r="CB95" s="228"/>
      <c r="CC95" s="229"/>
      <c r="CD95" s="230" t="str">
        <f t="shared" si="18"/>
        <v/>
      </c>
      <c r="CE95" s="231" t="str">
        <f t="shared" si="19"/>
        <v/>
      </c>
      <c r="CF95" s="232" t="str">
        <f t="shared" si="20"/>
        <v/>
      </c>
      <c r="CG95" s="233" t="str">
        <f t="shared" si="21"/>
        <v/>
      </c>
      <c r="CH95" s="207" t="str">
        <f>IF(OR(G95="",CC95= ""), "", IF(ISERROR(SMALL((CJ95,CN95,CV95), 1)-CC95), "",  SMALL((CJ95,CN95,CV95), 1)-CC95))</f>
        <v/>
      </c>
      <c r="CI95" s="234"/>
      <c r="CJ95" s="235"/>
      <c r="CK95" s="236"/>
      <c r="CL95" s="222" t="str">
        <f t="shared" si="22"/>
        <v/>
      </c>
      <c r="CM95" s="237" t="str">
        <f>IF(OR(G95="", CJ95="",CK95=""), "", IF(ISERROR(SMALL((CN95,CV95), 1)-CK95), "",  SMALL((CN95,CV95), 1)-CK95))</f>
        <v/>
      </c>
      <c r="CN95" s="235"/>
      <c r="CO95" s="236"/>
      <c r="CP95" s="224" t="str">
        <f t="shared" si="23"/>
        <v/>
      </c>
      <c r="CQ95" s="235"/>
      <c r="CR95" s="236"/>
      <c r="CS95" s="222" t="str">
        <f t="shared" si="24"/>
        <v/>
      </c>
      <c r="CT95" s="237" t="str">
        <f t="shared" si="25"/>
        <v/>
      </c>
      <c r="CU95" s="238"/>
      <c r="CV95" s="239"/>
      <c r="CW95" s="240"/>
    </row>
    <row r="96" spans="2:101" ht="16.5" customHeight="1">
      <c r="B96" s="122"/>
      <c r="E96" s="122"/>
      <c r="F96" s="194"/>
      <c r="G96" s="195"/>
      <c r="H96" s="195"/>
      <c r="I96" s="195"/>
      <c r="J96" s="196"/>
      <c r="K96" s="197"/>
      <c r="L96" s="198"/>
      <c r="M96" s="199"/>
      <c r="N96" s="200"/>
      <c r="O96" s="201"/>
      <c r="P96" s="201"/>
      <c r="Q96" s="201"/>
      <c r="R96" s="201"/>
      <c r="S96" s="201"/>
      <c r="T96" s="201"/>
      <c r="U96" s="201"/>
      <c r="V96" s="201"/>
      <c r="W96" s="201"/>
      <c r="X96" s="202"/>
      <c r="Y96" s="203"/>
      <c r="Z96" s="204"/>
      <c r="AA96" s="205"/>
      <c r="AB96" s="206"/>
      <c r="AC96" s="206"/>
      <c r="AD96" s="194"/>
      <c r="AE96" s="201"/>
      <c r="AF96" s="207"/>
      <c r="AG96" s="208"/>
      <c r="AH96" s="209"/>
      <c r="AI96" s="210"/>
      <c r="AJ96" s="197"/>
      <c r="AK96" s="201"/>
      <c r="AL96" s="196"/>
      <c r="AM96" s="201"/>
      <c r="AN96" s="201"/>
      <c r="AO96" s="201"/>
      <c r="AP96" s="211"/>
      <c r="AQ96" s="212"/>
      <c r="AR96" s="201"/>
      <c r="AS96" s="201"/>
      <c r="AT96" s="201"/>
      <c r="AU96" s="201"/>
      <c r="AV96" s="202"/>
      <c r="AW96" s="194"/>
      <c r="AX96" s="201"/>
      <c r="AY96" s="213"/>
      <c r="AZ96" s="214"/>
      <c r="BA96" s="215"/>
      <c r="BB96" s="216"/>
      <c r="BC96" s="217" t="str">
        <f t="shared" si="13"/>
        <v/>
      </c>
      <c r="BD96" s="218"/>
      <c r="BE96" s="219"/>
      <c r="BF96" s="220"/>
      <c r="BG96" s="219"/>
      <c r="BH96" s="219"/>
      <c r="BI96" s="220"/>
      <c r="BJ96" s="218"/>
      <c r="BK96" s="219"/>
      <c r="BL96" s="197"/>
      <c r="BM96" s="215"/>
      <c r="BN96" s="221"/>
      <c r="BO96" s="222" t="str">
        <f t="shared" si="14"/>
        <v/>
      </c>
      <c r="BP96" s="217" t="str">
        <f t="shared" si="15"/>
        <v/>
      </c>
      <c r="BQ96" s="215"/>
      <c r="BR96" s="224"/>
      <c r="BS96" s="225"/>
      <c r="BT96" s="223"/>
      <c r="BU96" s="215"/>
      <c r="BV96" s="226"/>
      <c r="BW96" s="222" t="str">
        <f t="shared" si="16"/>
        <v/>
      </c>
      <c r="BX96" s="223" t="str">
        <f t="shared" si="17"/>
        <v/>
      </c>
      <c r="BY96" s="215"/>
      <c r="BZ96" s="227"/>
      <c r="CA96" s="227"/>
      <c r="CB96" s="228"/>
      <c r="CC96" s="229"/>
      <c r="CD96" s="230" t="str">
        <f t="shared" si="18"/>
        <v/>
      </c>
      <c r="CE96" s="231" t="str">
        <f t="shared" si="19"/>
        <v/>
      </c>
      <c r="CF96" s="232" t="str">
        <f t="shared" si="20"/>
        <v/>
      </c>
      <c r="CG96" s="233" t="str">
        <f t="shared" si="21"/>
        <v/>
      </c>
      <c r="CH96" s="207" t="str">
        <f>IF(OR(G96="",CC96= ""), "", IF(ISERROR(SMALL((CJ96,CN96,CV96), 1)-CC96), "",  SMALL((CJ96,CN96,CV96), 1)-CC96))</f>
        <v/>
      </c>
      <c r="CI96" s="234"/>
      <c r="CJ96" s="235"/>
      <c r="CK96" s="236"/>
      <c r="CL96" s="222" t="str">
        <f t="shared" si="22"/>
        <v/>
      </c>
      <c r="CM96" s="237" t="str">
        <f>IF(OR(G96="", CJ96="",CK96=""), "", IF(ISERROR(SMALL((CN96,CV96), 1)-CK96), "",  SMALL((CN96,CV96), 1)-CK96))</f>
        <v/>
      </c>
      <c r="CN96" s="235"/>
      <c r="CO96" s="236"/>
      <c r="CP96" s="224" t="str">
        <f t="shared" si="23"/>
        <v/>
      </c>
      <c r="CQ96" s="235"/>
      <c r="CR96" s="236"/>
      <c r="CS96" s="222" t="str">
        <f t="shared" si="24"/>
        <v/>
      </c>
      <c r="CT96" s="237" t="str">
        <f t="shared" si="25"/>
        <v/>
      </c>
      <c r="CU96" s="238"/>
      <c r="CV96" s="239"/>
      <c r="CW96" s="240"/>
    </row>
    <row r="97" spans="2:101" ht="16.5" customHeight="1">
      <c r="B97" s="122"/>
      <c r="E97" s="122"/>
      <c r="F97" s="194"/>
      <c r="G97" s="195"/>
      <c r="H97" s="195"/>
      <c r="I97" s="195"/>
      <c r="J97" s="196"/>
      <c r="K97" s="197"/>
      <c r="L97" s="198"/>
      <c r="M97" s="199"/>
      <c r="N97" s="200"/>
      <c r="O97" s="201"/>
      <c r="P97" s="201"/>
      <c r="Q97" s="201"/>
      <c r="R97" s="201"/>
      <c r="S97" s="201"/>
      <c r="T97" s="201"/>
      <c r="U97" s="201"/>
      <c r="V97" s="201"/>
      <c r="W97" s="201"/>
      <c r="X97" s="202"/>
      <c r="Y97" s="203"/>
      <c r="Z97" s="204"/>
      <c r="AA97" s="205"/>
      <c r="AB97" s="206"/>
      <c r="AC97" s="206"/>
      <c r="AD97" s="194"/>
      <c r="AE97" s="201"/>
      <c r="AF97" s="207"/>
      <c r="AG97" s="208"/>
      <c r="AH97" s="209"/>
      <c r="AI97" s="210"/>
      <c r="AJ97" s="197"/>
      <c r="AK97" s="201"/>
      <c r="AL97" s="196"/>
      <c r="AM97" s="201"/>
      <c r="AN97" s="201"/>
      <c r="AO97" s="201"/>
      <c r="AP97" s="211"/>
      <c r="AQ97" s="212"/>
      <c r="AR97" s="201"/>
      <c r="AS97" s="201"/>
      <c r="AT97" s="201"/>
      <c r="AU97" s="201"/>
      <c r="AV97" s="202"/>
      <c r="AW97" s="194"/>
      <c r="AX97" s="201"/>
      <c r="AY97" s="213"/>
      <c r="AZ97" s="214"/>
      <c r="BA97" s="215"/>
      <c r="BB97" s="216"/>
      <c r="BC97" s="217" t="str">
        <f t="shared" si="13"/>
        <v/>
      </c>
      <c r="BD97" s="218"/>
      <c r="BE97" s="219"/>
      <c r="BF97" s="220"/>
      <c r="BG97" s="219"/>
      <c r="BH97" s="219"/>
      <c r="BI97" s="220"/>
      <c r="BJ97" s="218"/>
      <c r="BK97" s="219"/>
      <c r="BL97" s="197"/>
      <c r="BM97" s="215"/>
      <c r="BN97" s="221"/>
      <c r="BO97" s="222" t="str">
        <f t="shared" si="14"/>
        <v/>
      </c>
      <c r="BP97" s="217" t="str">
        <f t="shared" si="15"/>
        <v/>
      </c>
      <c r="BQ97" s="215"/>
      <c r="BR97" s="224"/>
      <c r="BS97" s="225"/>
      <c r="BT97" s="223"/>
      <c r="BU97" s="215"/>
      <c r="BV97" s="226"/>
      <c r="BW97" s="222" t="str">
        <f t="shared" si="16"/>
        <v/>
      </c>
      <c r="BX97" s="223" t="str">
        <f t="shared" si="17"/>
        <v/>
      </c>
      <c r="BY97" s="215"/>
      <c r="BZ97" s="227"/>
      <c r="CA97" s="227"/>
      <c r="CB97" s="228"/>
      <c r="CC97" s="229"/>
      <c r="CD97" s="230" t="str">
        <f t="shared" si="18"/>
        <v/>
      </c>
      <c r="CE97" s="231" t="str">
        <f t="shared" si="19"/>
        <v/>
      </c>
      <c r="CF97" s="232" t="str">
        <f t="shared" si="20"/>
        <v/>
      </c>
      <c r="CG97" s="233" t="str">
        <f t="shared" si="21"/>
        <v/>
      </c>
      <c r="CH97" s="207" t="str">
        <f>IF(OR(G97="",CC97= ""), "", IF(ISERROR(SMALL((CJ97,CN97,CV97), 1)-CC97), "",  SMALL((CJ97,CN97,CV97), 1)-CC97))</f>
        <v/>
      </c>
      <c r="CI97" s="234"/>
      <c r="CJ97" s="235"/>
      <c r="CK97" s="236"/>
      <c r="CL97" s="222" t="str">
        <f t="shared" si="22"/>
        <v/>
      </c>
      <c r="CM97" s="237" t="str">
        <f>IF(OR(G97="", CJ97="",CK97=""), "", IF(ISERROR(SMALL((CN97,CV97), 1)-CK97), "",  SMALL((CN97,CV97), 1)-CK97))</f>
        <v/>
      </c>
      <c r="CN97" s="235"/>
      <c r="CO97" s="236"/>
      <c r="CP97" s="224" t="str">
        <f t="shared" si="23"/>
        <v/>
      </c>
      <c r="CQ97" s="235"/>
      <c r="CR97" s="236"/>
      <c r="CS97" s="222" t="str">
        <f t="shared" si="24"/>
        <v/>
      </c>
      <c r="CT97" s="237" t="str">
        <f t="shared" si="25"/>
        <v/>
      </c>
      <c r="CU97" s="238"/>
      <c r="CV97" s="239"/>
      <c r="CW97" s="240"/>
    </row>
    <row r="98" spans="2:101" ht="16.5" customHeight="1">
      <c r="B98" s="122"/>
      <c r="E98" s="122"/>
      <c r="F98" s="194"/>
      <c r="G98" s="195"/>
      <c r="H98" s="195"/>
      <c r="I98" s="195"/>
      <c r="J98" s="196"/>
      <c r="K98" s="197"/>
      <c r="L98" s="198"/>
      <c r="M98" s="199"/>
      <c r="N98" s="200"/>
      <c r="O98" s="201"/>
      <c r="P98" s="201"/>
      <c r="Q98" s="201"/>
      <c r="R98" s="201"/>
      <c r="S98" s="201"/>
      <c r="T98" s="201"/>
      <c r="U98" s="201"/>
      <c r="V98" s="201"/>
      <c r="W98" s="201"/>
      <c r="X98" s="202"/>
      <c r="Y98" s="203"/>
      <c r="Z98" s="204"/>
      <c r="AA98" s="205"/>
      <c r="AB98" s="206"/>
      <c r="AC98" s="206"/>
      <c r="AD98" s="194"/>
      <c r="AE98" s="201"/>
      <c r="AF98" s="207"/>
      <c r="AG98" s="208"/>
      <c r="AH98" s="209"/>
      <c r="AI98" s="210"/>
      <c r="AJ98" s="197"/>
      <c r="AK98" s="201"/>
      <c r="AL98" s="196"/>
      <c r="AM98" s="201"/>
      <c r="AN98" s="201"/>
      <c r="AO98" s="201"/>
      <c r="AP98" s="211"/>
      <c r="AQ98" s="212"/>
      <c r="AR98" s="201"/>
      <c r="AS98" s="201"/>
      <c r="AT98" s="201"/>
      <c r="AU98" s="201"/>
      <c r="AV98" s="202"/>
      <c r="AW98" s="194"/>
      <c r="AX98" s="201"/>
      <c r="AY98" s="213"/>
      <c r="AZ98" s="214"/>
      <c r="BA98" s="215"/>
      <c r="BB98" s="216"/>
      <c r="BC98" s="217" t="str">
        <f t="shared" si="13"/>
        <v/>
      </c>
      <c r="BD98" s="218"/>
      <c r="BE98" s="219"/>
      <c r="BF98" s="220"/>
      <c r="BG98" s="219"/>
      <c r="BH98" s="219"/>
      <c r="BI98" s="220"/>
      <c r="BJ98" s="218"/>
      <c r="BK98" s="219"/>
      <c r="BL98" s="197"/>
      <c r="BM98" s="215"/>
      <c r="BN98" s="221"/>
      <c r="BO98" s="222" t="str">
        <f t="shared" si="14"/>
        <v/>
      </c>
      <c r="BP98" s="217" t="str">
        <f t="shared" si="15"/>
        <v/>
      </c>
      <c r="BQ98" s="215"/>
      <c r="BR98" s="224"/>
      <c r="BS98" s="225"/>
      <c r="BT98" s="223"/>
      <c r="BU98" s="215"/>
      <c r="BV98" s="226"/>
      <c r="BW98" s="222" t="str">
        <f t="shared" si="16"/>
        <v/>
      </c>
      <c r="BX98" s="223" t="str">
        <f t="shared" si="17"/>
        <v/>
      </c>
      <c r="BY98" s="215"/>
      <c r="BZ98" s="227"/>
      <c r="CA98" s="227"/>
      <c r="CB98" s="228"/>
      <c r="CC98" s="229"/>
      <c r="CD98" s="230" t="str">
        <f t="shared" si="18"/>
        <v/>
      </c>
      <c r="CE98" s="231" t="str">
        <f t="shared" si="19"/>
        <v/>
      </c>
      <c r="CF98" s="232" t="str">
        <f t="shared" si="20"/>
        <v/>
      </c>
      <c r="CG98" s="233" t="str">
        <f t="shared" si="21"/>
        <v/>
      </c>
      <c r="CH98" s="207" t="str">
        <f>IF(OR(G98="",CC98= ""), "", IF(ISERROR(SMALL((CJ98,CN98,CV98), 1)-CC98), "",  SMALL((CJ98,CN98,CV98), 1)-CC98))</f>
        <v/>
      </c>
      <c r="CI98" s="234"/>
      <c r="CJ98" s="235"/>
      <c r="CK98" s="236"/>
      <c r="CL98" s="222" t="str">
        <f t="shared" si="22"/>
        <v/>
      </c>
      <c r="CM98" s="237" t="str">
        <f>IF(OR(G98="", CJ98="",CK98=""), "", IF(ISERROR(SMALL((CN98,CV98), 1)-CK98), "",  SMALL((CN98,CV98), 1)-CK98))</f>
        <v/>
      </c>
      <c r="CN98" s="235"/>
      <c r="CO98" s="236"/>
      <c r="CP98" s="224" t="str">
        <f t="shared" si="23"/>
        <v/>
      </c>
      <c r="CQ98" s="235"/>
      <c r="CR98" s="236"/>
      <c r="CS98" s="222" t="str">
        <f t="shared" si="24"/>
        <v/>
      </c>
      <c r="CT98" s="237" t="str">
        <f t="shared" si="25"/>
        <v/>
      </c>
      <c r="CU98" s="238"/>
      <c r="CV98" s="239"/>
      <c r="CW98" s="240"/>
    </row>
    <row r="99" spans="2:101" ht="16.5" customHeight="1">
      <c r="B99" s="122"/>
      <c r="E99" s="122"/>
      <c r="F99" s="194"/>
      <c r="G99" s="195"/>
      <c r="H99" s="195"/>
      <c r="I99" s="195"/>
      <c r="J99" s="196"/>
      <c r="K99" s="197"/>
      <c r="L99" s="198"/>
      <c r="M99" s="199"/>
      <c r="N99" s="200"/>
      <c r="O99" s="201"/>
      <c r="P99" s="201"/>
      <c r="Q99" s="201"/>
      <c r="R99" s="201"/>
      <c r="S99" s="201"/>
      <c r="T99" s="201"/>
      <c r="U99" s="201"/>
      <c r="V99" s="201"/>
      <c r="W99" s="201"/>
      <c r="X99" s="202"/>
      <c r="Y99" s="203"/>
      <c r="Z99" s="204"/>
      <c r="AA99" s="205"/>
      <c r="AB99" s="206"/>
      <c r="AC99" s="206"/>
      <c r="AD99" s="194"/>
      <c r="AE99" s="201"/>
      <c r="AF99" s="207"/>
      <c r="AG99" s="208"/>
      <c r="AH99" s="209"/>
      <c r="AI99" s="210"/>
      <c r="AJ99" s="197"/>
      <c r="AK99" s="201"/>
      <c r="AL99" s="196"/>
      <c r="AM99" s="201"/>
      <c r="AN99" s="201"/>
      <c r="AO99" s="201"/>
      <c r="AP99" s="211"/>
      <c r="AQ99" s="212"/>
      <c r="AR99" s="201"/>
      <c r="AS99" s="201"/>
      <c r="AT99" s="201"/>
      <c r="AU99" s="201"/>
      <c r="AV99" s="202"/>
      <c r="AW99" s="194"/>
      <c r="AX99" s="201"/>
      <c r="AY99" s="213"/>
      <c r="AZ99" s="214"/>
      <c r="BA99" s="215"/>
      <c r="BB99" s="216"/>
      <c r="BC99" s="217" t="str">
        <f t="shared" si="13"/>
        <v/>
      </c>
      <c r="BD99" s="218"/>
      <c r="BE99" s="219"/>
      <c r="BF99" s="220"/>
      <c r="BG99" s="219"/>
      <c r="BH99" s="219"/>
      <c r="BI99" s="220"/>
      <c r="BJ99" s="218"/>
      <c r="BK99" s="219"/>
      <c r="BL99" s="197"/>
      <c r="BM99" s="215"/>
      <c r="BN99" s="221"/>
      <c r="BO99" s="222" t="str">
        <f t="shared" si="14"/>
        <v/>
      </c>
      <c r="BP99" s="217" t="str">
        <f t="shared" si="15"/>
        <v/>
      </c>
      <c r="BQ99" s="215"/>
      <c r="BR99" s="224"/>
      <c r="BS99" s="225"/>
      <c r="BT99" s="223"/>
      <c r="BU99" s="215"/>
      <c r="BV99" s="226"/>
      <c r="BW99" s="222" t="str">
        <f t="shared" si="16"/>
        <v/>
      </c>
      <c r="BX99" s="223" t="str">
        <f t="shared" si="17"/>
        <v/>
      </c>
      <c r="BY99" s="215"/>
      <c r="BZ99" s="227"/>
      <c r="CA99" s="227"/>
      <c r="CB99" s="228"/>
      <c r="CC99" s="229"/>
      <c r="CD99" s="230" t="str">
        <f t="shared" si="18"/>
        <v/>
      </c>
      <c r="CE99" s="231" t="str">
        <f t="shared" si="19"/>
        <v/>
      </c>
      <c r="CF99" s="232" t="str">
        <f t="shared" si="20"/>
        <v/>
      </c>
      <c r="CG99" s="233" t="str">
        <f t="shared" si="21"/>
        <v/>
      </c>
      <c r="CH99" s="207" t="str">
        <f>IF(OR(G99="",CC99= ""), "", IF(ISERROR(SMALL((CJ99,CN99,CV99), 1)-CC99), "",  SMALL((CJ99,CN99,CV99), 1)-CC99))</f>
        <v/>
      </c>
      <c r="CI99" s="234"/>
      <c r="CJ99" s="235"/>
      <c r="CK99" s="236"/>
      <c r="CL99" s="222" t="str">
        <f t="shared" si="22"/>
        <v/>
      </c>
      <c r="CM99" s="237" t="str">
        <f>IF(OR(G99="", CJ99="",CK99=""), "", IF(ISERROR(SMALL((CN99,CV99), 1)-CK99), "",  SMALL((CN99,CV99), 1)-CK99))</f>
        <v/>
      </c>
      <c r="CN99" s="235"/>
      <c r="CO99" s="236"/>
      <c r="CP99" s="224" t="str">
        <f t="shared" si="23"/>
        <v/>
      </c>
      <c r="CQ99" s="235"/>
      <c r="CR99" s="236"/>
      <c r="CS99" s="222" t="str">
        <f t="shared" si="24"/>
        <v/>
      </c>
      <c r="CT99" s="237" t="str">
        <f t="shared" si="25"/>
        <v/>
      </c>
      <c r="CU99" s="238"/>
      <c r="CV99" s="239"/>
      <c r="CW99" s="240"/>
    </row>
    <row r="100" spans="2:101" ht="16.5" customHeight="1">
      <c r="B100" s="122"/>
      <c r="E100" s="122"/>
      <c r="F100" s="194"/>
      <c r="G100" s="195"/>
      <c r="H100" s="195"/>
      <c r="I100" s="195"/>
      <c r="J100" s="196"/>
      <c r="K100" s="197"/>
      <c r="L100" s="198"/>
      <c r="M100" s="199"/>
      <c r="N100" s="200"/>
      <c r="O100" s="201"/>
      <c r="P100" s="201"/>
      <c r="Q100" s="201"/>
      <c r="R100" s="201"/>
      <c r="S100" s="201"/>
      <c r="T100" s="201"/>
      <c r="U100" s="201"/>
      <c r="V100" s="201"/>
      <c r="W100" s="201"/>
      <c r="X100" s="202"/>
      <c r="Y100" s="203"/>
      <c r="Z100" s="204"/>
      <c r="AA100" s="205"/>
      <c r="AB100" s="206"/>
      <c r="AC100" s="206"/>
      <c r="AD100" s="194"/>
      <c r="AE100" s="201"/>
      <c r="AF100" s="207"/>
      <c r="AG100" s="208"/>
      <c r="AH100" s="209"/>
      <c r="AI100" s="210"/>
      <c r="AJ100" s="197"/>
      <c r="AK100" s="201"/>
      <c r="AL100" s="196"/>
      <c r="AM100" s="201"/>
      <c r="AN100" s="201"/>
      <c r="AO100" s="201"/>
      <c r="AP100" s="211"/>
      <c r="AQ100" s="212"/>
      <c r="AR100" s="201"/>
      <c r="AS100" s="201"/>
      <c r="AT100" s="201"/>
      <c r="AU100" s="201"/>
      <c r="AV100" s="202"/>
      <c r="AW100" s="194"/>
      <c r="AX100" s="201"/>
      <c r="AY100" s="213"/>
      <c r="AZ100" s="214"/>
      <c r="BA100" s="215"/>
      <c r="BB100" s="216"/>
      <c r="BC100" s="217" t="str">
        <f t="shared" si="13"/>
        <v/>
      </c>
      <c r="BD100" s="218"/>
      <c r="BE100" s="219"/>
      <c r="BF100" s="220"/>
      <c r="BG100" s="219"/>
      <c r="BH100" s="219"/>
      <c r="BI100" s="220"/>
      <c r="BJ100" s="218"/>
      <c r="BK100" s="219"/>
      <c r="BL100" s="197"/>
      <c r="BM100" s="215"/>
      <c r="BN100" s="221"/>
      <c r="BO100" s="222" t="str">
        <f t="shared" si="14"/>
        <v/>
      </c>
      <c r="BP100" s="217" t="str">
        <f t="shared" si="15"/>
        <v/>
      </c>
      <c r="BQ100" s="215"/>
      <c r="BR100" s="224"/>
      <c r="BS100" s="225"/>
      <c r="BT100" s="223"/>
      <c r="BU100" s="215"/>
      <c r="BV100" s="226"/>
      <c r="BW100" s="222" t="str">
        <f t="shared" si="16"/>
        <v/>
      </c>
      <c r="BX100" s="223" t="str">
        <f t="shared" si="17"/>
        <v/>
      </c>
      <c r="BY100" s="215"/>
      <c r="BZ100" s="227"/>
      <c r="CA100" s="227"/>
      <c r="CB100" s="228"/>
      <c r="CC100" s="229"/>
      <c r="CD100" s="230" t="str">
        <f t="shared" si="18"/>
        <v/>
      </c>
      <c r="CE100" s="231" t="str">
        <f t="shared" si="19"/>
        <v/>
      </c>
      <c r="CF100" s="232" t="str">
        <f t="shared" si="20"/>
        <v/>
      </c>
      <c r="CG100" s="233" t="str">
        <f t="shared" si="21"/>
        <v/>
      </c>
      <c r="CH100" s="207" t="str">
        <f>IF(OR(G100="",CC100= ""), "", IF(ISERROR(SMALL((CJ100,CN100,CV100), 1)-CC100), "",  SMALL((CJ100,CN100,CV100), 1)-CC100))</f>
        <v/>
      </c>
      <c r="CI100" s="234"/>
      <c r="CJ100" s="235"/>
      <c r="CK100" s="236"/>
      <c r="CL100" s="222" t="str">
        <f t="shared" si="22"/>
        <v/>
      </c>
      <c r="CM100" s="237" t="str">
        <f>IF(OR(G100="", CJ100="",CK100=""), "", IF(ISERROR(SMALL((CN100,CV100), 1)-CK100), "",  SMALL((CN100,CV100), 1)-CK100))</f>
        <v/>
      </c>
      <c r="CN100" s="235"/>
      <c r="CO100" s="236"/>
      <c r="CP100" s="224" t="str">
        <f t="shared" si="23"/>
        <v/>
      </c>
      <c r="CQ100" s="235"/>
      <c r="CR100" s="236"/>
      <c r="CS100" s="222" t="str">
        <f t="shared" si="24"/>
        <v/>
      </c>
      <c r="CT100" s="237" t="str">
        <f t="shared" si="25"/>
        <v/>
      </c>
      <c r="CU100" s="238"/>
      <c r="CV100" s="239"/>
      <c r="CW100" s="240"/>
    </row>
    <row r="101" spans="2:101" ht="16.5" customHeight="1">
      <c r="B101" s="122"/>
      <c r="E101" s="122"/>
      <c r="F101" s="194"/>
      <c r="G101" s="195"/>
      <c r="H101" s="195"/>
      <c r="I101" s="195"/>
      <c r="J101" s="196"/>
      <c r="K101" s="197"/>
      <c r="L101" s="198"/>
      <c r="M101" s="199"/>
      <c r="N101" s="200"/>
      <c r="O101" s="201"/>
      <c r="P101" s="201"/>
      <c r="Q101" s="201"/>
      <c r="R101" s="201"/>
      <c r="S101" s="201"/>
      <c r="T101" s="201"/>
      <c r="U101" s="201"/>
      <c r="V101" s="201"/>
      <c r="W101" s="201"/>
      <c r="X101" s="202"/>
      <c r="Y101" s="203"/>
      <c r="Z101" s="204"/>
      <c r="AA101" s="205"/>
      <c r="AB101" s="206"/>
      <c r="AC101" s="206"/>
      <c r="AD101" s="194"/>
      <c r="AE101" s="201"/>
      <c r="AF101" s="207"/>
      <c r="AG101" s="208"/>
      <c r="AH101" s="209"/>
      <c r="AI101" s="210"/>
      <c r="AJ101" s="197"/>
      <c r="AK101" s="201"/>
      <c r="AL101" s="196"/>
      <c r="AM101" s="201"/>
      <c r="AN101" s="201"/>
      <c r="AO101" s="201"/>
      <c r="AP101" s="211"/>
      <c r="AQ101" s="212"/>
      <c r="AR101" s="201"/>
      <c r="AS101" s="201"/>
      <c r="AT101" s="201"/>
      <c r="AU101" s="201"/>
      <c r="AV101" s="202"/>
      <c r="AW101" s="194"/>
      <c r="AX101" s="201"/>
      <c r="AY101" s="213"/>
      <c r="AZ101" s="214"/>
      <c r="BA101" s="215"/>
      <c r="BB101" s="216"/>
      <c r="BC101" s="217" t="str">
        <f t="shared" si="13"/>
        <v/>
      </c>
      <c r="BD101" s="218"/>
      <c r="BE101" s="219"/>
      <c r="BF101" s="220"/>
      <c r="BG101" s="219"/>
      <c r="BH101" s="219"/>
      <c r="BI101" s="220"/>
      <c r="BJ101" s="218"/>
      <c r="BK101" s="219"/>
      <c r="BL101" s="197"/>
      <c r="BM101" s="215"/>
      <c r="BN101" s="221"/>
      <c r="BO101" s="222" t="str">
        <f t="shared" si="14"/>
        <v/>
      </c>
      <c r="BP101" s="217" t="str">
        <f t="shared" si="15"/>
        <v/>
      </c>
      <c r="BQ101" s="215"/>
      <c r="BR101" s="224"/>
      <c r="BS101" s="225"/>
      <c r="BT101" s="223"/>
      <c r="BU101" s="215"/>
      <c r="BV101" s="226"/>
      <c r="BW101" s="222" t="str">
        <f t="shared" si="16"/>
        <v/>
      </c>
      <c r="BX101" s="223" t="str">
        <f t="shared" si="17"/>
        <v/>
      </c>
      <c r="BY101" s="215"/>
      <c r="BZ101" s="227"/>
      <c r="CA101" s="227"/>
      <c r="CB101" s="228"/>
      <c r="CC101" s="229"/>
      <c r="CD101" s="230" t="str">
        <f t="shared" si="18"/>
        <v/>
      </c>
      <c r="CE101" s="231" t="str">
        <f t="shared" si="19"/>
        <v/>
      </c>
      <c r="CF101" s="232" t="str">
        <f t="shared" si="20"/>
        <v/>
      </c>
      <c r="CG101" s="233" t="str">
        <f t="shared" si="21"/>
        <v/>
      </c>
      <c r="CH101" s="207" t="str">
        <f>IF(OR(G101="",CC101= ""), "", IF(ISERROR(SMALL((CJ101,CN101,CV101), 1)-CC101), "",  SMALL((CJ101,CN101,CV101), 1)-CC101))</f>
        <v/>
      </c>
      <c r="CI101" s="234"/>
      <c r="CJ101" s="235"/>
      <c r="CK101" s="236"/>
      <c r="CL101" s="222" t="str">
        <f t="shared" si="22"/>
        <v/>
      </c>
      <c r="CM101" s="237" t="str">
        <f>IF(OR(G101="", CJ101="",CK101=""), "", IF(ISERROR(SMALL((CN101,CV101), 1)-CK101), "",  SMALL((CN101,CV101), 1)-CK101))</f>
        <v/>
      </c>
      <c r="CN101" s="235"/>
      <c r="CO101" s="236"/>
      <c r="CP101" s="224" t="str">
        <f t="shared" si="23"/>
        <v/>
      </c>
      <c r="CQ101" s="235"/>
      <c r="CR101" s="236"/>
      <c r="CS101" s="222" t="str">
        <f t="shared" si="24"/>
        <v/>
      </c>
      <c r="CT101" s="237" t="str">
        <f t="shared" si="25"/>
        <v/>
      </c>
      <c r="CU101" s="238"/>
      <c r="CV101" s="239"/>
      <c r="CW101" s="240"/>
    </row>
    <row r="102" spans="2:101" ht="16.5" customHeight="1">
      <c r="B102" s="122"/>
      <c r="E102" s="122"/>
      <c r="F102" s="194"/>
      <c r="G102" s="195"/>
      <c r="H102" s="195"/>
      <c r="I102" s="195"/>
      <c r="J102" s="196"/>
      <c r="K102" s="197"/>
      <c r="L102" s="198"/>
      <c r="M102" s="199"/>
      <c r="N102" s="200"/>
      <c r="O102" s="201"/>
      <c r="P102" s="201"/>
      <c r="Q102" s="201"/>
      <c r="R102" s="201"/>
      <c r="S102" s="201"/>
      <c r="T102" s="201"/>
      <c r="U102" s="201"/>
      <c r="V102" s="201"/>
      <c r="W102" s="201"/>
      <c r="X102" s="202"/>
      <c r="Y102" s="203"/>
      <c r="Z102" s="204"/>
      <c r="AA102" s="205"/>
      <c r="AB102" s="206"/>
      <c r="AC102" s="206"/>
      <c r="AD102" s="194"/>
      <c r="AE102" s="201"/>
      <c r="AF102" s="207"/>
      <c r="AG102" s="208"/>
      <c r="AH102" s="209"/>
      <c r="AI102" s="210"/>
      <c r="AJ102" s="197"/>
      <c r="AK102" s="201"/>
      <c r="AL102" s="196"/>
      <c r="AM102" s="201"/>
      <c r="AN102" s="201"/>
      <c r="AO102" s="201"/>
      <c r="AP102" s="211"/>
      <c r="AQ102" s="212"/>
      <c r="AR102" s="201"/>
      <c r="AS102" s="201"/>
      <c r="AT102" s="201"/>
      <c r="AU102" s="201"/>
      <c r="AV102" s="202"/>
      <c r="AW102" s="194"/>
      <c r="AX102" s="201"/>
      <c r="AY102" s="213"/>
      <c r="AZ102" s="214"/>
      <c r="BA102" s="215"/>
      <c r="BB102" s="216"/>
      <c r="BC102" s="217" t="str">
        <f t="shared" si="13"/>
        <v/>
      </c>
      <c r="BD102" s="218"/>
      <c r="BE102" s="219"/>
      <c r="BF102" s="220"/>
      <c r="BG102" s="219"/>
      <c r="BH102" s="219"/>
      <c r="BI102" s="220"/>
      <c r="BJ102" s="218"/>
      <c r="BK102" s="219"/>
      <c r="BL102" s="197"/>
      <c r="BM102" s="215"/>
      <c r="BN102" s="221"/>
      <c r="BO102" s="222" t="str">
        <f t="shared" si="14"/>
        <v/>
      </c>
      <c r="BP102" s="217" t="str">
        <f t="shared" si="15"/>
        <v/>
      </c>
      <c r="BQ102" s="215"/>
      <c r="BR102" s="224"/>
      <c r="BS102" s="225"/>
      <c r="BT102" s="223"/>
      <c r="BU102" s="215"/>
      <c r="BV102" s="226"/>
      <c r="BW102" s="222" t="str">
        <f t="shared" si="16"/>
        <v/>
      </c>
      <c r="BX102" s="223" t="str">
        <f t="shared" si="17"/>
        <v/>
      </c>
      <c r="BY102" s="215"/>
      <c r="BZ102" s="227"/>
      <c r="CA102" s="227"/>
      <c r="CB102" s="228"/>
      <c r="CC102" s="229"/>
      <c r="CD102" s="230" t="str">
        <f t="shared" si="18"/>
        <v/>
      </c>
      <c r="CE102" s="231" t="str">
        <f t="shared" si="19"/>
        <v/>
      </c>
      <c r="CF102" s="232" t="str">
        <f t="shared" si="20"/>
        <v/>
      </c>
      <c r="CG102" s="233" t="str">
        <f t="shared" si="21"/>
        <v/>
      </c>
      <c r="CH102" s="207" t="str">
        <f>IF(OR(G102="",CC102= ""), "", IF(ISERROR(SMALL((CJ102,CN102,CV102), 1)-CC102), "",  SMALL((CJ102,CN102,CV102), 1)-CC102))</f>
        <v/>
      </c>
      <c r="CI102" s="234"/>
      <c r="CJ102" s="235"/>
      <c r="CK102" s="236"/>
      <c r="CL102" s="222" t="str">
        <f t="shared" si="22"/>
        <v/>
      </c>
      <c r="CM102" s="237" t="str">
        <f>IF(OR(G102="", CJ102="",CK102=""), "", IF(ISERROR(SMALL((CN102,CV102), 1)-CK102), "",  SMALL((CN102,CV102), 1)-CK102))</f>
        <v/>
      </c>
      <c r="CN102" s="235"/>
      <c r="CO102" s="236"/>
      <c r="CP102" s="224" t="str">
        <f t="shared" si="23"/>
        <v/>
      </c>
      <c r="CQ102" s="235"/>
      <c r="CR102" s="236"/>
      <c r="CS102" s="222" t="str">
        <f t="shared" si="24"/>
        <v/>
      </c>
      <c r="CT102" s="237" t="str">
        <f t="shared" si="25"/>
        <v/>
      </c>
      <c r="CU102" s="238"/>
      <c r="CV102" s="239"/>
      <c r="CW102" s="240"/>
    </row>
    <row r="103" spans="2:101" ht="16.5" customHeight="1">
      <c r="B103" s="122"/>
      <c r="E103" s="122"/>
      <c r="F103" s="194"/>
      <c r="G103" s="195"/>
      <c r="H103" s="195"/>
      <c r="I103" s="195"/>
      <c r="J103" s="196"/>
      <c r="K103" s="197"/>
      <c r="L103" s="198"/>
      <c r="M103" s="199"/>
      <c r="N103" s="200"/>
      <c r="O103" s="201"/>
      <c r="P103" s="201"/>
      <c r="Q103" s="201"/>
      <c r="R103" s="201"/>
      <c r="S103" s="201"/>
      <c r="T103" s="201"/>
      <c r="U103" s="201"/>
      <c r="V103" s="201"/>
      <c r="W103" s="201"/>
      <c r="X103" s="202"/>
      <c r="Y103" s="203"/>
      <c r="Z103" s="204"/>
      <c r="AA103" s="205"/>
      <c r="AB103" s="206"/>
      <c r="AC103" s="206"/>
      <c r="AD103" s="194"/>
      <c r="AE103" s="201"/>
      <c r="AF103" s="207"/>
      <c r="AG103" s="208"/>
      <c r="AH103" s="209"/>
      <c r="AI103" s="210"/>
      <c r="AJ103" s="197"/>
      <c r="AK103" s="201"/>
      <c r="AL103" s="196"/>
      <c r="AM103" s="201"/>
      <c r="AN103" s="201"/>
      <c r="AO103" s="201"/>
      <c r="AP103" s="211"/>
      <c r="AQ103" s="212"/>
      <c r="AR103" s="201"/>
      <c r="AS103" s="201"/>
      <c r="AT103" s="201"/>
      <c r="AU103" s="201"/>
      <c r="AV103" s="202"/>
      <c r="AW103" s="194"/>
      <c r="AX103" s="201"/>
      <c r="AY103" s="213"/>
      <c r="AZ103" s="214"/>
      <c r="BA103" s="215"/>
      <c r="BB103" s="216"/>
      <c r="BC103" s="217" t="str">
        <f t="shared" si="13"/>
        <v/>
      </c>
      <c r="BD103" s="218"/>
      <c r="BE103" s="219"/>
      <c r="BF103" s="220"/>
      <c r="BG103" s="219"/>
      <c r="BH103" s="219"/>
      <c r="BI103" s="220"/>
      <c r="BJ103" s="218"/>
      <c r="BK103" s="219"/>
      <c r="BL103" s="197"/>
      <c r="BM103" s="215"/>
      <c r="BN103" s="221"/>
      <c r="BO103" s="222" t="str">
        <f t="shared" si="14"/>
        <v/>
      </c>
      <c r="BP103" s="217" t="str">
        <f t="shared" si="15"/>
        <v/>
      </c>
      <c r="BQ103" s="215"/>
      <c r="BR103" s="224"/>
      <c r="BS103" s="225"/>
      <c r="BT103" s="223"/>
      <c r="BU103" s="215"/>
      <c r="BV103" s="226"/>
      <c r="BW103" s="222" t="str">
        <f t="shared" si="16"/>
        <v/>
      </c>
      <c r="BX103" s="223" t="str">
        <f t="shared" si="17"/>
        <v/>
      </c>
      <c r="BY103" s="215"/>
      <c r="BZ103" s="227"/>
      <c r="CA103" s="227"/>
      <c r="CB103" s="228"/>
      <c r="CC103" s="229"/>
      <c r="CD103" s="230" t="str">
        <f t="shared" si="18"/>
        <v/>
      </c>
      <c r="CE103" s="231" t="str">
        <f t="shared" si="19"/>
        <v/>
      </c>
      <c r="CF103" s="232" t="str">
        <f t="shared" si="20"/>
        <v/>
      </c>
      <c r="CG103" s="233" t="str">
        <f t="shared" si="21"/>
        <v/>
      </c>
      <c r="CH103" s="207" t="str">
        <f>IF(OR(G103="",CC103= ""), "", IF(ISERROR(SMALL((CJ103,CN103,CV103), 1)-CC103), "",  SMALL((CJ103,CN103,CV103), 1)-CC103))</f>
        <v/>
      </c>
      <c r="CI103" s="234"/>
      <c r="CJ103" s="235"/>
      <c r="CK103" s="236"/>
      <c r="CL103" s="222" t="str">
        <f t="shared" si="22"/>
        <v/>
      </c>
      <c r="CM103" s="237" t="str">
        <f>IF(OR(G103="", CJ103="",CK103=""), "", IF(ISERROR(SMALL((CN103,CV103), 1)-CK103), "",  SMALL((CN103,CV103), 1)-CK103))</f>
        <v/>
      </c>
      <c r="CN103" s="235"/>
      <c r="CO103" s="236"/>
      <c r="CP103" s="224" t="str">
        <f t="shared" si="23"/>
        <v/>
      </c>
      <c r="CQ103" s="235"/>
      <c r="CR103" s="236"/>
      <c r="CS103" s="222" t="str">
        <f t="shared" si="24"/>
        <v/>
      </c>
      <c r="CT103" s="237" t="str">
        <f t="shared" si="25"/>
        <v/>
      </c>
      <c r="CU103" s="238"/>
      <c r="CV103" s="239"/>
      <c r="CW103" s="240"/>
    </row>
    <row r="104" spans="2:101" ht="16.5" customHeight="1">
      <c r="B104" s="122"/>
      <c r="E104" s="122"/>
      <c r="F104" s="194"/>
      <c r="G104" s="195"/>
      <c r="H104" s="195"/>
      <c r="I104" s="195"/>
      <c r="J104" s="196"/>
      <c r="K104" s="197"/>
      <c r="L104" s="198"/>
      <c r="M104" s="199"/>
      <c r="N104" s="200"/>
      <c r="O104" s="201"/>
      <c r="P104" s="201"/>
      <c r="Q104" s="201"/>
      <c r="R104" s="201"/>
      <c r="S104" s="201"/>
      <c r="T104" s="201"/>
      <c r="U104" s="201"/>
      <c r="V104" s="201"/>
      <c r="W104" s="201"/>
      <c r="X104" s="202"/>
      <c r="Y104" s="203"/>
      <c r="Z104" s="204"/>
      <c r="AA104" s="205"/>
      <c r="AB104" s="206"/>
      <c r="AC104" s="206"/>
      <c r="AD104" s="194"/>
      <c r="AE104" s="201"/>
      <c r="AF104" s="207"/>
      <c r="AG104" s="208"/>
      <c r="AH104" s="209"/>
      <c r="AI104" s="210"/>
      <c r="AJ104" s="197"/>
      <c r="AK104" s="201"/>
      <c r="AL104" s="196"/>
      <c r="AM104" s="201"/>
      <c r="AN104" s="201"/>
      <c r="AO104" s="201"/>
      <c r="AP104" s="211"/>
      <c r="AQ104" s="212"/>
      <c r="AR104" s="201"/>
      <c r="AS104" s="201"/>
      <c r="AT104" s="201"/>
      <c r="AU104" s="201"/>
      <c r="AV104" s="202"/>
      <c r="AW104" s="194"/>
      <c r="AX104" s="201"/>
      <c r="AY104" s="213"/>
      <c r="AZ104" s="214"/>
      <c r="BA104" s="215"/>
      <c r="BB104" s="216"/>
      <c r="BC104" s="217" t="str">
        <f t="shared" si="13"/>
        <v/>
      </c>
      <c r="BD104" s="218"/>
      <c r="BE104" s="219"/>
      <c r="BF104" s="220"/>
      <c r="BG104" s="219"/>
      <c r="BH104" s="219"/>
      <c r="BI104" s="220"/>
      <c r="BJ104" s="218"/>
      <c r="BK104" s="219"/>
      <c r="BL104" s="197"/>
      <c r="BM104" s="215"/>
      <c r="BN104" s="221"/>
      <c r="BO104" s="222" t="str">
        <f t="shared" si="14"/>
        <v/>
      </c>
      <c r="BP104" s="217" t="str">
        <f t="shared" si="15"/>
        <v/>
      </c>
      <c r="BQ104" s="215"/>
      <c r="BR104" s="224"/>
      <c r="BS104" s="225"/>
      <c r="BT104" s="223"/>
      <c r="BU104" s="215"/>
      <c r="BV104" s="226"/>
      <c r="BW104" s="222" t="str">
        <f t="shared" si="16"/>
        <v/>
      </c>
      <c r="BX104" s="223" t="str">
        <f t="shared" si="17"/>
        <v/>
      </c>
      <c r="BY104" s="215"/>
      <c r="BZ104" s="227"/>
      <c r="CA104" s="227"/>
      <c r="CB104" s="228"/>
      <c r="CC104" s="229"/>
      <c r="CD104" s="230" t="str">
        <f t="shared" si="18"/>
        <v/>
      </c>
      <c r="CE104" s="231" t="str">
        <f t="shared" si="19"/>
        <v/>
      </c>
      <c r="CF104" s="232" t="str">
        <f t="shared" si="20"/>
        <v/>
      </c>
      <c r="CG104" s="233" t="str">
        <f t="shared" si="21"/>
        <v/>
      </c>
      <c r="CH104" s="207" t="str">
        <f>IF(OR(G104="",CC104= ""), "", IF(ISERROR(SMALL((CJ104,CN104,CV104), 1)-CC104), "",  SMALL((CJ104,CN104,CV104), 1)-CC104))</f>
        <v/>
      </c>
      <c r="CI104" s="234"/>
      <c r="CJ104" s="235"/>
      <c r="CK104" s="236"/>
      <c r="CL104" s="222" t="str">
        <f t="shared" si="22"/>
        <v/>
      </c>
      <c r="CM104" s="237" t="str">
        <f>IF(OR(G104="", CJ104="",CK104=""), "", IF(ISERROR(SMALL((CN104,CV104), 1)-CK104), "",  SMALL((CN104,CV104), 1)-CK104))</f>
        <v/>
      </c>
      <c r="CN104" s="235"/>
      <c r="CO104" s="236"/>
      <c r="CP104" s="224" t="str">
        <f t="shared" si="23"/>
        <v/>
      </c>
      <c r="CQ104" s="235"/>
      <c r="CR104" s="236"/>
      <c r="CS104" s="222" t="str">
        <f t="shared" si="24"/>
        <v/>
      </c>
      <c r="CT104" s="237" t="str">
        <f t="shared" si="25"/>
        <v/>
      </c>
      <c r="CU104" s="238"/>
      <c r="CV104" s="239"/>
      <c r="CW104" s="240"/>
    </row>
    <row r="105" spans="2:101" ht="16.5" customHeight="1">
      <c r="B105" s="122"/>
      <c r="E105" s="122"/>
      <c r="F105" s="194"/>
      <c r="G105" s="195"/>
      <c r="H105" s="195"/>
      <c r="I105" s="195"/>
      <c r="J105" s="196"/>
      <c r="K105" s="197"/>
      <c r="L105" s="198"/>
      <c r="M105" s="199"/>
      <c r="N105" s="200"/>
      <c r="O105" s="201"/>
      <c r="P105" s="201"/>
      <c r="Q105" s="201"/>
      <c r="R105" s="201"/>
      <c r="S105" s="201"/>
      <c r="T105" s="201"/>
      <c r="U105" s="201"/>
      <c r="V105" s="201"/>
      <c r="W105" s="201"/>
      <c r="X105" s="202"/>
      <c r="Y105" s="203"/>
      <c r="Z105" s="204"/>
      <c r="AA105" s="205"/>
      <c r="AB105" s="206"/>
      <c r="AC105" s="206"/>
      <c r="AD105" s="194"/>
      <c r="AE105" s="201"/>
      <c r="AF105" s="207"/>
      <c r="AG105" s="208"/>
      <c r="AH105" s="209"/>
      <c r="AI105" s="210"/>
      <c r="AJ105" s="197"/>
      <c r="AK105" s="201"/>
      <c r="AL105" s="196"/>
      <c r="AM105" s="201"/>
      <c r="AN105" s="201"/>
      <c r="AO105" s="201"/>
      <c r="AP105" s="211"/>
      <c r="AQ105" s="212"/>
      <c r="AR105" s="201"/>
      <c r="AS105" s="201"/>
      <c r="AT105" s="201"/>
      <c r="AU105" s="201"/>
      <c r="AV105" s="202"/>
      <c r="AW105" s="194"/>
      <c r="AX105" s="201"/>
      <c r="AY105" s="213"/>
      <c r="AZ105" s="214"/>
      <c r="BA105" s="215"/>
      <c r="BB105" s="216"/>
      <c r="BC105" s="217" t="str">
        <f t="shared" si="13"/>
        <v/>
      </c>
      <c r="BD105" s="218"/>
      <c r="BE105" s="219"/>
      <c r="BF105" s="220"/>
      <c r="BG105" s="219"/>
      <c r="BH105" s="219"/>
      <c r="BI105" s="220"/>
      <c r="BJ105" s="218"/>
      <c r="BK105" s="219"/>
      <c r="BL105" s="197"/>
      <c r="BM105" s="215"/>
      <c r="BN105" s="221"/>
      <c r="BO105" s="222" t="str">
        <f t="shared" si="14"/>
        <v/>
      </c>
      <c r="BP105" s="217" t="str">
        <f t="shared" si="15"/>
        <v/>
      </c>
      <c r="BQ105" s="215"/>
      <c r="BR105" s="224"/>
      <c r="BS105" s="225"/>
      <c r="BT105" s="223"/>
      <c r="BU105" s="215"/>
      <c r="BV105" s="226"/>
      <c r="BW105" s="222" t="str">
        <f t="shared" si="16"/>
        <v/>
      </c>
      <c r="BX105" s="223" t="str">
        <f t="shared" si="17"/>
        <v/>
      </c>
      <c r="BY105" s="215"/>
      <c r="BZ105" s="227"/>
      <c r="CA105" s="227"/>
      <c r="CB105" s="228"/>
      <c r="CC105" s="229"/>
      <c r="CD105" s="230" t="str">
        <f t="shared" si="18"/>
        <v/>
      </c>
      <c r="CE105" s="231" t="str">
        <f t="shared" si="19"/>
        <v/>
      </c>
      <c r="CF105" s="232" t="str">
        <f t="shared" si="20"/>
        <v/>
      </c>
      <c r="CG105" s="233" t="str">
        <f t="shared" si="21"/>
        <v/>
      </c>
      <c r="CH105" s="207" t="str">
        <f>IF(OR(G105="",CC105= ""), "", IF(ISERROR(SMALL((CJ105,CN105,CV105), 1)-CC105), "",  SMALL((CJ105,CN105,CV105), 1)-CC105))</f>
        <v/>
      </c>
      <c r="CI105" s="234"/>
      <c r="CJ105" s="235"/>
      <c r="CK105" s="236"/>
      <c r="CL105" s="222" t="str">
        <f t="shared" si="22"/>
        <v/>
      </c>
      <c r="CM105" s="237" t="str">
        <f>IF(OR(G105="", CJ105="",CK105=""), "", IF(ISERROR(SMALL((CN105,CV105), 1)-CK105), "",  SMALL((CN105,CV105), 1)-CK105))</f>
        <v/>
      </c>
      <c r="CN105" s="235"/>
      <c r="CO105" s="236"/>
      <c r="CP105" s="224" t="str">
        <f t="shared" si="23"/>
        <v/>
      </c>
      <c r="CQ105" s="235"/>
      <c r="CR105" s="236"/>
      <c r="CS105" s="222" t="str">
        <f t="shared" si="24"/>
        <v/>
      </c>
      <c r="CT105" s="237" t="str">
        <f t="shared" si="25"/>
        <v/>
      </c>
      <c r="CU105" s="238"/>
      <c r="CV105" s="239"/>
      <c r="CW105" s="240"/>
    </row>
    <row r="106" spans="2:101" ht="16.5" customHeight="1">
      <c r="B106" s="122"/>
      <c r="E106" s="122"/>
      <c r="F106" s="194"/>
      <c r="G106" s="195"/>
      <c r="H106" s="195"/>
      <c r="I106" s="195"/>
      <c r="J106" s="196"/>
      <c r="K106" s="197"/>
      <c r="L106" s="198"/>
      <c r="M106" s="199"/>
      <c r="N106" s="200"/>
      <c r="O106" s="201"/>
      <c r="P106" s="201"/>
      <c r="Q106" s="201"/>
      <c r="R106" s="201"/>
      <c r="S106" s="201"/>
      <c r="T106" s="201"/>
      <c r="U106" s="201"/>
      <c r="V106" s="201"/>
      <c r="W106" s="201"/>
      <c r="X106" s="202"/>
      <c r="Y106" s="203"/>
      <c r="Z106" s="204"/>
      <c r="AA106" s="205"/>
      <c r="AB106" s="206"/>
      <c r="AC106" s="206"/>
      <c r="AD106" s="194"/>
      <c r="AE106" s="201"/>
      <c r="AF106" s="207"/>
      <c r="AG106" s="208"/>
      <c r="AH106" s="209"/>
      <c r="AI106" s="210"/>
      <c r="AJ106" s="197"/>
      <c r="AK106" s="201"/>
      <c r="AL106" s="196"/>
      <c r="AM106" s="201"/>
      <c r="AN106" s="201"/>
      <c r="AO106" s="201"/>
      <c r="AP106" s="211"/>
      <c r="AQ106" s="212"/>
      <c r="AR106" s="201"/>
      <c r="AS106" s="201"/>
      <c r="AT106" s="201"/>
      <c r="AU106" s="201"/>
      <c r="AV106" s="202"/>
      <c r="AW106" s="194"/>
      <c r="AX106" s="201"/>
      <c r="AY106" s="213"/>
      <c r="AZ106" s="214"/>
      <c r="BA106" s="215"/>
      <c r="BB106" s="216"/>
      <c r="BC106" s="217" t="str">
        <f t="shared" si="13"/>
        <v/>
      </c>
      <c r="BD106" s="218"/>
      <c r="BE106" s="219"/>
      <c r="BF106" s="220"/>
      <c r="BG106" s="219"/>
      <c r="BH106" s="219"/>
      <c r="BI106" s="220"/>
      <c r="BJ106" s="218"/>
      <c r="BK106" s="219"/>
      <c r="BL106" s="197"/>
      <c r="BM106" s="215"/>
      <c r="BN106" s="221"/>
      <c r="BO106" s="222" t="str">
        <f t="shared" si="14"/>
        <v/>
      </c>
      <c r="BP106" s="217" t="str">
        <f t="shared" si="15"/>
        <v/>
      </c>
      <c r="BQ106" s="215"/>
      <c r="BR106" s="224"/>
      <c r="BS106" s="225"/>
      <c r="BT106" s="223"/>
      <c r="BU106" s="215"/>
      <c r="BV106" s="226"/>
      <c r="BW106" s="222" t="str">
        <f t="shared" si="16"/>
        <v/>
      </c>
      <c r="BX106" s="223" t="str">
        <f t="shared" si="17"/>
        <v/>
      </c>
      <c r="BY106" s="215"/>
      <c r="BZ106" s="227"/>
      <c r="CA106" s="227"/>
      <c r="CB106" s="228"/>
      <c r="CC106" s="229"/>
      <c r="CD106" s="230" t="str">
        <f t="shared" si="18"/>
        <v/>
      </c>
      <c r="CE106" s="231" t="str">
        <f t="shared" si="19"/>
        <v/>
      </c>
      <c r="CF106" s="232" t="str">
        <f t="shared" si="20"/>
        <v/>
      </c>
      <c r="CG106" s="233" t="str">
        <f t="shared" si="21"/>
        <v/>
      </c>
      <c r="CH106" s="207" t="str">
        <f>IF(OR(G106="",CC106= ""), "", IF(ISERROR(SMALL((CJ106,CN106,CV106), 1)-CC106), "",  SMALL((CJ106,CN106,CV106), 1)-CC106))</f>
        <v/>
      </c>
      <c r="CI106" s="234"/>
      <c r="CJ106" s="235"/>
      <c r="CK106" s="236"/>
      <c r="CL106" s="222" t="str">
        <f t="shared" si="22"/>
        <v/>
      </c>
      <c r="CM106" s="237" t="str">
        <f>IF(OR(G106="", CJ106="",CK106=""), "", IF(ISERROR(SMALL((CN106,CV106), 1)-CK106), "",  SMALL((CN106,CV106), 1)-CK106))</f>
        <v/>
      </c>
      <c r="CN106" s="235"/>
      <c r="CO106" s="236"/>
      <c r="CP106" s="224" t="str">
        <f t="shared" si="23"/>
        <v/>
      </c>
      <c r="CQ106" s="235"/>
      <c r="CR106" s="236"/>
      <c r="CS106" s="222" t="str">
        <f t="shared" si="24"/>
        <v/>
      </c>
      <c r="CT106" s="237" t="str">
        <f t="shared" si="25"/>
        <v/>
      </c>
      <c r="CU106" s="238"/>
      <c r="CV106" s="239"/>
      <c r="CW106" s="240"/>
    </row>
    <row r="107" spans="2:101" ht="16.5" customHeight="1">
      <c r="B107" s="122"/>
      <c r="E107" s="122"/>
      <c r="F107" s="194"/>
      <c r="G107" s="195"/>
      <c r="H107" s="195"/>
      <c r="I107" s="195"/>
      <c r="J107" s="196"/>
      <c r="K107" s="197"/>
      <c r="L107" s="198"/>
      <c r="M107" s="199"/>
      <c r="N107" s="200"/>
      <c r="O107" s="201"/>
      <c r="P107" s="201"/>
      <c r="Q107" s="201"/>
      <c r="R107" s="201"/>
      <c r="S107" s="201"/>
      <c r="T107" s="201"/>
      <c r="U107" s="201"/>
      <c r="V107" s="201"/>
      <c r="W107" s="201"/>
      <c r="X107" s="202"/>
      <c r="Y107" s="203"/>
      <c r="Z107" s="204"/>
      <c r="AA107" s="205"/>
      <c r="AB107" s="206"/>
      <c r="AC107" s="206"/>
      <c r="AD107" s="194"/>
      <c r="AE107" s="201"/>
      <c r="AF107" s="207"/>
      <c r="AG107" s="208"/>
      <c r="AH107" s="209"/>
      <c r="AI107" s="210"/>
      <c r="AJ107" s="197"/>
      <c r="AK107" s="201"/>
      <c r="AL107" s="196"/>
      <c r="AM107" s="201"/>
      <c r="AN107" s="201"/>
      <c r="AO107" s="201"/>
      <c r="AP107" s="211"/>
      <c r="AQ107" s="212"/>
      <c r="AR107" s="201"/>
      <c r="AS107" s="201"/>
      <c r="AT107" s="201"/>
      <c r="AU107" s="201"/>
      <c r="AV107" s="202"/>
      <c r="AW107" s="194"/>
      <c r="AX107" s="201"/>
      <c r="AY107" s="213"/>
      <c r="AZ107" s="214"/>
      <c r="BA107" s="215"/>
      <c r="BB107" s="216"/>
      <c r="BC107" s="217" t="str">
        <f t="shared" si="13"/>
        <v/>
      </c>
      <c r="BD107" s="218"/>
      <c r="BE107" s="219"/>
      <c r="BF107" s="220"/>
      <c r="BG107" s="219"/>
      <c r="BH107" s="219"/>
      <c r="BI107" s="220"/>
      <c r="BJ107" s="218"/>
      <c r="BK107" s="219"/>
      <c r="BL107" s="197"/>
      <c r="BM107" s="215"/>
      <c r="BN107" s="221"/>
      <c r="BO107" s="222" t="str">
        <f t="shared" si="14"/>
        <v/>
      </c>
      <c r="BP107" s="217" t="str">
        <f t="shared" si="15"/>
        <v/>
      </c>
      <c r="BQ107" s="215"/>
      <c r="BR107" s="224"/>
      <c r="BS107" s="225"/>
      <c r="BT107" s="223"/>
      <c r="BU107" s="215"/>
      <c r="BV107" s="226"/>
      <c r="BW107" s="222" t="str">
        <f t="shared" si="16"/>
        <v/>
      </c>
      <c r="BX107" s="223" t="str">
        <f t="shared" si="17"/>
        <v/>
      </c>
      <c r="BY107" s="215"/>
      <c r="BZ107" s="227"/>
      <c r="CA107" s="227"/>
      <c r="CB107" s="228"/>
      <c r="CC107" s="229"/>
      <c r="CD107" s="230" t="str">
        <f t="shared" si="18"/>
        <v/>
      </c>
      <c r="CE107" s="231" t="str">
        <f t="shared" si="19"/>
        <v/>
      </c>
      <c r="CF107" s="232" t="str">
        <f t="shared" si="20"/>
        <v/>
      </c>
      <c r="CG107" s="233" t="str">
        <f t="shared" si="21"/>
        <v/>
      </c>
      <c r="CH107" s="207" t="str">
        <f>IF(OR(G107="",CC107= ""), "", IF(ISERROR(SMALL((CJ107,CN107,CV107), 1)-CC107), "",  SMALL((CJ107,CN107,CV107), 1)-CC107))</f>
        <v/>
      </c>
      <c r="CI107" s="234"/>
      <c r="CJ107" s="235"/>
      <c r="CK107" s="236"/>
      <c r="CL107" s="222" t="str">
        <f t="shared" si="22"/>
        <v/>
      </c>
      <c r="CM107" s="237" t="str">
        <f>IF(OR(G107="", CJ107="",CK107=""), "", IF(ISERROR(SMALL((CN107,CV107), 1)-CK107), "",  SMALL((CN107,CV107), 1)-CK107))</f>
        <v/>
      </c>
      <c r="CN107" s="235"/>
      <c r="CO107" s="236"/>
      <c r="CP107" s="224" t="str">
        <f t="shared" si="23"/>
        <v/>
      </c>
      <c r="CQ107" s="235"/>
      <c r="CR107" s="236"/>
      <c r="CS107" s="222" t="str">
        <f t="shared" si="24"/>
        <v/>
      </c>
      <c r="CT107" s="237" t="str">
        <f t="shared" si="25"/>
        <v/>
      </c>
      <c r="CU107" s="238"/>
      <c r="CV107" s="239"/>
      <c r="CW107" s="240"/>
    </row>
    <row r="108" spans="2:101" ht="16.5" customHeight="1">
      <c r="B108" s="122"/>
      <c r="E108" s="122"/>
      <c r="F108" s="194"/>
      <c r="G108" s="195"/>
      <c r="H108" s="195"/>
      <c r="I108" s="195"/>
      <c r="J108" s="196"/>
      <c r="K108" s="197"/>
      <c r="L108" s="198"/>
      <c r="M108" s="199"/>
      <c r="N108" s="200"/>
      <c r="O108" s="201"/>
      <c r="P108" s="201"/>
      <c r="Q108" s="201"/>
      <c r="R108" s="201"/>
      <c r="S108" s="201"/>
      <c r="T108" s="201"/>
      <c r="U108" s="201"/>
      <c r="V108" s="201"/>
      <c r="W108" s="201"/>
      <c r="X108" s="202"/>
      <c r="Y108" s="203"/>
      <c r="Z108" s="204"/>
      <c r="AA108" s="205"/>
      <c r="AB108" s="206"/>
      <c r="AC108" s="206"/>
      <c r="AD108" s="194"/>
      <c r="AE108" s="201"/>
      <c r="AF108" s="207"/>
      <c r="AG108" s="208"/>
      <c r="AH108" s="209"/>
      <c r="AI108" s="210"/>
      <c r="AJ108" s="197"/>
      <c r="AK108" s="201"/>
      <c r="AL108" s="196"/>
      <c r="AM108" s="201"/>
      <c r="AN108" s="201"/>
      <c r="AO108" s="201"/>
      <c r="AP108" s="211"/>
      <c r="AQ108" s="212"/>
      <c r="AR108" s="201"/>
      <c r="AS108" s="201"/>
      <c r="AT108" s="201"/>
      <c r="AU108" s="201"/>
      <c r="AV108" s="202"/>
      <c r="AW108" s="194"/>
      <c r="AX108" s="201"/>
      <c r="AY108" s="213"/>
      <c r="AZ108" s="214"/>
      <c r="BA108" s="215"/>
      <c r="BB108" s="216"/>
      <c r="BC108" s="217" t="str">
        <f t="shared" si="13"/>
        <v/>
      </c>
      <c r="BD108" s="218"/>
      <c r="BE108" s="219"/>
      <c r="BF108" s="220"/>
      <c r="BG108" s="219"/>
      <c r="BH108" s="219"/>
      <c r="BI108" s="220"/>
      <c r="BJ108" s="218"/>
      <c r="BK108" s="219"/>
      <c r="BL108" s="197"/>
      <c r="BM108" s="215"/>
      <c r="BN108" s="221"/>
      <c r="BO108" s="222" t="str">
        <f t="shared" si="14"/>
        <v/>
      </c>
      <c r="BP108" s="217" t="str">
        <f t="shared" si="15"/>
        <v/>
      </c>
      <c r="BQ108" s="215"/>
      <c r="BR108" s="224"/>
      <c r="BS108" s="225"/>
      <c r="BT108" s="223"/>
      <c r="BU108" s="215"/>
      <c r="BV108" s="226"/>
      <c r="BW108" s="222" t="str">
        <f t="shared" si="16"/>
        <v/>
      </c>
      <c r="BX108" s="223" t="str">
        <f t="shared" si="17"/>
        <v/>
      </c>
      <c r="BY108" s="215"/>
      <c r="BZ108" s="227"/>
      <c r="CA108" s="227"/>
      <c r="CB108" s="228"/>
      <c r="CC108" s="229"/>
      <c r="CD108" s="230" t="str">
        <f t="shared" si="18"/>
        <v/>
      </c>
      <c r="CE108" s="231" t="str">
        <f t="shared" si="19"/>
        <v/>
      </c>
      <c r="CF108" s="232" t="str">
        <f t="shared" si="20"/>
        <v/>
      </c>
      <c r="CG108" s="233" t="str">
        <f t="shared" si="21"/>
        <v/>
      </c>
      <c r="CH108" s="207" t="str">
        <f>IF(OR(G108="",CC108= ""), "", IF(ISERROR(SMALL((CJ108,CN108,CV108), 1)-CC108), "",  SMALL((CJ108,CN108,CV108), 1)-CC108))</f>
        <v/>
      </c>
      <c r="CI108" s="234"/>
      <c r="CJ108" s="235"/>
      <c r="CK108" s="236"/>
      <c r="CL108" s="222" t="str">
        <f t="shared" si="22"/>
        <v/>
      </c>
      <c r="CM108" s="237" t="str">
        <f>IF(OR(G108="", CJ108="",CK108=""), "", IF(ISERROR(SMALL((CN108,CV108), 1)-CK108), "",  SMALL((CN108,CV108), 1)-CK108))</f>
        <v/>
      </c>
      <c r="CN108" s="235"/>
      <c r="CO108" s="236"/>
      <c r="CP108" s="224" t="str">
        <f t="shared" si="23"/>
        <v/>
      </c>
      <c r="CQ108" s="235"/>
      <c r="CR108" s="236"/>
      <c r="CS108" s="222" t="str">
        <f t="shared" si="24"/>
        <v/>
      </c>
      <c r="CT108" s="237" t="str">
        <f t="shared" si="25"/>
        <v/>
      </c>
      <c r="CU108" s="238"/>
      <c r="CV108" s="239"/>
      <c r="CW108" s="240"/>
    </row>
    <row r="109" spans="2:101" ht="16.5" customHeight="1">
      <c r="B109" s="122"/>
      <c r="E109" s="122"/>
      <c r="F109" s="194"/>
      <c r="G109" s="195"/>
      <c r="H109" s="195"/>
      <c r="I109" s="195"/>
      <c r="J109" s="196"/>
      <c r="K109" s="197"/>
      <c r="L109" s="198"/>
      <c r="M109" s="199"/>
      <c r="N109" s="200"/>
      <c r="O109" s="201"/>
      <c r="P109" s="201"/>
      <c r="Q109" s="201"/>
      <c r="R109" s="201"/>
      <c r="S109" s="201"/>
      <c r="T109" s="201"/>
      <c r="U109" s="201"/>
      <c r="V109" s="201"/>
      <c r="W109" s="201"/>
      <c r="X109" s="202"/>
      <c r="Y109" s="203"/>
      <c r="Z109" s="204"/>
      <c r="AA109" s="205"/>
      <c r="AB109" s="206"/>
      <c r="AC109" s="206"/>
      <c r="AD109" s="194"/>
      <c r="AE109" s="201"/>
      <c r="AF109" s="207"/>
      <c r="AG109" s="208"/>
      <c r="AH109" s="209"/>
      <c r="AI109" s="210"/>
      <c r="AJ109" s="197"/>
      <c r="AK109" s="201"/>
      <c r="AL109" s="196"/>
      <c r="AM109" s="201"/>
      <c r="AN109" s="201"/>
      <c r="AO109" s="201"/>
      <c r="AP109" s="211"/>
      <c r="AQ109" s="212"/>
      <c r="AR109" s="201"/>
      <c r="AS109" s="201"/>
      <c r="AT109" s="201"/>
      <c r="AU109" s="201"/>
      <c r="AV109" s="202"/>
      <c r="AW109" s="194"/>
      <c r="AX109" s="201"/>
      <c r="AY109" s="213"/>
      <c r="AZ109" s="214"/>
      <c r="BA109" s="215"/>
      <c r="BB109" s="216"/>
      <c r="BC109" s="217" t="str">
        <f t="shared" si="13"/>
        <v/>
      </c>
      <c r="BD109" s="218"/>
      <c r="BE109" s="219"/>
      <c r="BF109" s="220"/>
      <c r="BG109" s="219"/>
      <c r="BH109" s="219"/>
      <c r="BI109" s="220"/>
      <c r="BJ109" s="218"/>
      <c r="BK109" s="219"/>
      <c r="BL109" s="197"/>
      <c r="BM109" s="215"/>
      <c r="BN109" s="221"/>
      <c r="BO109" s="222" t="str">
        <f t="shared" si="14"/>
        <v/>
      </c>
      <c r="BP109" s="217" t="str">
        <f t="shared" si="15"/>
        <v/>
      </c>
      <c r="BQ109" s="215"/>
      <c r="BR109" s="224"/>
      <c r="BS109" s="225"/>
      <c r="BT109" s="223"/>
      <c r="BU109" s="215"/>
      <c r="BV109" s="226"/>
      <c r="BW109" s="222" t="str">
        <f t="shared" si="16"/>
        <v/>
      </c>
      <c r="BX109" s="223" t="str">
        <f t="shared" si="17"/>
        <v/>
      </c>
      <c r="BY109" s="215"/>
      <c r="BZ109" s="227"/>
      <c r="CA109" s="227"/>
      <c r="CB109" s="228"/>
      <c r="CC109" s="229"/>
      <c r="CD109" s="230" t="str">
        <f t="shared" si="18"/>
        <v/>
      </c>
      <c r="CE109" s="231" t="str">
        <f t="shared" si="19"/>
        <v/>
      </c>
      <c r="CF109" s="232" t="str">
        <f t="shared" si="20"/>
        <v/>
      </c>
      <c r="CG109" s="233" t="str">
        <f t="shared" si="21"/>
        <v/>
      </c>
      <c r="CH109" s="207" t="str">
        <f>IF(OR(G109="",CC109= ""), "", IF(ISERROR(SMALL((CJ109,CN109,CV109), 1)-CC109), "",  SMALL((CJ109,CN109,CV109), 1)-CC109))</f>
        <v/>
      </c>
      <c r="CI109" s="234"/>
      <c r="CJ109" s="235"/>
      <c r="CK109" s="236"/>
      <c r="CL109" s="222" t="str">
        <f t="shared" si="22"/>
        <v/>
      </c>
      <c r="CM109" s="237" t="str">
        <f>IF(OR(G109="", CJ109="",CK109=""), "", IF(ISERROR(SMALL((CN109,CV109), 1)-CK109), "",  SMALL((CN109,CV109), 1)-CK109))</f>
        <v/>
      </c>
      <c r="CN109" s="235"/>
      <c r="CO109" s="236"/>
      <c r="CP109" s="224" t="str">
        <f t="shared" si="23"/>
        <v/>
      </c>
      <c r="CQ109" s="235"/>
      <c r="CR109" s="236"/>
      <c r="CS109" s="222" t="str">
        <f t="shared" si="24"/>
        <v/>
      </c>
      <c r="CT109" s="237" t="str">
        <f t="shared" si="25"/>
        <v/>
      </c>
      <c r="CU109" s="238"/>
      <c r="CV109" s="239"/>
      <c r="CW109" s="240"/>
    </row>
    <row r="110" spans="2:101" ht="16.5" customHeight="1">
      <c r="B110" s="122"/>
      <c r="E110" s="122"/>
      <c r="F110" s="194"/>
      <c r="G110" s="195"/>
      <c r="H110" s="195"/>
      <c r="I110" s="195"/>
      <c r="J110" s="196"/>
      <c r="K110" s="197"/>
      <c r="L110" s="198"/>
      <c r="M110" s="199"/>
      <c r="N110" s="200"/>
      <c r="O110" s="201"/>
      <c r="P110" s="201"/>
      <c r="Q110" s="201"/>
      <c r="R110" s="201"/>
      <c r="S110" s="201"/>
      <c r="T110" s="201"/>
      <c r="U110" s="201"/>
      <c r="V110" s="201"/>
      <c r="W110" s="201"/>
      <c r="X110" s="202"/>
      <c r="Y110" s="203"/>
      <c r="Z110" s="204"/>
      <c r="AA110" s="205"/>
      <c r="AB110" s="206"/>
      <c r="AC110" s="206"/>
      <c r="AD110" s="194"/>
      <c r="AE110" s="201"/>
      <c r="AF110" s="207"/>
      <c r="AG110" s="208"/>
      <c r="AH110" s="209"/>
      <c r="AI110" s="210"/>
      <c r="AJ110" s="197"/>
      <c r="AK110" s="201"/>
      <c r="AL110" s="196"/>
      <c r="AM110" s="201"/>
      <c r="AN110" s="201"/>
      <c r="AO110" s="201"/>
      <c r="AP110" s="211"/>
      <c r="AQ110" s="212"/>
      <c r="AR110" s="201"/>
      <c r="AS110" s="201"/>
      <c r="AT110" s="201"/>
      <c r="AU110" s="201"/>
      <c r="AV110" s="202"/>
      <c r="AW110" s="194"/>
      <c r="AX110" s="201"/>
      <c r="AY110" s="213"/>
      <c r="AZ110" s="214"/>
      <c r="BA110" s="215"/>
      <c r="BB110" s="216"/>
      <c r="BC110" s="217" t="str">
        <f t="shared" si="13"/>
        <v/>
      </c>
      <c r="BD110" s="218"/>
      <c r="BE110" s="219"/>
      <c r="BF110" s="220"/>
      <c r="BG110" s="219"/>
      <c r="BH110" s="219"/>
      <c r="BI110" s="220"/>
      <c r="BJ110" s="218"/>
      <c r="BK110" s="219"/>
      <c r="BL110" s="197"/>
      <c r="BM110" s="215"/>
      <c r="BN110" s="221"/>
      <c r="BO110" s="222" t="str">
        <f t="shared" si="14"/>
        <v/>
      </c>
      <c r="BP110" s="217" t="str">
        <f t="shared" si="15"/>
        <v/>
      </c>
      <c r="BQ110" s="215"/>
      <c r="BR110" s="224"/>
      <c r="BS110" s="225"/>
      <c r="BT110" s="223"/>
      <c r="BU110" s="215"/>
      <c r="BV110" s="226"/>
      <c r="BW110" s="222" t="str">
        <f t="shared" si="16"/>
        <v/>
      </c>
      <c r="BX110" s="223" t="str">
        <f t="shared" si="17"/>
        <v/>
      </c>
      <c r="BY110" s="215"/>
      <c r="BZ110" s="227"/>
      <c r="CA110" s="227"/>
      <c r="CB110" s="228"/>
      <c r="CC110" s="229"/>
      <c r="CD110" s="230" t="str">
        <f t="shared" si="18"/>
        <v/>
      </c>
      <c r="CE110" s="231" t="str">
        <f t="shared" si="19"/>
        <v/>
      </c>
      <c r="CF110" s="232" t="str">
        <f t="shared" si="20"/>
        <v/>
      </c>
      <c r="CG110" s="233" t="str">
        <f t="shared" si="21"/>
        <v/>
      </c>
      <c r="CH110" s="207" t="str">
        <f>IF(OR(G110="",CC110= ""), "", IF(ISERROR(SMALL((CJ110,CN110,CV110), 1)-CC110), "",  SMALL((CJ110,CN110,CV110), 1)-CC110))</f>
        <v/>
      </c>
      <c r="CI110" s="234"/>
      <c r="CJ110" s="235"/>
      <c r="CK110" s="236"/>
      <c r="CL110" s="222" t="str">
        <f t="shared" si="22"/>
        <v/>
      </c>
      <c r="CM110" s="237" t="str">
        <f>IF(OR(G110="", CJ110="",CK110=""), "", IF(ISERROR(SMALL((CN110,CV110), 1)-CK110), "",  SMALL((CN110,CV110), 1)-CK110))</f>
        <v/>
      </c>
      <c r="CN110" s="235"/>
      <c r="CO110" s="236"/>
      <c r="CP110" s="224" t="str">
        <f t="shared" si="23"/>
        <v/>
      </c>
      <c r="CQ110" s="235"/>
      <c r="CR110" s="236"/>
      <c r="CS110" s="222" t="str">
        <f t="shared" si="24"/>
        <v/>
      </c>
      <c r="CT110" s="237" t="str">
        <f t="shared" si="25"/>
        <v/>
      </c>
      <c r="CU110" s="238"/>
      <c r="CV110" s="239"/>
      <c r="CW110" s="240"/>
    </row>
    <row r="111" spans="2:101" ht="16.5" customHeight="1">
      <c r="B111" s="122"/>
      <c r="E111" s="122"/>
      <c r="F111" s="194"/>
      <c r="G111" s="195"/>
      <c r="H111" s="195"/>
      <c r="I111" s="195"/>
      <c r="J111" s="196"/>
      <c r="K111" s="197"/>
      <c r="L111" s="198"/>
      <c r="M111" s="199"/>
      <c r="N111" s="200"/>
      <c r="O111" s="201"/>
      <c r="P111" s="201"/>
      <c r="Q111" s="201"/>
      <c r="R111" s="201"/>
      <c r="S111" s="201"/>
      <c r="T111" s="201"/>
      <c r="U111" s="201"/>
      <c r="V111" s="201"/>
      <c r="W111" s="201"/>
      <c r="X111" s="202"/>
      <c r="Y111" s="203"/>
      <c r="Z111" s="204"/>
      <c r="AA111" s="205"/>
      <c r="AB111" s="206"/>
      <c r="AC111" s="206"/>
      <c r="AD111" s="194"/>
      <c r="AE111" s="201"/>
      <c r="AF111" s="207"/>
      <c r="AG111" s="208"/>
      <c r="AH111" s="209"/>
      <c r="AI111" s="210"/>
      <c r="AJ111" s="197"/>
      <c r="AK111" s="201"/>
      <c r="AL111" s="196"/>
      <c r="AM111" s="201"/>
      <c r="AN111" s="201"/>
      <c r="AO111" s="201"/>
      <c r="AP111" s="211"/>
      <c r="AQ111" s="212"/>
      <c r="AR111" s="201"/>
      <c r="AS111" s="201"/>
      <c r="AT111" s="201"/>
      <c r="AU111" s="201"/>
      <c r="AV111" s="202"/>
      <c r="AW111" s="194"/>
      <c r="AX111" s="201"/>
      <c r="AY111" s="213"/>
      <c r="AZ111" s="214"/>
      <c r="BA111" s="215"/>
      <c r="BB111" s="216"/>
      <c r="BC111" s="217" t="str">
        <f t="shared" si="13"/>
        <v/>
      </c>
      <c r="BD111" s="218"/>
      <c r="BE111" s="219"/>
      <c r="BF111" s="220"/>
      <c r="BG111" s="219"/>
      <c r="BH111" s="219"/>
      <c r="BI111" s="220"/>
      <c r="BJ111" s="218"/>
      <c r="BK111" s="219"/>
      <c r="BL111" s="197"/>
      <c r="BM111" s="215"/>
      <c r="BN111" s="221"/>
      <c r="BO111" s="222" t="str">
        <f t="shared" si="14"/>
        <v/>
      </c>
      <c r="BP111" s="217" t="str">
        <f t="shared" si="15"/>
        <v/>
      </c>
      <c r="BQ111" s="215"/>
      <c r="BR111" s="224"/>
      <c r="BS111" s="225"/>
      <c r="BT111" s="223"/>
      <c r="BU111" s="215"/>
      <c r="BV111" s="226"/>
      <c r="BW111" s="222" t="str">
        <f t="shared" si="16"/>
        <v/>
      </c>
      <c r="BX111" s="223" t="str">
        <f t="shared" si="17"/>
        <v/>
      </c>
      <c r="BY111" s="215"/>
      <c r="BZ111" s="227"/>
      <c r="CA111" s="227"/>
      <c r="CB111" s="228"/>
      <c r="CC111" s="229"/>
      <c r="CD111" s="230" t="str">
        <f t="shared" si="18"/>
        <v/>
      </c>
      <c r="CE111" s="231" t="str">
        <f t="shared" si="19"/>
        <v/>
      </c>
      <c r="CF111" s="232" t="str">
        <f t="shared" si="20"/>
        <v/>
      </c>
      <c r="CG111" s="233" t="str">
        <f t="shared" si="21"/>
        <v/>
      </c>
      <c r="CH111" s="207" t="str">
        <f>IF(OR(G111="",CC111= ""), "", IF(ISERROR(SMALL((CJ111,CN111,CV111), 1)-CC111), "",  SMALL((CJ111,CN111,CV111), 1)-CC111))</f>
        <v/>
      </c>
      <c r="CI111" s="234"/>
      <c r="CJ111" s="235"/>
      <c r="CK111" s="236"/>
      <c r="CL111" s="222" t="str">
        <f t="shared" si="22"/>
        <v/>
      </c>
      <c r="CM111" s="237" t="str">
        <f>IF(OR(G111="", CJ111="",CK111=""), "", IF(ISERROR(SMALL((CN111,CV111), 1)-CK111), "",  SMALL((CN111,CV111), 1)-CK111))</f>
        <v/>
      </c>
      <c r="CN111" s="235"/>
      <c r="CO111" s="236"/>
      <c r="CP111" s="224" t="str">
        <f t="shared" si="23"/>
        <v/>
      </c>
      <c r="CQ111" s="235"/>
      <c r="CR111" s="236"/>
      <c r="CS111" s="222" t="str">
        <f t="shared" si="24"/>
        <v/>
      </c>
      <c r="CT111" s="237" t="str">
        <f t="shared" si="25"/>
        <v/>
      </c>
      <c r="CU111" s="238"/>
      <c r="CV111" s="239"/>
      <c r="CW111" s="240"/>
    </row>
    <row r="112" spans="2:101" ht="16.5" customHeight="1">
      <c r="B112" s="122"/>
      <c r="E112" s="122"/>
      <c r="F112" s="194"/>
      <c r="G112" s="195"/>
      <c r="H112" s="195"/>
      <c r="I112" s="195"/>
      <c r="J112" s="196"/>
      <c r="K112" s="197"/>
      <c r="L112" s="198"/>
      <c r="M112" s="199"/>
      <c r="N112" s="200"/>
      <c r="O112" s="201"/>
      <c r="P112" s="201"/>
      <c r="Q112" s="201"/>
      <c r="R112" s="201"/>
      <c r="S112" s="201"/>
      <c r="T112" s="201"/>
      <c r="U112" s="201"/>
      <c r="V112" s="201"/>
      <c r="W112" s="201"/>
      <c r="X112" s="202"/>
      <c r="Y112" s="203"/>
      <c r="Z112" s="204"/>
      <c r="AA112" s="205"/>
      <c r="AB112" s="206"/>
      <c r="AC112" s="206"/>
      <c r="AD112" s="194"/>
      <c r="AE112" s="201"/>
      <c r="AF112" s="207"/>
      <c r="AG112" s="208"/>
      <c r="AH112" s="209"/>
      <c r="AI112" s="210"/>
      <c r="AJ112" s="197"/>
      <c r="AK112" s="201"/>
      <c r="AL112" s="196"/>
      <c r="AM112" s="201"/>
      <c r="AN112" s="201"/>
      <c r="AO112" s="201"/>
      <c r="AP112" s="211"/>
      <c r="AQ112" s="212"/>
      <c r="AR112" s="201"/>
      <c r="AS112" s="201"/>
      <c r="AT112" s="201"/>
      <c r="AU112" s="201"/>
      <c r="AV112" s="202"/>
      <c r="AW112" s="194"/>
      <c r="AX112" s="201"/>
      <c r="AY112" s="213"/>
      <c r="AZ112" s="214"/>
      <c r="BA112" s="215"/>
      <c r="BB112" s="216"/>
      <c r="BC112" s="217" t="str">
        <f t="shared" si="13"/>
        <v/>
      </c>
      <c r="BD112" s="218"/>
      <c r="BE112" s="219"/>
      <c r="BF112" s="220"/>
      <c r="BG112" s="219"/>
      <c r="BH112" s="219"/>
      <c r="BI112" s="220"/>
      <c r="BJ112" s="218"/>
      <c r="BK112" s="219"/>
      <c r="BL112" s="197"/>
      <c r="BM112" s="215"/>
      <c r="BN112" s="221"/>
      <c r="BO112" s="222" t="str">
        <f t="shared" si="14"/>
        <v/>
      </c>
      <c r="BP112" s="217" t="str">
        <f t="shared" si="15"/>
        <v/>
      </c>
      <c r="BQ112" s="215"/>
      <c r="BR112" s="224"/>
      <c r="BS112" s="225"/>
      <c r="BT112" s="223"/>
      <c r="BU112" s="215"/>
      <c r="BV112" s="226"/>
      <c r="BW112" s="222" t="str">
        <f t="shared" si="16"/>
        <v/>
      </c>
      <c r="BX112" s="223" t="str">
        <f t="shared" si="17"/>
        <v/>
      </c>
      <c r="BY112" s="215"/>
      <c r="BZ112" s="227"/>
      <c r="CA112" s="227"/>
      <c r="CB112" s="228"/>
      <c r="CC112" s="229"/>
      <c r="CD112" s="230" t="str">
        <f t="shared" si="18"/>
        <v/>
      </c>
      <c r="CE112" s="231" t="str">
        <f t="shared" si="19"/>
        <v/>
      </c>
      <c r="CF112" s="232" t="str">
        <f t="shared" si="20"/>
        <v/>
      </c>
      <c r="CG112" s="233" t="str">
        <f t="shared" si="21"/>
        <v/>
      </c>
      <c r="CH112" s="207" t="str">
        <f>IF(OR(G112="",CC112= ""), "", IF(ISERROR(SMALL((CJ112,CN112,CV112), 1)-CC112), "",  SMALL((CJ112,CN112,CV112), 1)-CC112))</f>
        <v/>
      </c>
      <c r="CI112" s="234"/>
      <c r="CJ112" s="235"/>
      <c r="CK112" s="236"/>
      <c r="CL112" s="222" t="str">
        <f t="shared" si="22"/>
        <v/>
      </c>
      <c r="CM112" s="237" t="str">
        <f>IF(OR(G112="", CJ112="",CK112=""), "", IF(ISERROR(SMALL((CN112,CV112), 1)-CK112), "",  SMALL((CN112,CV112), 1)-CK112))</f>
        <v/>
      </c>
      <c r="CN112" s="235"/>
      <c r="CO112" s="236"/>
      <c r="CP112" s="224" t="str">
        <f t="shared" si="23"/>
        <v/>
      </c>
      <c r="CQ112" s="235"/>
      <c r="CR112" s="236"/>
      <c r="CS112" s="222" t="str">
        <f t="shared" si="24"/>
        <v/>
      </c>
      <c r="CT112" s="237" t="str">
        <f t="shared" si="25"/>
        <v/>
      </c>
      <c r="CU112" s="238"/>
      <c r="CV112" s="239"/>
      <c r="CW112" s="240"/>
    </row>
    <row r="113" spans="2:101" ht="16.5" customHeight="1">
      <c r="B113" s="122"/>
      <c r="E113" s="122"/>
      <c r="F113" s="194"/>
      <c r="G113" s="195"/>
      <c r="H113" s="195"/>
      <c r="I113" s="195"/>
      <c r="J113" s="196"/>
      <c r="K113" s="197"/>
      <c r="L113" s="198"/>
      <c r="M113" s="199"/>
      <c r="N113" s="200"/>
      <c r="O113" s="201"/>
      <c r="P113" s="201"/>
      <c r="Q113" s="201"/>
      <c r="R113" s="201"/>
      <c r="S113" s="201"/>
      <c r="T113" s="201"/>
      <c r="U113" s="201"/>
      <c r="V113" s="201"/>
      <c r="W113" s="201"/>
      <c r="X113" s="202"/>
      <c r="Y113" s="203"/>
      <c r="Z113" s="204"/>
      <c r="AA113" s="205"/>
      <c r="AB113" s="206"/>
      <c r="AC113" s="206"/>
      <c r="AD113" s="194"/>
      <c r="AE113" s="201"/>
      <c r="AF113" s="207"/>
      <c r="AG113" s="208"/>
      <c r="AH113" s="209"/>
      <c r="AI113" s="210"/>
      <c r="AJ113" s="197"/>
      <c r="AK113" s="201"/>
      <c r="AL113" s="196"/>
      <c r="AM113" s="201"/>
      <c r="AN113" s="201"/>
      <c r="AO113" s="201"/>
      <c r="AP113" s="211"/>
      <c r="AQ113" s="212"/>
      <c r="AR113" s="201"/>
      <c r="AS113" s="201"/>
      <c r="AT113" s="201"/>
      <c r="AU113" s="201"/>
      <c r="AV113" s="202"/>
      <c r="AW113" s="194"/>
      <c r="AX113" s="201"/>
      <c r="AY113" s="213"/>
      <c r="AZ113" s="214"/>
      <c r="BA113" s="215"/>
      <c r="BB113" s="216"/>
      <c r="BC113" s="217" t="str">
        <f t="shared" si="13"/>
        <v/>
      </c>
      <c r="BD113" s="218"/>
      <c r="BE113" s="219"/>
      <c r="BF113" s="220"/>
      <c r="BG113" s="219"/>
      <c r="BH113" s="219"/>
      <c r="BI113" s="220"/>
      <c r="BJ113" s="218"/>
      <c r="BK113" s="219"/>
      <c r="BL113" s="197"/>
      <c r="BM113" s="215"/>
      <c r="BN113" s="221"/>
      <c r="BO113" s="222" t="str">
        <f t="shared" si="14"/>
        <v/>
      </c>
      <c r="BP113" s="217" t="str">
        <f t="shared" si="15"/>
        <v/>
      </c>
      <c r="BQ113" s="215"/>
      <c r="BR113" s="224"/>
      <c r="BS113" s="225"/>
      <c r="BT113" s="223"/>
      <c r="BU113" s="215"/>
      <c r="BV113" s="226"/>
      <c r="BW113" s="222" t="str">
        <f t="shared" si="16"/>
        <v/>
      </c>
      <c r="BX113" s="223" t="str">
        <f t="shared" si="17"/>
        <v/>
      </c>
      <c r="BY113" s="215"/>
      <c r="BZ113" s="227"/>
      <c r="CA113" s="227"/>
      <c r="CB113" s="228"/>
      <c r="CC113" s="229"/>
      <c r="CD113" s="230" t="str">
        <f t="shared" si="18"/>
        <v/>
      </c>
      <c r="CE113" s="231" t="str">
        <f t="shared" si="19"/>
        <v/>
      </c>
      <c r="CF113" s="232" t="str">
        <f t="shared" si="20"/>
        <v/>
      </c>
      <c r="CG113" s="233" t="str">
        <f t="shared" si="21"/>
        <v/>
      </c>
      <c r="CH113" s="207" t="str">
        <f>IF(OR(G113="",CC113= ""), "", IF(ISERROR(SMALL((CJ113,CN113,CV113), 1)-CC113), "",  SMALL((CJ113,CN113,CV113), 1)-CC113))</f>
        <v/>
      </c>
      <c r="CI113" s="234"/>
      <c r="CJ113" s="235"/>
      <c r="CK113" s="236"/>
      <c r="CL113" s="222" t="str">
        <f t="shared" si="22"/>
        <v/>
      </c>
      <c r="CM113" s="237" t="str">
        <f>IF(OR(G113="", CJ113="",CK113=""), "", IF(ISERROR(SMALL((CN113,CV113), 1)-CK113), "",  SMALL((CN113,CV113), 1)-CK113))</f>
        <v/>
      </c>
      <c r="CN113" s="235"/>
      <c r="CO113" s="236"/>
      <c r="CP113" s="224" t="str">
        <f t="shared" si="23"/>
        <v/>
      </c>
      <c r="CQ113" s="235"/>
      <c r="CR113" s="236"/>
      <c r="CS113" s="222" t="str">
        <f t="shared" si="24"/>
        <v/>
      </c>
      <c r="CT113" s="237" t="str">
        <f t="shared" si="25"/>
        <v/>
      </c>
      <c r="CU113" s="238"/>
      <c r="CV113" s="239"/>
      <c r="CW113" s="240"/>
    </row>
    <row r="114" spans="2:101" ht="16.5" customHeight="1">
      <c r="B114" s="122"/>
      <c r="E114" s="122"/>
      <c r="F114" s="194"/>
      <c r="G114" s="195"/>
      <c r="H114" s="195"/>
      <c r="I114" s="195"/>
      <c r="J114" s="196"/>
      <c r="K114" s="197"/>
      <c r="L114" s="198"/>
      <c r="M114" s="199"/>
      <c r="N114" s="200"/>
      <c r="O114" s="201"/>
      <c r="P114" s="201"/>
      <c r="Q114" s="201"/>
      <c r="R114" s="201"/>
      <c r="S114" s="201"/>
      <c r="T114" s="201"/>
      <c r="U114" s="201"/>
      <c r="V114" s="201"/>
      <c r="W114" s="201"/>
      <c r="X114" s="202"/>
      <c r="Y114" s="203"/>
      <c r="Z114" s="204"/>
      <c r="AA114" s="205"/>
      <c r="AB114" s="206"/>
      <c r="AC114" s="206"/>
      <c r="AD114" s="194"/>
      <c r="AE114" s="201"/>
      <c r="AF114" s="207"/>
      <c r="AG114" s="208"/>
      <c r="AH114" s="209"/>
      <c r="AI114" s="210"/>
      <c r="AJ114" s="197"/>
      <c r="AK114" s="201"/>
      <c r="AL114" s="196"/>
      <c r="AM114" s="201"/>
      <c r="AN114" s="201"/>
      <c r="AO114" s="201"/>
      <c r="AP114" s="211"/>
      <c r="AQ114" s="212"/>
      <c r="AR114" s="201"/>
      <c r="AS114" s="201"/>
      <c r="AT114" s="201"/>
      <c r="AU114" s="201"/>
      <c r="AV114" s="202"/>
      <c r="AW114" s="194"/>
      <c r="AX114" s="201"/>
      <c r="AY114" s="213"/>
      <c r="AZ114" s="214"/>
      <c r="BA114" s="215"/>
      <c r="BB114" s="216"/>
      <c r="BC114" s="217" t="str">
        <f t="shared" si="13"/>
        <v/>
      </c>
      <c r="BD114" s="218"/>
      <c r="BE114" s="219"/>
      <c r="BF114" s="220"/>
      <c r="BG114" s="219"/>
      <c r="BH114" s="219"/>
      <c r="BI114" s="220"/>
      <c r="BJ114" s="218"/>
      <c r="BK114" s="219"/>
      <c r="BL114" s="197"/>
      <c r="BM114" s="215"/>
      <c r="BN114" s="221"/>
      <c r="BO114" s="222" t="str">
        <f t="shared" si="14"/>
        <v/>
      </c>
      <c r="BP114" s="217" t="str">
        <f t="shared" si="15"/>
        <v/>
      </c>
      <c r="BQ114" s="215"/>
      <c r="BR114" s="224"/>
      <c r="BS114" s="225"/>
      <c r="BT114" s="223"/>
      <c r="BU114" s="215"/>
      <c r="BV114" s="226"/>
      <c r="BW114" s="222" t="str">
        <f t="shared" si="16"/>
        <v/>
      </c>
      <c r="BX114" s="223" t="str">
        <f t="shared" si="17"/>
        <v/>
      </c>
      <c r="BY114" s="215"/>
      <c r="BZ114" s="227"/>
      <c r="CA114" s="227"/>
      <c r="CB114" s="228"/>
      <c r="CC114" s="229"/>
      <c r="CD114" s="230" t="str">
        <f t="shared" si="18"/>
        <v/>
      </c>
      <c r="CE114" s="231" t="str">
        <f t="shared" si="19"/>
        <v/>
      </c>
      <c r="CF114" s="232" t="str">
        <f t="shared" si="20"/>
        <v/>
      </c>
      <c r="CG114" s="233" t="str">
        <f t="shared" si="21"/>
        <v/>
      </c>
      <c r="CH114" s="207" t="str">
        <f>IF(OR(G114="",CC114= ""), "", IF(ISERROR(SMALL((CJ114,CN114,CV114), 1)-CC114), "",  SMALL((CJ114,CN114,CV114), 1)-CC114))</f>
        <v/>
      </c>
      <c r="CI114" s="234"/>
      <c r="CJ114" s="235"/>
      <c r="CK114" s="236"/>
      <c r="CL114" s="222" t="str">
        <f t="shared" si="22"/>
        <v/>
      </c>
      <c r="CM114" s="237" t="str">
        <f>IF(OR(G114="", CJ114="",CK114=""), "", IF(ISERROR(SMALL((CN114,CV114), 1)-CK114), "",  SMALL((CN114,CV114), 1)-CK114))</f>
        <v/>
      </c>
      <c r="CN114" s="235"/>
      <c r="CO114" s="236"/>
      <c r="CP114" s="224" t="str">
        <f t="shared" si="23"/>
        <v/>
      </c>
      <c r="CQ114" s="235"/>
      <c r="CR114" s="236"/>
      <c r="CS114" s="222" t="str">
        <f t="shared" si="24"/>
        <v/>
      </c>
      <c r="CT114" s="237" t="str">
        <f t="shared" si="25"/>
        <v/>
      </c>
      <c r="CU114" s="238"/>
      <c r="CV114" s="239"/>
      <c r="CW114" s="240"/>
    </row>
    <row r="115" spans="2:101" ht="16.5" customHeight="1">
      <c r="B115" s="122"/>
      <c r="E115" s="122"/>
      <c r="F115" s="194"/>
      <c r="G115" s="195"/>
      <c r="H115" s="195"/>
      <c r="I115" s="195"/>
      <c r="J115" s="196"/>
      <c r="K115" s="197"/>
      <c r="L115" s="198"/>
      <c r="M115" s="199"/>
      <c r="N115" s="200"/>
      <c r="O115" s="201"/>
      <c r="P115" s="201"/>
      <c r="Q115" s="201"/>
      <c r="R115" s="201"/>
      <c r="S115" s="201"/>
      <c r="T115" s="201"/>
      <c r="U115" s="201"/>
      <c r="V115" s="201"/>
      <c r="W115" s="201"/>
      <c r="X115" s="202"/>
      <c r="Y115" s="203"/>
      <c r="Z115" s="204"/>
      <c r="AA115" s="205"/>
      <c r="AB115" s="206"/>
      <c r="AC115" s="206"/>
      <c r="AD115" s="194"/>
      <c r="AE115" s="201"/>
      <c r="AF115" s="207"/>
      <c r="AG115" s="208"/>
      <c r="AH115" s="209"/>
      <c r="AI115" s="210"/>
      <c r="AJ115" s="197"/>
      <c r="AK115" s="201"/>
      <c r="AL115" s="196"/>
      <c r="AM115" s="201"/>
      <c r="AN115" s="201"/>
      <c r="AO115" s="201"/>
      <c r="AP115" s="211"/>
      <c r="AQ115" s="212"/>
      <c r="AR115" s="201"/>
      <c r="AS115" s="201"/>
      <c r="AT115" s="201"/>
      <c r="AU115" s="201"/>
      <c r="AV115" s="202"/>
      <c r="AW115" s="194"/>
      <c r="AX115" s="201"/>
      <c r="AY115" s="213"/>
      <c r="AZ115" s="214"/>
      <c r="BA115" s="215"/>
      <c r="BB115" s="216"/>
      <c r="BC115" s="217" t="str">
        <f t="shared" si="13"/>
        <v/>
      </c>
      <c r="BD115" s="218"/>
      <c r="BE115" s="219"/>
      <c r="BF115" s="220"/>
      <c r="BG115" s="219"/>
      <c r="BH115" s="219"/>
      <c r="BI115" s="220"/>
      <c r="BJ115" s="218"/>
      <c r="BK115" s="219"/>
      <c r="BL115" s="197"/>
      <c r="BM115" s="215"/>
      <c r="BN115" s="221"/>
      <c r="BO115" s="222" t="str">
        <f t="shared" si="14"/>
        <v/>
      </c>
      <c r="BP115" s="217" t="str">
        <f t="shared" si="15"/>
        <v/>
      </c>
      <c r="BQ115" s="215"/>
      <c r="BR115" s="224"/>
      <c r="BS115" s="225"/>
      <c r="BT115" s="223"/>
      <c r="BU115" s="215"/>
      <c r="BV115" s="226"/>
      <c r="BW115" s="222" t="str">
        <f t="shared" si="16"/>
        <v/>
      </c>
      <c r="BX115" s="223" t="str">
        <f t="shared" si="17"/>
        <v/>
      </c>
      <c r="BY115" s="215"/>
      <c r="BZ115" s="227"/>
      <c r="CA115" s="227"/>
      <c r="CB115" s="228"/>
      <c r="CC115" s="229"/>
      <c r="CD115" s="230" t="str">
        <f t="shared" si="18"/>
        <v/>
      </c>
      <c r="CE115" s="231" t="str">
        <f t="shared" si="19"/>
        <v/>
      </c>
      <c r="CF115" s="232" t="str">
        <f t="shared" si="20"/>
        <v/>
      </c>
      <c r="CG115" s="233" t="str">
        <f t="shared" si="21"/>
        <v/>
      </c>
      <c r="CH115" s="207" t="str">
        <f>IF(OR(G115="",CC115= ""), "", IF(ISERROR(SMALL((CJ115,CN115,CV115), 1)-CC115), "",  SMALL((CJ115,CN115,CV115), 1)-CC115))</f>
        <v/>
      </c>
      <c r="CI115" s="234"/>
      <c r="CJ115" s="235"/>
      <c r="CK115" s="236"/>
      <c r="CL115" s="222" t="str">
        <f t="shared" si="22"/>
        <v/>
      </c>
      <c r="CM115" s="237" t="str">
        <f>IF(OR(G115="", CJ115="",CK115=""), "", IF(ISERROR(SMALL((CN115,CV115), 1)-CK115), "",  SMALL((CN115,CV115), 1)-CK115))</f>
        <v/>
      </c>
      <c r="CN115" s="235"/>
      <c r="CO115" s="236"/>
      <c r="CP115" s="224" t="str">
        <f t="shared" si="23"/>
        <v/>
      </c>
      <c r="CQ115" s="235"/>
      <c r="CR115" s="236"/>
      <c r="CS115" s="222" t="str">
        <f t="shared" si="24"/>
        <v/>
      </c>
      <c r="CT115" s="237" t="str">
        <f t="shared" si="25"/>
        <v/>
      </c>
      <c r="CU115" s="238"/>
      <c r="CV115" s="239"/>
      <c r="CW115" s="240"/>
    </row>
    <row r="116" spans="2:101" ht="16.5" customHeight="1">
      <c r="B116" s="122"/>
      <c r="E116" s="122"/>
      <c r="F116" s="194"/>
      <c r="G116" s="195"/>
      <c r="H116" s="195"/>
      <c r="I116" s="195"/>
      <c r="J116" s="196"/>
      <c r="K116" s="197"/>
      <c r="L116" s="198"/>
      <c r="M116" s="199"/>
      <c r="N116" s="200"/>
      <c r="O116" s="201"/>
      <c r="P116" s="201"/>
      <c r="Q116" s="201"/>
      <c r="R116" s="201"/>
      <c r="S116" s="201"/>
      <c r="T116" s="201"/>
      <c r="U116" s="201"/>
      <c r="V116" s="201"/>
      <c r="W116" s="201"/>
      <c r="X116" s="202"/>
      <c r="Y116" s="203"/>
      <c r="Z116" s="204"/>
      <c r="AA116" s="205"/>
      <c r="AB116" s="206"/>
      <c r="AC116" s="206"/>
      <c r="AD116" s="194"/>
      <c r="AE116" s="201"/>
      <c r="AF116" s="207"/>
      <c r="AG116" s="208"/>
      <c r="AH116" s="209"/>
      <c r="AI116" s="210"/>
      <c r="AJ116" s="197"/>
      <c r="AK116" s="201"/>
      <c r="AL116" s="196"/>
      <c r="AM116" s="201"/>
      <c r="AN116" s="201"/>
      <c r="AO116" s="201"/>
      <c r="AP116" s="211"/>
      <c r="AQ116" s="212"/>
      <c r="AR116" s="201"/>
      <c r="AS116" s="201"/>
      <c r="AT116" s="201"/>
      <c r="AU116" s="201"/>
      <c r="AV116" s="202"/>
      <c r="AW116" s="194"/>
      <c r="AX116" s="201"/>
      <c r="AY116" s="213"/>
      <c r="AZ116" s="214"/>
      <c r="BA116" s="215"/>
      <c r="BB116" s="216"/>
      <c r="BC116" s="217" t="str">
        <f t="shared" si="13"/>
        <v/>
      </c>
      <c r="BD116" s="218"/>
      <c r="BE116" s="219"/>
      <c r="BF116" s="220"/>
      <c r="BG116" s="219"/>
      <c r="BH116" s="219"/>
      <c r="BI116" s="220"/>
      <c r="BJ116" s="218"/>
      <c r="BK116" s="219"/>
      <c r="BL116" s="197"/>
      <c r="BM116" s="215"/>
      <c r="BN116" s="221"/>
      <c r="BO116" s="222" t="str">
        <f t="shared" si="14"/>
        <v/>
      </c>
      <c r="BP116" s="217" t="str">
        <f t="shared" si="15"/>
        <v/>
      </c>
      <c r="BQ116" s="215"/>
      <c r="BR116" s="224"/>
      <c r="BS116" s="225"/>
      <c r="BT116" s="223"/>
      <c r="BU116" s="215"/>
      <c r="BV116" s="226"/>
      <c r="BW116" s="222" t="str">
        <f t="shared" si="16"/>
        <v/>
      </c>
      <c r="BX116" s="223" t="str">
        <f t="shared" si="17"/>
        <v/>
      </c>
      <c r="BY116" s="215"/>
      <c r="BZ116" s="227"/>
      <c r="CA116" s="227"/>
      <c r="CB116" s="228"/>
      <c r="CC116" s="229"/>
      <c r="CD116" s="230" t="str">
        <f t="shared" si="18"/>
        <v/>
      </c>
      <c r="CE116" s="231" t="str">
        <f t="shared" si="19"/>
        <v/>
      </c>
      <c r="CF116" s="232" t="str">
        <f t="shared" si="20"/>
        <v/>
      </c>
      <c r="CG116" s="233" t="str">
        <f t="shared" si="21"/>
        <v/>
      </c>
      <c r="CH116" s="207" t="str">
        <f>IF(OR(G116="",CC116= ""), "", IF(ISERROR(SMALL((CJ116,CN116,CV116), 1)-CC116), "",  SMALL((CJ116,CN116,CV116), 1)-CC116))</f>
        <v/>
      </c>
      <c r="CI116" s="234"/>
      <c r="CJ116" s="235"/>
      <c r="CK116" s="236"/>
      <c r="CL116" s="222" t="str">
        <f t="shared" si="22"/>
        <v/>
      </c>
      <c r="CM116" s="237" t="str">
        <f>IF(OR(G116="", CJ116="",CK116=""), "", IF(ISERROR(SMALL((CN116,CV116), 1)-CK116), "",  SMALL((CN116,CV116), 1)-CK116))</f>
        <v/>
      </c>
      <c r="CN116" s="235"/>
      <c r="CO116" s="236"/>
      <c r="CP116" s="224" t="str">
        <f t="shared" si="23"/>
        <v/>
      </c>
      <c r="CQ116" s="235"/>
      <c r="CR116" s="236"/>
      <c r="CS116" s="222" t="str">
        <f t="shared" si="24"/>
        <v/>
      </c>
      <c r="CT116" s="237" t="str">
        <f t="shared" si="25"/>
        <v/>
      </c>
      <c r="CU116" s="238"/>
      <c r="CV116" s="239"/>
      <c r="CW116" s="240"/>
    </row>
    <row r="117" spans="2:101" ht="16.5" customHeight="1">
      <c r="B117" s="122"/>
      <c r="E117" s="122"/>
      <c r="F117" s="194"/>
      <c r="G117" s="195"/>
      <c r="H117" s="195"/>
      <c r="I117" s="195"/>
      <c r="J117" s="196"/>
      <c r="K117" s="197"/>
      <c r="L117" s="198"/>
      <c r="M117" s="199"/>
      <c r="N117" s="200"/>
      <c r="O117" s="201"/>
      <c r="P117" s="201"/>
      <c r="Q117" s="201"/>
      <c r="R117" s="201"/>
      <c r="S117" s="201"/>
      <c r="T117" s="201"/>
      <c r="U117" s="201"/>
      <c r="V117" s="201"/>
      <c r="W117" s="201"/>
      <c r="X117" s="202"/>
      <c r="Y117" s="203"/>
      <c r="Z117" s="204"/>
      <c r="AA117" s="205"/>
      <c r="AB117" s="206"/>
      <c r="AC117" s="206"/>
      <c r="AD117" s="194"/>
      <c r="AE117" s="201"/>
      <c r="AF117" s="207"/>
      <c r="AG117" s="208"/>
      <c r="AH117" s="209"/>
      <c r="AI117" s="210"/>
      <c r="AJ117" s="197"/>
      <c r="AK117" s="201"/>
      <c r="AL117" s="196"/>
      <c r="AM117" s="201"/>
      <c r="AN117" s="201"/>
      <c r="AO117" s="201"/>
      <c r="AP117" s="211"/>
      <c r="AQ117" s="212"/>
      <c r="AR117" s="201"/>
      <c r="AS117" s="201"/>
      <c r="AT117" s="201"/>
      <c r="AU117" s="201"/>
      <c r="AV117" s="202"/>
      <c r="AW117" s="194"/>
      <c r="AX117" s="201"/>
      <c r="AY117" s="213"/>
      <c r="AZ117" s="214"/>
      <c r="BA117" s="215"/>
      <c r="BB117" s="216"/>
      <c r="BC117" s="217" t="str">
        <f t="shared" si="13"/>
        <v/>
      </c>
      <c r="BD117" s="218"/>
      <c r="BE117" s="219"/>
      <c r="BF117" s="220"/>
      <c r="BG117" s="219"/>
      <c r="BH117" s="219"/>
      <c r="BI117" s="220"/>
      <c r="BJ117" s="218"/>
      <c r="BK117" s="219"/>
      <c r="BL117" s="197"/>
      <c r="BM117" s="215"/>
      <c r="BN117" s="221"/>
      <c r="BO117" s="222" t="str">
        <f t="shared" si="14"/>
        <v/>
      </c>
      <c r="BP117" s="217" t="str">
        <f t="shared" si="15"/>
        <v/>
      </c>
      <c r="BQ117" s="215"/>
      <c r="BR117" s="224"/>
      <c r="BS117" s="225"/>
      <c r="BT117" s="223"/>
      <c r="BU117" s="215"/>
      <c r="BV117" s="226"/>
      <c r="BW117" s="222" t="str">
        <f t="shared" si="16"/>
        <v/>
      </c>
      <c r="BX117" s="223" t="str">
        <f t="shared" si="17"/>
        <v/>
      </c>
      <c r="BY117" s="215"/>
      <c r="BZ117" s="227"/>
      <c r="CA117" s="227"/>
      <c r="CB117" s="228"/>
      <c r="CC117" s="229"/>
      <c r="CD117" s="230" t="str">
        <f t="shared" si="18"/>
        <v/>
      </c>
      <c r="CE117" s="231" t="str">
        <f t="shared" si="19"/>
        <v/>
      </c>
      <c r="CF117" s="232" t="str">
        <f t="shared" si="20"/>
        <v/>
      </c>
      <c r="CG117" s="233" t="str">
        <f t="shared" si="21"/>
        <v/>
      </c>
      <c r="CH117" s="207" t="str">
        <f>IF(OR(G117="",CC117= ""), "", IF(ISERROR(SMALL((CJ117,CN117,CV117), 1)-CC117), "",  SMALL((CJ117,CN117,CV117), 1)-CC117))</f>
        <v/>
      </c>
      <c r="CI117" s="234"/>
      <c r="CJ117" s="235"/>
      <c r="CK117" s="236"/>
      <c r="CL117" s="222" t="str">
        <f t="shared" si="22"/>
        <v/>
      </c>
      <c r="CM117" s="237" t="str">
        <f>IF(OR(G117="", CJ117="",CK117=""), "", IF(ISERROR(SMALL((CN117,CV117), 1)-CK117), "",  SMALL((CN117,CV117), 1)-CK117))</f>
        <v/>
      </c>
      <c r="CN117" s="235"/>
      <c r="CO117" s="236"/>
      <c r="CP117" s="224" t="str">
        <f t="shared" si="23"/>
        <v/>
      </c>
      <c r="CQ117" s="235"/>
      <c r="CR117" s="236"/>
      <c r="CS117" s="222" t="str">
        <f t="shared" si="24"/>
        <v/>
      </c>
      <c r="CT117" s="237" t="str">
        <f t="shared" si="25"/>
        <v/>
      </c>
      <c r="CU117" s="238"/>
      <c r="CV117" s="239"/>
      <c r="CW117" s="240"/>
    </row>
    <row r="118" spans="2:101" ht="16.5" customHeight="1">
      <c r="B118" s="122"/>
      <c r="E118" s="122"/>
      <c r="F118" s="194"/>
      <c r="G118" s="195"/>
      <c r="H118" s="195"/>
      <c r="I118" s="195"/>
      <c r="J118" s="196"/>
      <c r="K118" s="197"/>
      <c r="L118" s="198"/>
      <c r="M118" s="199"/>
      <c r="N118" s="200"/>
      <c r="O118" s="201"/>
      <c r="P118" s="201"/>
      <c r="Q118" s="201"/>
      <c r="R118" s="201"/>
      <c r="S118" s="201"/>
      <c r="T118" s="201"/>
      <c r="U118" s="201"/>
      <c r="V118" s="201"/>
      <c r="W118" s="201"/>
      <c r="X118" s="202"/>
      <c r="Y118" s="203"/>
      <c r="Z118" s="204"/>
      <c r="AA118" s="205"/>
      <c r="AB118" s="206"/>
      <c r="AC118" s="206"/>
      <c r="AD118" s="194"/>
      <c r="AE118" s="201"/>
      <c r="AF118" s="207"/>
      <c r="AG118" s="208"/>
      <c r="AH118" s="209"/>
      <c r="AI118" s="210"/>
      <c r="AJ118" s="197"/>
      <c r="AK118" s="201"/>
      <c r="AL118" s="196"/>
      <c r="AM118" s="201"/>
      <c r="AN118" s="201"/>
      <c r="AO118" s="201"/>
      <c r="AP118" s="211"/>
      <c r="AQ118" s="212"/>
      <c r="AR118" s="201"/>
      <c r="AS118" s="201"/>
      <c r="AT118" s="201"/>
      <c r="AU118" s="201"/>
      <c r="AV118" s="202"/>
      <c r="AW118" s="194"/>
      <c r="AX118" s="201"/>
      <c r="AY118" s="213"/>
      <c r="AZ118" s="214"/>
      <c r="BA118" s="215"/>
      <c r="BB118" s="216"/>
      <c r="BC118" s="217" t="str">
        <f t="shared" si="13"/>
        <v/>
      </c>
      <c r="BD118" s="218"/>
      <c r="BE118" s="219"/>
      <c r="BF118" s="220"/>
      <c r="BG118" s="219"/>
      <c r="BH118" s="219"/>
      <c r="BI118" s="220"/>
      <c r="BJ118" s="218"/>
      <c r="BK118" s="219"/>
      <c r="BL118" s="197"/>
      <c r="BM118" s="215"/>
      <c r="BN118" s="221"/>
      <c r="BO118" s="222" t="str">
        <f t="shared" si="14"/>
        <v/>
      </c>
      <c r="BP118" s="217" t="str">
        <f t="shared" si="15"/>
        <v/>
      </c>
      <c r="BQ118" s="215"/>
      <c r="BR118" s="224"/>
      <c r="BS118" s="225"/>
      <c r="BT118" s="223"/>
      <c r="BU118" s="215"/>
      <c r="BV118" s="226"/>
      <c r="BW118" s="222" t="str">
        <f t="shared" si="16"/>
        <v/>
      </c>
      <c r="BX118" s="223" t="str">
        <f t="shared" si="17"/>
        <v/>
      </c>
      <c r="BY118" s="215"/>
      <c r="BZ118" s="227"/>
      <c r="CA118" s="227"/>
      <c r="CB118" s="228"/>
      <c r="CC118" s="229"/>
      <c r="CD118" s="230" t="str">
        <f t="shared" si="18"/>
        <v/>
      </c>
      <c r="CE118" s="231" t="str">
        <f t="shared" si="19"/>
        <v/>
      </c>
      <c r="CF118" s="232" t="str">
        <f t="shared" si="20"/>
        <v/>
      </c>
      <c r="CG118" s="233" t="str">
        <f t="shared" si="21"/>
        <v/>
      </c>
      <c r="CH118" s="207" t="str">
        <f>IF(OR(G118="",CC118= ""), "", IF(ISERROR(SMALL((CJ118,CN118,CV118), 1)-CC118), "",  SMALL((CJ118,CN118,CV118), 1)-CC118))</f>
        <v/>
      </c>
      <c r="CI118" s="234"/>
      <c r="CJ118" s="235"/>
      <c r="CK118" s="236"/>
      <c r="CL118" s="222" t="str">
        <f t="shared" si="22"/>
        <v/>
      </c>
      <c r="CM118" s="237" t="str">
        <f>IF(OR(G118="", CJ118="",CK118=""), "", IF(ISERROR(SMALL((CN118,CV118), 1)-CK118), "",  SMALL((CN118,CV118), 1)-CK118))</f>
        <v/>
      </c>
      <c r="CN118" s="235"/>
      <c r="CO118" s="236"/>
      <c r="CP118" s="224" t="str">
        <f t="shared" si="23"/>
        <v/>
      </c>
      <c r="CQ118" s="235"/>
      <c r="CR118" s="236"/>
      <c r="CS118" s="222" t="str">
        <f t="shared" si="24"/>
        <v/>
      </c>
      <c r="CT118" s="237" t="str">
        <f t="shared" si="25"/>
        <v/>
      </c>
      <c r="CU118" s="238"/>
      <c r="CV118" s="239"/>
      <c r="CW118" s="240"/>
    </row>
    <row r="119" spans="2:101" ht="16.5" customHeight="1">
      <c r="B119" s="122"/>
      <c r="E119" s="122"/>
      <c r="F119" s="194"/>
      <c r="G119" s="195"/>
      <c r="H119" s="195"/>
      <c r="I119" s="195"/>
      <c r="J119" s="196"/>
      <c r="K119" s="197"/>
      <c r="L119" s="198"/>
      <c r="M119" s="199"/>
      <c r="N119" s="200"/>
      <c r="O119" s="201"/>
      <c r="P119" s="201"/>
      <c r="Q119" s="201"/>
      <c r="R119" s="201"/>
      <c r="S119" s="201"/>
      <c r="T119" s="201"/>
      <c r="U119" s="201"/>
      <c r="V119" s="201"/>
      <c r="W119" s="201"/>
      <c r="X119" s="202"/>
      <c r="Y119" s="203"/>
      <c r="Z119" s="204"/>
      <c r="AA119" s="205"/>
      <c r="AB119" s="206"/>
      <c r="AC119" s="206"/>
      <c r="AD119" s="194"/>
      <c r="AE119" s="201"/>
      <c r="AF119" s="207"/>
      <c r="AG119" s="208"/>
      <c r="AH119" s="209"/>
      <c r="AI119" s="210"/>
      <c r="AJ119" s="197"/>
      <c r="AK119" s="201"/>
      <c r="AL119" s="196"/>
      <c r="AM119" s="201"/>
      <c r="AN119" s="201"/>
      <c r="AO119" s="201"/>
      <c r="AP119" s="211"/>
      <c r="AQ119" s="212"/>
      <c r="AR119" s="201"/>
      <c r="AS119" s="201"/>
      <c r="AT119" s="201"/>
      <c r="AU119" s="201"/>
      <c r="AV119" s="202"/>
      <c r="AW119" s="194"/>
      <c r="AX119" s="201"/>
      <c r="AY119" s="213"/>
      <c r="AZ119" s="214"/>
      <c r="BA119" s="215"/>
      <c r="BB119" s="216"/>
      <c r="BC119" s="217" t="str">
        <f t="shared" si="13"/>
        <v/>
      </c>
      <c r="BD119" s="218"/>
      <c r="BE119" s="219"/>
      <c r="BF119" s="220"/>
      <c r="BG119" s="219"/>
      <c r="BH119" s="219"/>
      <c r="BI119" s="220"/>
      <c r="BJ119" s="218"/>
      <c r="BK119" s="219"/>
      <c r="BL119" s="197"/>
      <c r="BM119" s="215"/>
      <c r="BN119" s="221"/>
      <c r="BO119" s="222" t="str">
        <f t="shared" si="14"/>
        <v/>
      </c>
      <c r="BP119" s="217" t="str">
        <f t="shared" si="15"/>
        <v/>
      </c>
      <c r="BQ119" s="215"/>
      <c r="BR119" s="224"/>
      <c r="BS119" s="225"/>
      <c r="BT119" s="223"/>
      <c r="BU119" s="215"/>
      <c r="BV119" s="226"/>
      <c r="BW119" s="222" t="str">
        <f t="shared" si="16"/>
        <v/>
      </c>
      <c r="BX119" s="223" t="str">
        <f t="shared" si="17"/>
        <v/>
      </c>
      <c r="BY119" s="215"/>
      <c r="BZ119" s="227"/>
      <c r="CA119" s="227"/>
      <c r="CB119" s="228"/>
      <c r="CC119" s="229"/>
      <c r="CD119" s="230" t="str">
        <f t="shared" si="18"/>
        <v/>
      </c>
      <c r="CE119" s="231" t="str">
        <f t="shared" si="19"/>
        <v/>
      </c>
      <c r="CF119" s="232" t="str">
        <f t="shared" si="20"/>
        <v/>
      </c>
      <c r="CG119" s="233" t="str">
        <f t="shared" si="21"/>
        <v/>
      </c>
      <c r="CH119" s="207" t="str">
        <f>IF(OR(G119="",CC119= ""), "", IF(ISERROR(SMALL((CJ119,CN119,CV119), 1)-CC119), "",  SMALL((CJ119,CN119,CV119), 1)-CC119))</f>
        <v/>
      </c>
      <c r="CI119" s="234"/>
      <c r="CJ119" s="235"/>
      <c r="CK119" s="236"/>
      <c r="CL119" s="222" t="str">
        <f t="shared" si="22"/>
        <v/>
      </c>
      <c r="CM119" s="237" t="str">
        <f>IF(OR(G119="", CJ119="",CK119=""), "", IF(ISERROR(SMALL((CN119,CV119), 1)-CK119), "",  SMALL((CN119,CV119), 1)-CK119))</f>
        <v/>
      </c>
      <c r="CN119" s="235"/>
      <c r="CO119" s="236"/>
      <c r="CP119" s="224" t="str">
        <f t="shared" si="23"/>
        <v/>
      </c>
      <c r="CQ119" s="235"/>
      <c r="CR119" s="236"/>
      <c r="CS119" s="222" t="str">
        <f t="shared" si="24"/>
        <v/>
      </c>
      <c r="CT119" s="237" t="str">
        <f t="shared" si="25"/>
        <v/>
      </c>
      <c r="CU119" s="238"/>
      <c r="CV119" s="239"/>
      <c r="CW119" s="240"/>
    </row>
    <row r="120" spans="2:101" ht="16.5" customHeight="1">
      <c r="B120" s="122"/>
      <c r="E120" s="122"/>
      <c r="F120" s="194"/>
      <c r="G120" s="195"/>
      <c r="H120" s="195"/>
      <c r="I120" s="195"/>
      <c r="J120" s="196"/>
      <c r="K120" s="197"/>
      <c r="L120" s="198"/>
      <c r="M120" s="199"/>
      <c r="N120" s="200"/>
      <c r="O120" s="201"/>
      <c r="P120" s="201"/>
      <c r="Q120" s="201"/>
      <c r="R120" s="201"/>
      <c r="S120" s="201"/>
      <c r="T120" s="201"/>
      <c r="U120" s="201"/>
      <c r="V120" s="201"/>
      <c r="W120" s="201"/>
      <c r="X120" s="202"/>
      <c r="Y120" s="203"/>
      <c r="Z120" s="204"/>
      <c r="AA120" s="205"/>
      <c r="AB120" s="206"/>
      <c r="AC120" s="206"/>
      <c r="AD120" s="194"/>
      <c r="AE120" s="201"/>
      <c r="AF120" s="207"/>
      <c r="AG120" s="208"/>
      <c r="AH120" s="209"/>
      <c r="AI120" s="210"/>
      <c r="AJ120" s="197"/>
      <c r="AK120" s="201"/>
      <c r="AL120" s="196"/>
      <c r="AM120" s="201"/>
      <c r="AN120" s="201"/>
      <c r="AO120" s="201"/>
      <c r="AP120" s="211"/>
      <c r="AQ120" s="212"/>
      <c r="AR120" s="201"/>
      <c r="AS120" s="201"/>
      <c r="AT120" s="201"/>
      <c r="AU120" s="201"/>
      <c r="AV120" s="202"/>
      <c r="AW120" s="194"/>
      <c r="AX120" s="201"/>
      <c r="AY120" s="213"/>
      <c r="AZ120" s="214"/>
      <c r="BA120" s="215"/>
      <c r="BB120" s="216"/>
      <c r="BC120" s="217" t="str">
        <f t="shared" si="13"/>
        <v/>
      </c>
      <c r="BD120" s="218"/>
      <c r="BE120" s="219"/>
      <c r="BF120" s="220"/>
      <c r="BG120" s="219"/>
      <c r="BH120" s="219"/>
      <c r="BI120" s="220"/>
      <c r="BJ120" s="218"/>
      <c r="BK120" s="219"/>
      <c r="BL120" s="197"/>
      <c r="BM120" s="215"/>
      <c r="BN120" s="221"/>
      <c r="BO120" s="222" t="str">
        <f t="shared" si="14"/>
        <v/>
      </c>
      <c r="BP120" s="217" t="str">
        <f t="shared" si="15"/>
        <v/>
      </c>
      <c r="BQ120" s="215"/>
      <c r="BR120" s="224"/>
      <c r="BS120" s="225"/>
      <c r="BT120" s="223"/>
      <c r="BU120" s="215"/>
      <c r="BV120" s="226"/>
      <c r="BW120" s="222" t="str">
        <f t="shared" si="16"/>
        <v/>
      </c>
      <c r="BX120" s="223" t="str">
        <f t="shared" si="17"/>
        <v/>
      </c>
      <c r="BY120" s="215"/>
      <c r="BZ120" s="227"/>
      <c r="CA120" s="227"/>
      <c r="CB120" s="228"/>
      <c r="CC120" s="229"/>
      <c r="CD120" s="230" t="str">
        <f t="shared" si="18"/>
        <v/>
      </c>
      <c r="CE120" s="231" t="str">
        <f t="shared" si="19"/>
        <v/>
      </c>
      <c r="CF120" s="232" t="str">
        <f t="shared" si="20"/>
        <v/>
      </c>
      <c r="CG120" s="233" t="str">
        <f t="shared" si="21"/>
        <v/>
      </c>
      <c r="CH120" s="207" t="str">
        <f>IF(OR(G120="",CC120= ""), "", IF(ISERROR(SMALL((CJ120,CN120,CV120), 1)-CC120), "",  SMALL((CJ120,CN120,CV120), 1)-CC120))</f>
        <v/>
      </c>
      <c r="CI120" s="234"/>
      <c r="CJ120" s="235"/>
      <c r="CK120" s="236"/>
      <c r="CL120" s="222" t="str">
        <f t="shared" si="22"/>
        <v/>
      </c>
      <c r="CM120" s="237" t="str">
        <f>IF(OR(G120="", CJ120="",CK120=""), "", IF(ISERROR(SMALL((CN120,CV120), 1)-CK120), "",  SMALL((CN120,CV120), 1)-CK120))</f>
        <v/>
      </c>
      <c r="CN120" s="235"/>
      <c r="CO120" s="236"/>
      <c r="CP120" s="224" t="str">
        <f t="shared" si="23"/>
        <v/>
      </c>
      <c r="CQ120" s="235"/>
      <c r="CR120" s="236"/>
      <c r="CS120" s="222" t="str">
        <f t="shared" si="24"/>
        <v/>
      </c>
      <c r="CT120" s="237" t="str">
        <f t="shared" si="25"/>
        <v/>
      </c>
      <c r="CU120" s="238"/>
      <c r="CV120" s="239"/>
      <c r="CW120" s="240"/>
    </row>
    <row r="121" spans="2:101" ht="16.5" customHeight="1">
      <c r="B121" s="122"/>
      <c r="E121" s="122"/>
      <c r="F121" s="194"/>
      <c r="G121" s="195"/>
      <c r="H121" s="195"/>
      <c r="I121" s="195"/>
      <c r="J121" s="196"/>
      <c r="K121" s="197"/>
      <c r="L121" s="198"/>
      <c r="M121" s="199"/>
      <c r="N121" s="200"/>
      <c r="O121" s="201"/>
      <c r="P121" s="201"/>
      <c r="Q121" s="201"/>
      <c r="R121" s="201"/>
      <c r="S121" s="201"/>
      <c r="T121" s="201"/>
      <c r="U121" s="201"/>
      <c r="V121" s="201"/>
      <c r="W121" s="201"/>
      <c r="X121" s="202"/>
      <c r="Y121" s="203"/>
      <c r="Z121" s="204"/>
      <c r="AA121" s="205"/>
      <c r="AB121" s="206"/>
      <c r="AC121" s="206"/>
      <c r="AD121" s="194"/>
      <c r="AE121" s="201"/>
      <c r="AF121" s="207"/>
      <c r="AG121" s="208"/>
      <c r="AH121" s="209"/>
      <c r="AI121" s="210"/>
      <c r="AJ121" s="197"/>
      <c r="AK121" s="201"/>
      <c r="AL121" s="196"/>
      <c r="AM121" s="201"/>
      <c r="AN121" s="201"/>
      <c r="AO121" s="201"/>
      <c r="AP121" s="211"/>
      <c r="AQ121" s="212"/>
      <c r="AR121" s="201"/>
      <c r="AS121" s="201"/>
      <c r="AT121" s="201"/>
      <c r="AU121" s="201"/>
      <c r="AV121" s="202"/>
      <c r="AW121" s="194"/>
      <c r="AX121" s="201"/>
      <c r="AY121" s="213"/>
      <c r="AZ121" s="214"/>
      <c r="BA121" s="215"/>
      <c r="BB121" s="216"/>
      <c r="BC121" s="217" t="str">
        <f t="shared" si="13"/>
        <v/>
      </c>
      <c r="BD121" s="218"/>
      <c r="BE121" s="219"/>
      <c r="BF121" s="220"/>
      <c r="BG121" s="219"/>
      <c r="BH121" s="219"/>
      <c r="BI121" s="220"/>
      <c r="BJ121" s="218"/>
      <c r="BK121" s="219"/>
      <c r="BL121" s="197"/>
      <c r="BM121" s="215"/>
      <c r="BN121" s="221"/>
      <c r="BO121" s="222" t="str">
        <f t="shared" si="14"/>
        <v/>
      </c>
      <c r="BP121" s="217" t="str">
        <f t="shared" si="15"/>
        <v/>
      </c>
      <c r="BQ121" s="215"/>
      <c r="BR121" s="224"/>
      <c r="BS121" s="225"/>
      <c r="BT121" s="223"/>
      <c r="BU121" s="215"/>
      <c r="BV121" s="226"/>
      <c r="BW121" s="222" t="str">
        <f t="shared" si="16"/>
        <v/>
      </c>
      <c r="BX121" s="223" t="str">
        <f t="shared" si="17"/>
        <v/>
      </c>
      <c r="BY121" s="215"/>
      <c r="BZ121" s="227"/>
      <c r="CA121" s="227"/>
      <c r="CB121" s="228"/>
      <c r="CC121" s="229"/>
      <c r="CD121" s="230" t="str">
        <f t="shared" si="18"/>
        <v/>
      </c>
      <c r="CE121" s="231" t="str">
        <f t="shared" si="19"/>
        <v/>
      </c>
      <c r="CF121" s="232" t="str">
        <f t="shared" si="20"/>
        <v/>
      </c>
      <c r="CG121" s="233" t="str">
        <f t="shared" si="21"/>
        <v/>
      </c>
      <c r="CH121" s="207" t="str">
        <f>IF(OR(G121="",CC121= ""), "", IF(ISERROR(SMALL((CJ121,CN121,CV121), 1)-CC121), "",  SMALL((CJ121,CN121,CV121), 1)-CC121))</f>
        <v/>
      </c>
      <c r="CI121" s="234"/>
      <c r="CJ121" s="235"/>
      <c r="CK121" s="236"/>
      <c r="CL121" s="222" t="str">
        <f t="shared" si="22"/>
        <v/>
      </c>
      <c r="CM121" s="237" t="str">
        <f>IF(OR(G121="", CJ121="",CK121=""), "", IF(ISERROR(SMALL((CN121,CV121), 1)-CK121), "",  SMALL((CN121,CV121), 1)-CK121))</f>
        <v/>
      </c>
      <c r="CN121" s="235"/>
      <c r="CO121" s="236"/>
      <c r="CP121" s="224" t="str">
        <f t="shared" si="23"/>
        <v/>
      </c>
      <c r="CQ121" s="235"/>
      <c r="CR121" s="236"/>
      <c r="CS121" s="222" t="str">
        <f t="shared" si="24"/>
        <v/>
      </c>
      <c r="CT121" s="237" t="str">
        <f t="shared" si="25"/>
        <v/>
      </c>
      <c r="CU121" s="238"/>
      <c r="CV121" s="239"/>
      <c r="CW121" s="240"/>
    </row>
    <row r="122" spans="2:101" ht="16.5" customHeight="1">
      <c r="B122" s="122"/>
      <c r="E122" s="122"/>
      <c r="F122" s="194"/>
      <c r="G122" s="195"/>
      <c r="H122" s="195"/>
      <c r="I122" s="195"/>
      <c r="J122" s="196"/>
      <c r="K122" s="197"/>
      <c r="L122" s="198"/>
      <c r="M122" s="199"/>
      <c r="N122" s="200"/>
      <c r="O122" s="201"/>
      <c r="P122" s="201"/>
      <c r="Q122" s="201"/>
      <c r="R122" s="201"/>
      <c r="S122" s="201"/>
      <c r="T122" s="201"/>
      <c r="U122" s="201"/>
      <c r="V122" s="201"/>
      <c r="W122" s="201"/>
      <c r="X122" s="202"/>
      <c r="Y122" s="203"/>
      <c r="Z122" s="204"/>
      <c r="AA122" s="205"/>
      <c r="AB122" s="206"/>
      <c r="AC122" s="206"/>
      <c r="AD122" s="194"/>
      <c r="AE122" s="201"/>
      <c r="AF122" s="207"/>
      <c r="AG122" s="208"/>
      <c r="AH122" s="209"/>
      <c r="AI122" s="210"/>
      <c r="AJ122" s="197"/>
      <c r="AK122" s="201"/>
      <c r="AL122" s="196"/>
      <c r="AM122" s="201"/>
      <c r="AN122" s="201"/>
      <c r="AO122" s="201"/>
      <c r="AP122" s="211"/>
      <c r="AQ122" s="212"/>
      <c r="AR122" s="201"/>
      <c r="AS122" s="201"/>
      <c r="AT122" s="201"/>
      <c r="AU122" s="201"/>
      <c r="AV122" s="202"/>
      <c r="AW122" s="194"/>
      <c r="AX122" s="201"/>
      <c r="AY122" s="213"/>
      <c r="AZ122" s="214"/>
      <c r="BA122" s="215"/>
      <c r="BB122" s="216"/>
      <c r="BC122" s="217" t="str">
        <f t="shared" si="13"/>
        <v/>
      </c>
      <c r="BD122" s="218"/>
      <c r="BE122" s="219"/>
      <c r="BF122" s="220"/>
      <c r="BG122" s="219"/>
      <c r="BH122" s="219"/>
      <c r="BI122" s="220"/>
      <c r="BJ122" s="218"/>
      <c r="BK122" s="219"/>
      <c r="BL122" s="197"/>
      <c r="BM122" s="215"/>
      <c r="BN122" s="221"/>
      <c r="BO122" s="222" t="str">
        <f t="shared" si="14"/>
        <v/>
      </c>
      <c r="BP122" s="217" t="str">
        <f t="shared" si="15"/>
        <v/>
      </c>
      <c r="BQ122" s="215"/>
      <c r="BR122" s="224"/>
      <c r="BS122" s="225"/>
      <c r="BT122" s="223"/>
      <c r="BU122" s="215"/>
      <c r="BV122" s="226"/>
      <c r="BW122" s="222" t="str">
        <f t="shared" si="16"/>
        <v/>
      </c>
      <c r="BX122" s="223" t="str">
        <f t="shared" si="17"/>
        <v/>
      </c>
      <c r="BY122" s="215"/>
      <c r="BZ122" s="227"/>
      <c r="CA122" s="227"/>
      <c r="CB122" s="228"/>
      <c r="CC122" s="229"/>
      <c r="CD122" s="230" t="str">
        <f t="shared" si="18"/>
        <v/>
      </c>
      <c r="CE122" s="231" t="str">
        <f t="shared" si="19"/>
        <v/>
      </c>
      <c r="CF122" s="232" t="str">
        <f t="shared" si="20"/>
        <v/>
      </c>
      <c r="CG122" s="233" t="str">
        <f t="shared" si="21"/>
        <v/>
      </c>
      <c r="CH122" s="207" t="str">
        <f>IF(OR(G122="",CC122= ""), "", IF(ISERROR(SMALL((CJ122,CN122,CV122), 1)-CC122), "",  SMALL((CJ122,CN122,CV122), 1)-CC122))</f>
        <v/>
      </c>
      <c r="CI122" s="234"/>
      <c r="CJ122" s="235"/>
      <c r="CK122" s="236"/>
      <c r="CL122" s="222" t="str">
        <f t="shared" si="22"/>
        <v/>
      </c>
      <c r="CM122" s="237" t="str">
        <f>IF(OR(G122="", CJ122="",CK122=""), "", IF(ISERROR(SMALL((CN122,CV122), 1)-CK122), "",  SMALL((CN122,CV122), 1)-CK122))</f>
        <v/>
      </c>
      <c r="CN122" s="235"/>
      <c r="CO122" s="236"/>
      <c r="CP122" s="224" t="str">
        <f t="shared" si="23"/>
        <v/>
      </c>
      <c r="CQ122" s="235"/>
      <c r="CR122" s="236"/>
      <c r="CS122" s="222" t="str">
        <f t="shared" si="24"/>
        <v/>
      </c>
      <c r="CT122" s="237" t="str">
        <f t="shared" si="25"/>
        <v/>
      </c>
      <c r="CU122" s="238"/>
      <c r="CV122" s="239"/>
      <c r="CW122" s="240"/>
    </row>
    <row r="123" spans="2:101" ht="16.5" customHeight="1">
      <c r="B123" s="122"/>
      <c r="E123" s="122"/>
      <c r="F123" s="194"/>
      <c r="G123" s="195"/>
      <c r="H123" s="195"/>
      <c r="I123" s="195"/>
      <c r="J123" s="196"/>
      <c r="K123" s="197"/>
      <c r="L123" s="198"/>
      <c r="M123" s="199"/>
      <c r="N123" s="200"/>
      <c r="O123" s="201"/>
      <c r="P123" s="201"/>
      <c r="Q123" s="201"/>
      <c r="R123" s="201"/>
      <c r="S123" s="201"/>
      <c r="T123" s="201"/>
      <c r="U123" s="201"/>
      <c r="V123" s="201"/>
      <c r="W123" s="201"/>
      <c r="X123" s="202"/>
      <c r="Y123" s="203"/>
      <c r="Z123" s="204"/>
      <c r="AA123" s="205"/>
      <c r="AB123" s="206"/>
      <c r="AC123" s="206"/>
      <c r="AD123" s="194"/>
      <c r="AE123" s="201"/>
      <c r="AF123" s="207"/>
      <c r="AG123" s="208"/>
      <c r="AH123" s="209"/>
      <c r="AI123" s="210"/>
      <c r="AJ123" s="197"/>
      <c r="AK123" s="201"/>
      <c r="AL123" s="196"/>
      <c r="AM123" s="201"/>
      <c r="AN123" s="201"/>
      <c r="AO123" s="201"/>
      <c r="AP123" s="211"/>
      <c r="AQ123" s="212"/>
      <c r="AR123" s="201"/>
      <c r="AS123" s="201"/>
      <c r="AT123" s="201"/>
      <c r="AU123" s="201"/>
      <c r="AV123" s="202"/>
      <c r="AW123" s="194"/>
      <c r="AX123" s="201"/>
      <c r="AY123" s="213"/>
      <c r="AZ123" s="214"/>
      <c r="BA123" s="215"/>
      <c r="BB123" s="216"/>
      <c r="BC123" s="217" t="str">
        <f t="shared" si="13"/>
        <v/>
      </c>
      <c r="BD123" s="218"/>
      <c r="BE123" s="219"/>
      <c r="BF123" s="220"/>
      <c r="BG123" s="219"/>
      <c r="BH123" s="219"/>
      <c r="BI123" s="220"/>
      <c r="BJ123" s="218"/>
      <c r="BK123" s="219"/>
      <c r="BL123" s="197"/>
      <c r="BM123" s="215"/>
      <c r="BN123" s="221"/>
      <c r="BO123" s="222" t="str">
        <f t="shared" si="14"/>
        <v/>
      </c>
      <c r="BP123" s="217" t="str">
        <f t="shared" si="15"/>
        <v/>
      </c>
      <c r="BQ123" s="215"/>
      <c r="BR123" s="224"/>
      <c r="BS123" s="225"/>
      <c r="BT123" s="223"/>
      <c r="BU123" s="215"/>
      <c r="BV123" s="226"/>
      <c r="BW123" s="222" t="str">
        <f t="shared" si="16"/>
        <v/>
      </c>
      <c r="BX123" s="223" t="str">
        <f t="shared" si="17"/>
        <v/>
      </c>
      <c r="BY123" s="215"/>
      <c r="BZ123" s="227"/>
      <c r="CA123" s="227"/>
      <c r="CB123" s="228"/>
      <c r="CC123" s="229"/>
      <c r="CD123" s="230" t="str">
        <f t="shared" si="18"/>
        <v/>
      </c>
      <c r="CE123" s="231" t="str">
        <f t="shared" si="19"/>
        <v/>
      </c>
      <c r="CF123" s="232" t="str">
        <f t="shared" si="20"/>
        <v/>
      </c>
      <c r="CG123" s="233" t="str">
        <f t="shared" si="21"/>
        <v/>
      </c>
      <c r="CH123" s="207" t="str">
        <f>IF(OR(G123="",CC123= ""), "", IF(ISERROR(SMALL((CJ123,CN123,CV123), 1)-CC123), "",  SMALL((CJ123,CN123,CV123), 1)-CC123))</f>
        <v/>
      </c>
      <c r="CI123" s="234"/>
      <c r="CJ123" s="235"/>
      <c r="CK123" s="236"/>
      <c r="CL123" s="222" t="str">
        <f t="shared" si="22"/>
        <v/>
      </c>
      <c r="CM123" s="237" t="str">
        <f>IF(OR(G123="", CJ123="",CK123=""), "", IF(ISERROR(SMALL((CN123,CV123), 1)-CK123), "",  SMALL((CN123,CV123), 1)-CK123))</f>
        <v/>
      </c>
      <c r="CN123" s="235"/>
      <c r="CO123" s="236"/>
      <c r="CP123" s="224" t="str">
        <f t="shared" si="23"/>
        <v/>
      </c>
      <c r="CQ123" s="235"/>
      <c r="CR123" s="236"/>
      <c r="CS123" s="222" t="str">
        <f t="shared" si="24"/>
        <v/>
      </c>
      <c r="CT123" s="237" t="str">
        <f t="shared" si="25"/>
        <v/>
      </c>
      <c r="CU123" s="238"/>
      <c r="CV123" s="239"/>
      <c r="CW123" s="240"/>
    </row>
    <row r="124" spans="2:101" ht="16.5" customHeight="1">
      <c r="B124" s="122"/>
      <c r="E124" s="122"/>
      <c r="F124" s="194"/>
      <c r="G124" s="195"/>
      <c r="H124" s="195"/>
      <c r="I124" s="195"/>
      <c r="J124" s="196"/>
      <c r="K124" s="197"/>
      <c r="L124" s="198"/>
      <c r="M124" s="199"/>
      <c r="N124" s="200"/>
      <c r="O124" s="201"/>
      <c r="P124" s="201"/>
      <c r="Q124" s="201"/>
      <c r="R124" s="201"/>
      <c r="S124" s="201"/>
      <c r="T124" s="201"/>
      <c r="U124" s="201"/>
      <c r="V124" s="201"/>
      <c r="W124" s="201"/>
      <c r="X124" s="202"/>
      <c r="Y124" s="203"/>
      <c r="Z124" s="204"/>
      <c r="AA124" s="205"/>
      <c r="AB124" s="206"/>
      <c r="AC124" s="206"/>
      <c r="AD124" s="194"/>
      <c r="AE124" s="201"/>
      <c r="AF124" s="207"/>
      <c r="AG124" s="208"/>
      <c r="AH124" s="209"/>
      <c r="AI124" s="210"/>
      <c r="AJ124" s="197"/>
      <c r="AK124" s="201"/>
      <c r="AL124" s="196"/>
      <c r="AM124" s="201"/>
      <c r="AN124" s="201"/>
      <c r="AO124" s="201"/>
      <c r="AP124" s="211"/>
      <c r="AQ124" s="212"/>
      <c r="AR124" s="201"/>
      <c r="AS124" s="201"/>
      <c r="AT124" s="201"/>
      <c r="AU124" s="201"/>
      <c r="AV124" s="202"/>
      <c r="AW124" s="194"/>
      <c r="AX124" s="201"/>
      <c r="AY124" s="213"/>
      <c r="AZ124" s="214"/>
      <c r="BA124" s="215"/>
      <c r="BB124" s="216"/>
      <c r="BC124" s="217" t="str">
        <f t="shared" si="13"/>
        <v/>
      </c>
      <c r="BD124" s="218"/>
      <c r="BE124" s="219"/>
      <c r="BF124" s="220"/>
      <c r="BG124" s="219"/>
      <c r="BH124" s="219"/>
      <c r="BI124" s="220"/>
      <c r="BJ124" s="218"/>
      <c r="BK124" s="219"/>
      <c r="BL124" s="197"/>
      <c r="BM124" s="215"/>
      <c r="BN124" s="221"/>
      <c r="BO124" s="222" t="str">
        <f t="shared" si="14"/>
        <v/>
      </c>
      <c r="BP124" s="217" t="str">
        <f t="shared" si="15"/>
        <v/>
      </c>
      <c r="BQ124" s="215"/>
      <c r="BR124" s="224"/>
      <c r="BS124" s="225"/>
      <c r="BT124" s="223"/>
      <c r="BU124" s="215"/>
      <c r="BV124" s="226"/>
      <c r="BW124" s="222" t="str">
        <f t="shared" si="16"/>
        <v/>
      </c>
      <c r="BX124" s="223" t="str">
        <f t="shared" si="17"/>
        <v/>
      </c>
      <c r="BY124" s="215"/>
      <c r="BZ124" s="227"/>
      <c r="CA124" s="227"/>
      <c r="CB124" s="228"/>
      <c r="CC124" s="229"/>
      <c r="CD124" s="230" t="str">
        <f t="shared" si="18"/>
        <v/>
      </c>
      <c r="CE124" s="231" t="str">
        <f t="shared" si="19"/>
        <v/>
      </c>
      <c r="CF124" s="232" t="str">
        <f t="shared" si="20"/>
        <v/>
      </c>
      <c r="CG124" s="233" t="str">
        <f t="shared" si="21"/>
        <v/>
      </c>
      <c r="CH124" s="207" t="str">
        <f>IF(OR(G124="",CC124= ""), "", IF(ISERROR(SMALL((CJ124,CN124,CV124), 1)-CC124), "",  SMALL((CJ124,CN124,CV124), 1)-CC124))</f>
        <v/>
      </c>
      <c r="CI124" s="234"/>
      <c r="CJ124" s="235"/>
      <c r="CK124" s="236"/>
      <c r="CL124" s="222" t="str">
        <f t="shared" si="22"/>
        <v/>
      </c>
      <c r="CM124" s="237" t="str">
        <f>IF(OR(G124="", CJ124="",CK124=""), "", IF(ISERROR(SMALL((CN124,CV124), 1)-CK124), "",  SMALL((CN124,CV124), 1)-CK124))</f>
        <v/>
      </c>
      <c r="CN124" s="235"/>
      <c r="CO124" s="236"/>
      <c r="CP124" s="224" t="str">
        <f t="shared" si="23"/>
        <v/>
      </c>
      <c r="CQ124" s="235"/>
      <c r="CR124" s="236"/>
      <c r="CS124" s="222" t="str">
        <f t="shared" si="24"/>
        <v/>
      </c>
      <c r="CT124" s="237" t="str">
        <f t="shared" si="25"/>
        <v/>
      </c>
      <c r="CU124" s="238"/>
      <c r="CV124" s="239"/>
      <c r="CW124" s="240"/>
    </row>
    <row r="125" spans="2:101" ht="16.5" customHeight="1">
      <c r="B125" s="122"/>
      <c r="E125" s="122"/>
      <c r="F125" s="194"/>
      <c r="G125" s="195"/>
      <c r="H125" s="195"/>
      <c r="I125" s="195"/>
      <c r="J125" s="196"/>
      <c r="K125" s="197"/>
      <c r="L125" s="198"/>
      <c r="M125" s="199"/>
      <c r="N125" s="200"/>
      <c r="O125" s="201"/>
      <c r="P125" s="201"/>
      <c r="Q125" s="201"/>
      <c r="R125" s="201"/>
      <c r="S125" s="201"/>
      <c r="T125" s="201"/>
      <c r="U125" s="201"/>
      <c r="V125" s="201"/>
      <c r="W125" s="201"/>
      <c r="X125" s="202"/>
      <c r="Y125" s="203"/>
      <c r="Z125" s="204"/>
      <c r="AA125" s="205"/>
      <c r="AB125" s="206"/>
      <c r="AC125" s="206"/>
      <c r="AD125" s="194"/>
      <c r="AE125" s="201"/>
      <c r="AF125" s="207"/>
      <c r="AG125" s="208"/>
      <c r="AH125" s="209"/>
      <c r="AI125" s="210"/>
      <c r="AJ125" s="197"/>
      <c r="AK125" s="201"/>
      <c r="AL125" s="196"/>
      <c r="AM125" s="201"/>
      <c r="AN125" s="201"/>
      <c r="AO125" s="201"/>
      <c r="AP125" s="211"/>
      <c r="AQ125" s="212"/>
      <c r="AR125" s="201"/>
      <c r="AS125" s="201"/>
      <c r="AT125" s="201"/>
      <c r="AU125" s="201"/>
      <c r="AV125" s="202"/>
      <c r="AW125" s="194"/>
      <c r="AX125" s="201"/>
      <c r="AY125" s="213"/>
      <c r="AZ125" s="214"/>
      <c r="BA125" s="215"/>
      <c r="BB125" s="216"/>
      <c r="BC125" s="217" t="str">
        <f t="shared" si="13"/>
        <v/>
      </c>
      <c r="BD125" s="218"/>
      <c r="BE125" s="219"/>
      <c r="BF125" s="220"/>
      <c r="BG125" s="219"/>
      <c r="BH125" s="219"/>
      <c r="BI125" s="220"/>
      <c r="BJ125" s="218"/>
      <c r="BK125" s="219"/>
      <c r="BL125" s="197"/>
      <c r="BM125" s="215"/>
      <c r="BN125" s="221"/>
      <c r="BO125" s="222" t="str">
        <f t="shared" si="14"/>
        <v/>
      </c>
      <c r="BP125" s="217" t="str">
        <f t="shared" si="15"/>
        <v/>
      </c>
      <c r="BQ125" s="215"/>
      <c r="BR125" s="224"/>
      <c r="BS125" s="225"/>
      <c r="BT125" s="223"/>
      <c r="BU125" s="215"/>
      <c r="BV125" s="226"/>
      <c r="BW125" s="222" t="str">
        <f t="shared" si="16"/>
        <v/>
      </c>
      <c r="BX125" s="223" t="str">
        <f t="shared" si="17"/>
        <v/>
      </c>
      <c r="BY125" s="215"/>
      <c r="BZ125" s="227"/>
      <c r="CA125" s="227"/>
      <c r="CB125" s="228"/>
      <c r="CC125" s="229"/>
      <c r="CD125" s="230" t="str">
        <f t="shared" si="18"/>
        <v/>
      </c>
      <c r="CE125" s="231" t="str">
        <f t="shared" si="19"/>
        <v/>
      </c>
      <c r="CF125" s="232" t="str">
        <f t="shared" si="20"/>
        <v/>
      </c>
      <c r="CG125" s="233" t="str">
        <f t="shared" si="21"/>
        <v/>
      </c>
      <c r="CH125" s="207" t="str">
        <f>IF(OR(G125="",CC125= ""), "", IF(ISERROR(SMALL((CJ125,CN125,CV125), 1)-CC125), "",  SMALL((CJ125,CN125,CV125), 1)-CC125))</f>
        <v/>
      </c>
      <c r="CI125" s="234"/>
      <c r="CJ125" s="235"/>
      <c r="CK125" s="236"/>
      <c r="CL125" s="222" t="str">
        <f t="shared" si="22"/>
        <v/>
      </c>
      <c r="CM125" s="237" t="str">
        <f>IF(OR(G125="", CJ125="",CK125=""), "", IF(ISERROR(SMALL((CN125,CV125), 1)-CK125), "",  SMALL((CN125,CV125), 1)-CK125))</f>
        <v/>
      </c>
      <c r="CN125" s="235"/>
      <c r="CO125" s="236"/>
      <c r="CP125" s="224" t="str">
        <f t="shared" si="23"/>
        <v/>
      </c>
      <c r="CQ125" s="235"/>
      <c r="CR125" s="236"/>
      <c r="CS125" s="222" t="str">
        <f t="shared" si="24"/>
        <v/>
      </c>
      <c r="CT125" s="237" t="str">
        <f t="shared" si="25"/>
        <v/>
      </c>
      <c r="CU125" s="238"/>
      <c r="CV125" s="239"/>
      <c r="CW125" s="240"/>
    </row>
    <row r="126" spans="2:101" ht="16.5" customHeight="1">
      <c r="B126" s="122"/>
      <c r="E126" s="122"/>
      <c r="F126" s="194"/>
      <c r="G126" s="195"/>
      <c r="H126" s="195"/>
      <c r="I126" s="195"/>
      <c r="J126" s="196"/>
      <c r="K126" s="197"/>
      <c r="L126" s="198"/>
      <c r="M126" s="199"/>
      <c r="N126" s="200"/>
      <c r="O126" s="201"/>
      <c r="P126" s="201"/>
      <c r="Q126" s="201"/>
      <c r="R126" s="201"/>
      <c r="S126" s="201"/>
      <c r="T126" s="201"/>
      <c r="U126" s="201"/>
      <c r="V126" s="201"/>
      <c r="W126" s="201"/>
      <c r="X126" s="202"/>
      <c r="Y126" s="203"/>
      <c r="Z126" s="204"/>
      <c r="AA126" s="205"/>
      <c r="AB126" s="206"/>
      <c r="AC126" s="206"/>
      <c r="AD126" s="194"/>
      <c r="AE126" s="201"/>
      <c r="AF126" s="207"/>
      <c r="AG126" s="208"/>
      <c r="AH126" s="209"/>
      <c r="AI126" s="210"/>
      <c r="AJ126" s="197"/>
      <c r="AK126" s="201"/>
      <c r="AL126" s="196"/>
      <c r="AM126" s="201"/>
      <c r="AN126" s="201"/>
      <c r="AO126" s="201"/>
      <c r="AP126" s="211"/>
      <c r="AQ126" s="212"/>
      <c r="AR126" s="201"/>
      <c r="AS126" s="201"/>
      <c r="AT126" s="201"/>
      <c r="AU126" s="201"/>
      <c r="AV126" s="202"/>
      <c r="AW126" s="194"/>
      <c r="AX126" s="201"/>
      <c r="AY126" s="213"/>
      <c r="AZ126" s="214"/>
      <c r="BA126" s="215"/>
      <c r="BB126" s="216"/>
      <c r="BC126" s="217" t="str">
        <f t="shared" si="13"/>
        <v/>
      </c>
      <c r="BD126" s="218"/>
      <c r="BE126" s="219"/>
      <c r="BF126" s="220"/>
      <c r="BG126" s="219"/>
      <c r="BH126" s="219"/>
      <c r="BI126" s="220"/>
      <c r="BJ126" s="218"/>
      <c r="BK126" s="219"/>
      <c r="BL126" s="197"/>
      <c r="BM126" s="215"/>
      <c r="BN126" s="221"/>
      <c r="BO126" s="222" t="str">
        <f t="shared" si="14"/>
        <v/>
      </c>
      <c r="BP126" s="217" t="str">
        <f t="shared" si="15"/>
        <v/>
      </c>
      <c r="BQ126" s="215"/>
      <c r="BR126" s="224"/>
      <c r="BS126" s="225"/>
      <c r="BT126" s="223"/>
      <c r="BU126" s="215"/>
      <c r="BV126" s="226"/>
      <c r="BW126" s="222" t="str">
        <f t="shared" si="16"/>
        <v/>
      </c>
      <c r="BX126" s="223" t="str">
        <f t="shared" si="17"/>
        <v/>
      </c>
      <c r="BY126" s="215"/>
      <c r="BZ126" s="227"/>
      <c r="CA126" s="227"/>
      <c r="CB126" s="228"/>
      <c r="CC126" s="229"/>
      <c r="CD126" s="230" t="str">
        <f t="shared" si="18"/>
        <v/>
      </c>
      <c r="CE126" s="231" t="str">
        <f t="shared" si="19"/>
        <v/>
      </c>
      <c r="CF126" s="232" t="str">
        <f t="shared" si="20"/>
        <v/>
      </c>
      <c r="CG126" s="233" t="str">
        <f t="shared" si="21"/>
        <v/>
      </c>
      <c r="CH126" s="207" t="str">
        <f>IF(OR(G126="",CC126= ""), "", IF(ISERROR(SMALL((CJ126,CN126,CV126), 1)-CC126), "",  SMALL((CJ126,CN126,CV126), 1)-CC126))</f>
        <v/>
      </c>
      <c r="CI126" s="234"/>
      <c r="CJ126" s="235"/>
      <c r="CK126" s="236"/>
      <c r="CL126" s="222" t="str">
        <f t="shared" si="22"/>
        <v/>
      </c>
      <c r="CM126" s="237" t="str">
        <f>IF(OR(G126="", CJ126="",CK126=""), "", IF(ISERROR(SMALL((CN126,CV126), 1)-CK126), "",  SMALL((CN126,CV126), 1)-CK126))</f>
        <v/>
      </c>
      <c r="CN126" s="235"/>
      <c r="CO126" s="236"/>
      <c r="CP126" s="224" t="str">
        <f t="shared" si="23"/>
        <v/>
      </c>
      <c r="CQ126" s="235"/>
      <c r="CR126" s="236"/>
      <c r="CS126" s="222" t="str">
        <f t="shared" si="24"/>
        <v/>
      </c>
      <c r="CT126" s="237" t="str">
        <f t="shared" si="25"/>
        <v/>
      </c>
      <c r="CU126" s="238"/>
      <c r="CV126" s="239"/>
      <c r="CW126" s="240"/>
    </row>
    <row r="127" spans="2:101" ht="16.5" customHeight="1">
      <c r="B127" s="122"/>
      <c r="E127" s="122"/>
      <c r="F127" s="194"/>
      <c r="G127" s="195"/>
      <c r="H127" s="195"/>
      <c r="I127" s="195"/>
      <c r="J127" s="196"/>
      <c r="K127" s="197"/>
      <c r="L127" s="198"/>
      <c r="M127" s="199"/>
      <c r="N127" s="200"/>
      <c r="O127" s="201"/>
      <c r="P127" s="201"/>
      <c r="Q127" s="201"/>
      <c r="R127" s="201"/>
      <c r="S127" s="201"/>
      <c r="T127" s="201"/>
      <c r="U127" s="201"/>
      <c r="V127" s="201"/>
      <c r="W127" s="201"/>
      <c r="X127" s="202"/>
      <c r="Y127" s="203"/>
      <c r="Z127" s="204"/>
      <c r="AA127" s="205"/>
      <c r="AB127" s="206"/>
      <c r="AC127" s="206"/>
      <c r="AD127" s="194"/>
      <c r="AE127" s="201"/>
      <c r="AF127" s="207"/>
      <c r="AG127" s="208"/>
      <c r="AH127" s="209"/>
      <c r="AI127" s="210"/>
      <c r="AJ127" s="197"/>
      <c r="AK127" s="201"/>
      <c r="AL127" s="196"/>
      <c r="AM127" s="201"/>
      <c r="AN127" s="201"/>
      <c r="AO127" s="201"/>
      <c r="AP127" s="211"/>
      <c r="AQ127" s="212"/>
      <c r="AR127" s="201"/>
      <c r="AS127" s="201"/>
      <c r="AT127" s="201"/>
      <c r="AU127" s="201"/>
      <c r="AV127" s="202"/>
      <c r="AW127" s="194"/>
      <c r="AX127" s="201"/>
      <c r="AY127" s="213"/>
      <c r="AZ127" s="214"/>
      <c r="BA127" s="215"/>
      <c r="BB127" s="216"/>
      <c r="BC127" s="217" t="str">
        <f t="shared" si="13"/>
        <v/>
      </c>
      <c r="BD127" s="218"/>
      <c r="BE127" s="219"/>
      <c r="BF127" s="220"/>
      <c r="BG127" s="219"/>
      <c r="BH127" s="219"/>
      <c r="BI127" s="220"/>
      <c r="BJ127" s="218"/>
      <c r="BK127" s="219"/>
      <c r="BL127" s="197"/>
      <c r="BM127" s="215"/>
      <c r="BN127" s="221"/>
      <c r="BO127" s="222" t="str">
        <f t="shared" si="14"/>
        <v/>
      </c>
      <c r="BP127" s="217" t="str">
        <f t="shared" si="15"/>
        <v/>
      </c>
      <c r="BQ127" s="215"/>
      <c r="BR127" s="224"/>
      <c r="BS127" s="225"/>
      <c r="BT127" s="223"/>
      <c r="BU127" s="215"/>
      <c r="BV127" s="226"/>
      <c r="BW127" s="222" t="str">
        <f t="shared" si="16"/>
        <v/>
      </c>
      <c r="BX127" s="223" t="str">
        <f t="shared" si="17"/>
        <v/>
      </c>
      <c r="BY127" s="215"/>
      <c r="BZ127" s="227"/>
      <c r="CA127" s="227"/>
      <c r="CB127" s="228"/>
      <c r="CC127" s="229"/>
      <c r="CD127" s="230" t="str">
        <f t="shared" si="18"/>
        <v/>
      </c>
      <c r="CE127" s="231" t="str">
        <f t="shared" si="19"/>
        <v/>
      </c>
      <c r="CF127" s="232" t="str">
        <f t="shared" si="20"/>
        <v/>
      </c>
      <c r="CG127" s="233" t="str">
        <f t="shared" si="21"/>
        <v/>
      </c>
      <c r="CH127" s="207" t="str">
        <f>IF(OR(G127="",CC127= ""), "", IF(ISERROR(SMALL((CJ127,CN127,CV127), 1)-CC127), "",  SMALL((CJ127,CN127,CV127), 1)-CC127))</f>
        <v/>
      </c>
      <c r="CI127" s="234"/>
      <c r="CJ127" s="235"/>
      <c r="CK127" s="236"/>
      <c r="CL127" s="222" t="str">
        <f t="shared" si="22"/>
        <v/>
      </c>
      <c r="CM127" s="237" t="str">
        <f>IF(OR(G127="", CJ127="",CK127=""), "", IF(ISERROR(SMALL((CN127,CV127), 1)-CK127), "",  SMALL((CN127,CV127), 1)-CK127))</f>
        <v/>
      </c>
      <c r="CN127" s="235"/>
      <c r="CO127" s="236"/>
      <c r="CP127" s="224" t="str">
        <f t="shared" si="23"/>
        <v/>
      </c>
      <c r="CQ127" s="235"/>
      <c r="CR127" s="236"/>
      <c r="CS127" s="222" t="str">
        <f t="shared" si="24"/>
        <v/>
      </c>
      <c r="CT127" s="237" t="str">
        <f t="shared" si="25"/>
        <v/>
      </c>
      <c r="CU127" s="238"/>
      <c r="CV127" s="239"/>
      <c r="CW127" s="240"/>
    </row>
    <row r="128" spans="2:101" ht="16.5" customHeight="1">
      <c r="B128" s="122"/>
      <c r="E128" s="122"/>
      <c r="F128" s="194"/>
      <c r="G128" s="195"/>
      <c r="H128" s="195"/>
      <c r="I128" s="195"/>
      <c r="J128" s="196"/>
      <c r="K128" s="197"/>
      <c r="L128" s="198"/>
      <c r="M128" s="199"/>
      <c r="N128" s="200"/>
      <c r="O128" s="201"/>
      <c r="P128" s="201"/>
      <c r="Q128" s="201"/>
      <c r="R128" s="201"/>
      <c r="S128" s="201"/>
      <c r="T128" s="201"/>
      <c r="U128" s="201"/>
      <c r="V128" s="201"/>
      <c r="W128" s="201"/>
      <c r="X128" s="202"/>
      <c r="Y128" s="203"/>
      <c r="Z128" s="204"/>
      <c r="AA128" s="205"/>
      <c r="AB128" s="206"/>
      <c r="AC128" s="206"/>
      <c r="AD128" s="194"/>
      <c r="AE128" s="201"/>
      <c r="AF128" s="207"/>
      <c r="AG128" s="208"/>
      <c r="AH128" s="209"/>
      <c r="AI128" s="210"/>
      <c r="AJ128" s="197"/>
      <c r="AK128" s="201"/>
      <c r="AL128" s="196"/>
      <c r="AM128" s="201"/>
      <c r="AN128" s="201"/>
      <c r="AO128" s="201"/>
      <c r="AP128" s="211"/>
      <c r="AQ128" s="212"/>
      <c r="AR128" s="201"/>
      <c r="AS128" s="201"/>
      <c r="AT128" s="201"/>
      <c r="AU128" s="201"/>
      <c r="AV128" s="202"/>
      <c r="AW128" s="194"/>
      <c r="AX128" s="201"/>
      <c r="AY128" s="213"/>
      <c r="AZ128" s="214"/>
      <c r="BA128" s="215"/>
      <c r="BB128" s="216"/>
      <c r="BC128" s="217" t="str">
        <f t="shared" si="13"/>
        <v/>
      </c>
      <c r="BD128" s="218"/>
      <c r="BE128" s="219"/>
      <c r="BF128" s="220"/>
      <c r="BG128" s="219"/>
      <c r="BH128" s="219"/>
      <c r="BI128" s="220"/>
      <c r="BJ128" s="218"/>
      <c r="BK128" s="219"/>
      <c r="BL128" s="197"/>
      <c r="BM128" s="215"/>
      <c r="BN128" s="221"/>
      <c r="BO128" s="222" t="str">
        <f t="shared" si="14"/>
        <v/>
      </c>
      <c r="BP128" s="217" t="str">
        <f t="shared" si="15"/>
        <v/>
      </c>
      <c r="BQ128" s="215"/>
      <c r="BR128" s="224"/>
      <c r="BS128" s="225"/>
      <c r="BT128" s="223"/>
      <c r="BU128" s="215"/>
      <c r="BV128" s="226"/>
      <c r="BW128" s="222" t="str">
        <f t="shared" si="16"/>
        <v/>
      </c>
      <c r="BX128" s="223" t="str">
        <f t="shared" si="17"/>
        <v/>
      </c>
      <c r="BY128" s="215"/>
      <c r="BZ128" s="227"/>
      <c r="CA128" s="227"/>
      <c r="CB128" s="228"/>
      <c r="CC128" s="229"/>
      <c r="CD128" s="230" t="str">
        <f t="shared" si="18"/>
        <v/>
      </c>
      <c r="CE128" s="231" t="str">
        <f t="shared" si="19"/>
        <v/>
      </c>
      <c r="CF128" s="232" t="str">
        <f t="shared" si="20"/>
        <v/>
      </c>
      <c r="CG128" s="233" t="str">
        <f t="shared" si="21"/>
        <v/>
      </c>
      <c r="CH128" s="207" t="str">
        <f>IF(OR(G128="",CC128= ""), "", IF(ISERROR(SMALL((CJ128,CN128,CV128), 1)-CC128), "",  SMALL((CJ128,CN128,CV128), 1)-CC128))</f>
        <v/>
      </c>
      <c r="CI128" s="234"/>
      <c r="CJ128" s="235"/>
      <c r="CK128" s="236"/>
      <c r="CL128" s="222" t="str">
        <f t="shared" si="22"/>
        <v/>
      </c>
      <c r="CM128" s="237" t="str">
        <f>IF(OR(G128="", CJ128="",CK128=""), "", IF(ISERROR(SMALL((CN128,CV128), 1)-CK128), "",  SMALL((CN128,CV128), 1)-CK128))</f>
        <v/>
      </c>
      <c r="CN128" s="235"/>
      <c r="CO128" s="236"/>
      <c r="CP128" s="224" t="str">
        <f t="shared" si="23"/>
        <v/>
      </c>
      <c r="CQ128" s="235"/>
      <c r="CR128" s="236"/>
      <c r="CS128" s="222" t="str">
        <f t="shared" si="24"/>
        <v/>
      </c>
      <c r="CT128" s="237" t="str">
        <f t="shared" si="25"/>
        <v/>
      </c>
      <c r="CU128" s="238"/>
      <c r="CV128" s="239"/>
      <c r="CW128" s="240"/>
    </row>
    <row r="129" spans="2:101" ht="16.5" customHeight="1">
      <c r="B129" s="122"/>
      <c r="E129" s="122"/>
      <c r="F129" s="194"/>
      <c r="G129" s="195"/>
      <c r="H129" s="195"/>
      <c r="I129" s="195"/>
      <c r="J129" s="196"/>
      <c r="K129" s="197"/>
      <c r="L129" s="198"/>
      <c r="M129" s="199"/>
      <c r="N129" s="200"/>
      <c r="O129" s="201"/>
      <c r="P129" s="201"/>
      <c r="Q129" s="201"/>
      <c r="R129" s="201"/>
      <c r="S129" s="201"/>
      <c r="T129" s="201"/>
      <c r="U129" s="201"/>
      <c r="V129" s="201"/>
      <c r="W129" s="201"/>
      <c r="X129" s="202"/>
      <c r="Y129" s="203"/>
      <c r="Z129" s="204"/>
      <c r="AA129" s="205"/>
      <c r="AB129" s="206"/>
      <c r="AC129" s="206"/>
      <c r="AD129" s="194"/>
      <c r="AE129" s="201"/>
      <c r="AF129" s="207"/>
      <c r="AG129" s="208"/>
      <c r="AH129" s="209"/>
      <c r="AI129" s="210"/>
      <c r="AJ129" s="197"/>
      <c r="AK129" s="201"/>
      <c r="AL129" s="196"/>
      <c r="AM129" s="201"/>
      <c r="AN129" s="201"/>
      <c r="AO129" s="201"/>
      <c r="AP129" s="211"/>
      <c r="AQ129" s="212"/>
      <c r="AR129" s="201"/>
      <c r="AS129" s="201"/>
      <c r="AT129" s="201"/>
      <c r="AU129" s="201"/>
      <c r="AV129" s="202"/>
      <c r="AW129" s="194"/>
      <c r="AX129" s="201"/>
      <c r="AY129" s="213"/>
      <c r="AZ129" s="214"/>
      <c r="BA129" s="215"/>
      <c r="BB129" s="216"/>
      <c r="BC129" s="217" t="str">
        <f t="shared" si="13"/>
        <v/>
      </c>
      <c r="BD129" s="218"/>
      <c r="BE129" s="219"/>
      <c r="BF129" s="220"/>
      <c r="BG129" s="219"/>
      <c r="BH129" s="219"/>
      <c r="BI129" s="220"/>
      <c r="BJ129" s="218"/>
      <c r="BK129" s="219"/>
      <c r="BL129" s="197"/>
      <c r="BM129" s="215"/>
      <c r="BN129" s="221"/>
      <c r="BO129" s="222" t="str">
        <f t="shared" si="14"/>
        <v/>
      </c>
      <c r="BP129" s="217" t="str">
        <f t="shared" si="15"/>
        <v/>
      </c>
      <c r="BQ129" s="215"/>
      <c r="BR129" s="224"/>
      <c r="BS129" s="225"/>
      <c r="BT129" s="223"/>
      <c r="BU129" s="215"/>
      <c r="BV129" s="226"/>
      <c r="BW129" s="222" t="str">
        <f t="shared" si="16"/>
        <v/>
      </c>
      <c r="BX129" s="223" t="str">
        <f t="shared" si="17"/>
        <v/>
      </c>
      <c r="BY129" s="215"/>
      <c r="BZ129" s="227"/>
      <c r="CA129" s="227"/>
      <c r="CB129" s="228"/>
      <c r="CC129" s="229"/>
      <c r="CD129" s="230" t="str">
        <f t="shared" si="18"/>
        <v/>
      </c>
      <c r="CE129" s="231" t="str">
        <f t="shared" si="19"/>
        <v/>
      </c>
      <c r="CF129" s="232" t="str">
        <f t="shared" si="20"/>
        <v/>
      </c>
      <c r="CG129" s="233" t="str">
        <f t="shared" si="21"/>
        <v/>
      </c>
      <c r="CH129" s="207" t="str">
        <f>IF(OR(G129="",CC129= ""), "", IF(ISERROR(SMALL((CJ129,CN129,CV129), 1)-CC129), "",  SMALL((CJ129,CN129,CV129), 1)-CC129))</f>
        <v/>
      </c>
      <c r="CI129" s="234"/>
      <c r="CJ129" s="235"/>
      <c r="CK129" s="236"/>
      <c r="CL129" s="222" t="str">
        <f t="shared" si="22"/>
        <v/>
      </c>
      <c r="CM129" s="237" t="str">
        <f>IF(OR(G129="", CJ129="",CK129=""), "", IF(ISERROR(SMALL((CN129,CV129), 1)-CK129), "",  SMALL((CN129,CV129), 1)-CK129))</f>
        <v/>
      </c>
      <c r="CN129" s="235"/>
      <c r="CO129" s="236"/>
      <c r="CP129" s="224" t="str">
        <f t="shared" si="23"/>
        <v/>
      </c>
      <c r="CQ129" s="235"/>
      <c r="CR129" s="236"/>
      <c r="CS129" s="222" t="str">
        <f t="shared" si="24"/>
        <v/>
      </c>
      <c r="CT129" s="237" t="str">
        <f t="shared" si="25"/>
        <v/>
      </c>
      <c r="CU129" s="238"/>
      <c r="CV129" s="239"/>
      <c r="CW129" s="240"/>
    </row>
    <row r="130" spans="2:101" ht="16.5" customHeight="1">
      <c r="B130" s="122"/>
      <c r="E130" s="122"/>
      <c r="F130" s="194"/>
      <c r="G130" s="195"/>
      <c r="H130" s="195"/>
      <c r="I130" s="195"/>
      <c r="J130" s="196"/>
      <c r="K130" s="197"/>
      <c r="L130" s="198"/>
      <c r="M130" s="199"/>
      <c r="N130" s="200"/>
      <c r="O130" s="201"/>
      <c r="P130" s="201"/>
      <c r="Q130" s="201"/>
      <c r="R130" s="201"/>
      <c r="S130" s="201"/>
      <c r="T130" s="201"/>
      <c r="U130" s="201"/>
      <c r="V130" s="201"/>
      <c r="W130" s="201"/>
      <c r="X130" s="202"/>
      <c r="Y130" s="203"/>
      <c r="Z130" s="204"/>
      <c r="AA130" s="205"/>
      <c r="AB130" s="206"/>
      <c r="AC130" s="206"/>
      <c r="AD130" s="194"/>
      <c r="AE130" s="201"/>
      <c r="AF130" s="207"/>
      <c r="AG130" s="208"/>
      <c r="AH130" s="209"/>
      <c r="AI130" s="210"/>
      <c r="AJ130" s="197"/>
      <c r="AK130" s="201"/>
      <c r="AL130" s="196"/>
      <c r="AM130" s="201"/>
      <c r="AN130" s="201"/>
      <c r="AO130" s="201"/>
      <c r="AP130" s="211"/>
      <c r="AQ130" s="212"/>
      <c r="AR130" s="201"/>
      <c r="AS130" s="201"/>
      <c r="AT130" s="201"/>
      <c r="AU130" s="201"/>
      <c r="AV130" s="202"/>
      <c r="AW130" s="194"/>
      <c r="AX130" s="201"/>
      <c r="AY130" s="213"/>
      <c r="AZ130" s="214"/>
      <c r="BA130" s="215"/>
      <c r="BB130" s="216"/>
      <c r="BC130" s="217" t="str">
        <f t="shared" si="13"/>
        <v/>
      </c>
      <c r="BD130" s="218"/>
      <c r="BE130" s="219"/>
      <c r="BF130" s="220"/>
      <c r="BG130" s="219"/>
      <c r="BH130" s="219"/>
      <c r="BI130" s="220"/>
      <c r="BJ130" s="218"/>
      <c r="BK130" s="219"/>
      <c r="BL130" s="197"/>
      <c r="BM130" s="215"/>
      <c r="BN130" s="221"/>
      <c r="BO130" s="222" t="str">
        <f t="shared" si="14"/>
        <v/>
      </c>
      <c r="BP130" s="217" t="str">
        <f t="shared" si="15"/>
        <v/>
      </c>
      <c r="BQ130" s="215"/>
      <c r="BR130" s="224"/>
      <c r="BS130" s="225"/>
      <c r="BT130" s="223"/>
      <c r="BU130" s="215"/>
      <c r="BV130" s="226"/>
      <c r="BW130" s="222" t="str">
        <f t="shared" si="16"/>
        <v/>
      </c>
      <c r="BX130" s="223" t="str">
        <f t="shared" si="17"/>
        <v/>
      </c>
      <c r="BY130" s="215"/>
      <c r="BZ130" s="227"/>
      <c r="CA130" s="227"/>
      <c r="CB130" s="228"/>
      <c r="CC130" s="229"/>
      <c r="CD130" s="230" t="str">
        <f t="shared" si="18"/>
        <v/>
      </c>
      <c r="CE130" s="231" t="str">
        <f t="shared" si="19"/>
        <v/>
      </c>
      <c r="CF130" s="232" t="str">
        <f t="shared" si="20"/>
        <v/>
      </c>
      <c r="CG130" s="233" t="str">
        <f t="shared" si="21"/>
        <v/>
      </c>
      <c r="CH130" s="207" t="str">
        <f>IF(OR(G130="",CC130= ""), "", IF(ISERROR(SMALL((CJ130,CN130,CV130), 1)-CC130), "",  SMALL((CJ130,CN130,CV130), 1)-CC130))</f>
        <v/>
      </c>
      <c r="CI130" s="234"/>
      <c r="CJ130" s="235"/>
      <c r="CK130" s="236"/>
      <c r="CL130" s="222" t="str">
        <f t="shared" si="22"/>
        <v/>
      </c>
      <c r="CM130" s="237" t="str">
        <f>IF(OR(G130="", CJ130="",CK130=""), "", IF(ISERROR(SMALL((CN130,CV130), 1)-CK130), "",  SMALL((CN130,CV130), 1)-CK130))</f>
        <v/>
      </c>
      <c r="CN130" s="235"/>
      <c r="CO130" s="236"/>
      <c r="CP130" s="224" t="str">
        <f t="shared" si="23"/>
        <v/>
      </c>
      <c r="CQ130" s="235"/>
      <c r="CR130" s="236"/>
      <c r="CS130" s="222" t="str">
        <f t="shared" si="24"/>
        <v/>
      </c>
      <c r="CT130" s="237" t="str">
        <f t="shared" si="25"/>
        <v/>
      </c>
      <c r="CU130" s="238"/>
      <c r="CV130" s="239"/>
      <c r="CW130" s="240"/>
    </row>
    <row r="131" spans="2:101" ht="16.5" customHeight="1">
      <c r="B131" s="122"/>
      <c r="E131" s="122"/>
      <c r="F131" s="194"/>
      <c r="G131" s="195"/>
      <c r="H131" s="195"/>
      <c r="I131" s="195"/>
      <c r="J131" s="196"/>
      <c r="K131" s="197"/>
      <c r="L131" s="198"/>
      <c r="M131" s="199"/>
      <c r="N131" s="200"/>
      <c r="O131" s="201"/>
      <c r="P131" s="201"/>
      <c r="Q131" s="201"/>
      <c r="R131" s="201"/>
      <c r="S131" s="201"/>
      <c r="T131" s="201"/>
      <c r="U131" s="201"/>
      <c r="V131" s="201"/>
      <c r="W131" s="201"/>
      <c r="X131" s="202"/>
      <c r="Y131" s="203"/>
      <c r="Z131" s="204"/>
      <c r="AA131" s="205"/>
      <c r="AB131" s="206"/>
      <c r="AC131" s="206"/>
      <c r="AD131" s="194"/>
      <c r="AE131" s="201"/>
      <c r="AF131" s="207"/>
      <c r="AG131" s="208"/>
      <c r="AH131" s="209"/>
      <c r="AI131" s="210"/>
      <c r="AJ131" s="197"/>
      <c r="AK131" s="201"/>
      <c r="AL131" s="196"/>
      <c r="AM131" s="201"/>
      <c r="AN131" s="201"/>
      <c r="AO131" s="201"/>
      <c r="AP131" s="211"/>
      <c r="AQ131" s="212"/>
      <c r="AR131" s="201"/>
      <c r="AS131" s="201"/>
      <c r="AT131" s="201"/>
      <c r="AU131" s="201"/>
      <c r="AV131" s="202"/>
      <c r="AW131" s="194"/>
      <c r="AX131" s="201"/>
      <c r="AY131" s="213"/>
      <c r="AZ131" s="214"/>
      <c r="BA131" s="215"/>
      <c r="BB131" s="216"/>
      <c r="BC131" s="217" t="str">
        <f t="shared" si="13"/>
        <v/>
      </c>
      <c r="BD131" s="218"/>
      <c r="BE131" s="219"/>
      <c r="BF131" s="220"/>
      <c r="BG131" s="219"/>
      <c r="BH131" s="219"/>
      <c r="BI131" s="220"/>
      <c r="BJ131" s="218"/>
      <c r="BK131" s="219"/>
      <c r="BL131" s="197"/>
      <c r="BM131" s="215"/>
      <c r="BN131" s="221"/>
      <c r="BO131" s="222" t="str">
        <f t="shared" si="14"/>
        <v/>
      </c>
      <c r="BP131" s="217" t="str">
        <f t="shared" si="15"/>
        <v/>
      </c>
      <c r="BQ131" s="215"/>
      <c r="BR131" s="224"/>
      <c r="BS131" s="225"/>
      <c r="BT131" s="223"/>
      <c r="BU131" s="215"/>
      <c r="BV131" s="226"/>
      <c r="BW131" s="222" t="str">
        <f t="shared" si="16"/>
        <v/>
      </c>
      <c r="BX131" s="223" t="str">
        <f t="shared" si="17"/>
        <v/>
      </c>
      <c r="BY131" s="215"/>
      <c r="BZ131" s="227"/>
      <c r="CA131" s="227"/>
      <c r="CB131" s="228"/>
      <c r="CC131" s="229"/>
      <c r="CD131" s="230" t="str">
        <f t="shared" si="18"/>
        <v/>
      </c>
      <c r="CE131" s="231" t="str">
        <f t="shared" si="19"/>
        <v/>
      </c>
      <c r="CF131" s="232" t="str">
        <f t="shared" si="20"/>
        <v/>
      </c>
      <c r="CG131" s="233" t="str">
        <f t="shared" si="21"/>
        <v/>
      </c>
      <c r="CH131" s="207" t="str">
        <f>IF(OR(G131="",CC131= ""), "", IF(ISERROR(SMALL((CJ131,CN131,CV131), 1)-CC131), "",  SMALL((CJ131,CN131,CV131), 1)-CC131))</f>
        <v/>
      </c>
      <c r="CI131" s="234"/>
      <c r="CJ131" s="235"/>
      <c r="CK131" s="236"/>
      <c r="CL131" s="222" t="str">
        <f t="shared" si="22"/>
        <v/>
      </c>
      <c r="CM131" s="237" t="str">
        <f>IF(OR(G131="", CJ131="",CK131=""), "", IF(ISERROR(SMALL((CN131,CV131), 1)-CK131), "",  SMALL((CN131,CV131), 1)-CK131))</f>
        <v/>
      </c>
      <c r="CN131" s="235"/>
      <c r="CO131" s="236"/>
      <c r="CP131" s="224" t="str">
        <f t="shared" si="23"/>
        <v/>
      </c>
      <c r="CQ131" s="235"/>
      <c r="CR131" s="236"/>
      <c r="CS131" s="222" t="str">
        <f t="shared" si="24"/>
        <v/>
      </c>
      <c r="CT131" s="237" t="str">
        <f t="shared" si="25"/>
        <v/>
      </c>
      <c r="CU131" s="238"/>
      <c r="CV131" s="239"/>
      <c r="CW131" s="240"/>
    </row>
    <row r="132" spans="2:101" ht="16.5" customHeight="1">
      <c r="B132" s="122"/>
      <c r="E132" s="122"/>
      <c r="F132" s="194"/>
      <c r="G132" s="195"/>
      <c r="H132" s="195"/>
      <c r="I132" s="195"/>
      <c r="J132" s="196"/>
      <c r="K132" s="197"/>
      <c r="L132" s="198"/>
      <c r="M132" s="199"/>
      <c r="N132" s="200"/>
      <c r="O132" s="201"/>
      <c r="P132" s="201"/>
      <c r="Q132" s="201"/>
      <c r="R132" s="201"/>
      <c r="S132" s="201"/>
      <c r="T132" s="201"/>
      <c r="U132" s="201"/>
      <c r="V132" s="201"/>
      <c r="W132" s="201"/>
      <c r="X132" s="202"/>
      <c r="Y132" s="203"/>
      <c r="Z132" s="204"/>
      <c r="AA132" s="205"/>
      <c r="AB132" s="206"/>
      <c r="AC132" s="206"/>
      <c r="AD132" s="194"/>
      <c r="AE132" s="201"/>
      <c r="AF132" s="207"/>
      <c r="AG132" s="208"/>
      <c r="AH132" s="209"/>
      <c r="AI132" s="210"/>
      <c r="AJ132" s="197"/>
      <c r="AK132" s="201"/>
      <c r="AL132" s="196"/>
      <c r="AM132" s="201"/>
      <c r="AN132" s="201"/>
      <c r="AO132" s="201"/>
      <c r="AP132" s="211"/>
      <c r="AQ132" s="212"/>
      <c r="AR132" s="201"/>
      <c r="AS132" s="201"/>
      <c r="AT132" s="201"/>
      <c r="AU132" s="201"/>
      <c r="AV132" s="202"/>
      <c r="AW132" s="194"/>
      <c r="AX132" s="201"/>
      <c r="AY132" s="213"/>
      <c r="AZ132" s="214"/>
      <c r="BA132" s="215"/>
      <c r="BB132" s="216"/>
      <c r="BC132" s="217" t="str">
        <f t="shared" si="13"/>
        <v/>
      </c>
      <c r="BD132" s="218"/>
      <c r="BE132" s="219"/>
      <c r="BF132" s="220"/>
      <c r="BG132" s="219"/>
      <c r="BH132" s="219"/>
      <c r="BI132" s="220"/>
      <c r="BJ132" s="218"/>
      <c r="BK132" s="219"/>
      <c r="BL132" s="197"/>
      <c r="BM132" s="215"/>
      <c r="BN132" s="221"/>
      <c r="BO132" s="222" t="str">
        <f t="shared" si="14"/>
        <v/>
      </c>
      <c r="BP132" s="217" t="str">
        <f t="shared" si="15"/>
        <v/>
      </c>
      <c r="BQ132" s="215"/>
      <c r="BR132" s="224"/>
      <c r="BS132" s="225"/>
      <c r="BT132" s="223"/>
      <c r="BU132" s="215"/>
      <c r="BV132" s="226"/>
      <c r="BW132" s="222" t="str">
        <f t="shared" si="16"/>
        <v/>
      </c>
      <c r="BX132" s="223" t="str">
        <f t="shared" si="17"/>
        <v/>
      </c>
      <c r="BY132" s="215"/>
      <c r="BZ132" s="227"/>
      <c r="CA132" s="227"/>
      <c r="CB132" s="228"/>
      <c r="CC132" s="229"/>
      <c r="CD132" s="230" t="str">
        <f t="shared" si="18"/>
        <v/>
      </c>
      <c r="CE132" s="231" t="str">
        <f t="shared" si="19"/>
        <v/>
      </c>
      <c r="CF132" s="232" t="str">
        <f t="shared" si="20"/>
        <v/>
      </c>
      <c r="CG132" s="233" t="str">
        <f t="shared" si="21"/>
        <v/>
      </c>
      <c r="CH132" s="207" t="str">
        <f>IF(OR(G132="",CC132= ""), "", IF(ISERROR(SMALL((CJ132,CN132,CV132), 1)-CC132), "",  SMALL((CJ132,CN132,CV132), 1)-CC132))</f>
        <v/>
      </c>
      <c r="CI132" s="234"/>
      <c r="CJ132" s="235"/>
      <c r="CK132" s="236"/>
      <c r="CL132" s="222" t="str">
        <f t="shared" si="22"/>
        <v/>
      </c>
      <c r="CM132" s="237" t="str">
        <f>IF(OR(G132="", CJ132="",CK132=""), "", IF(ISERROR(SMALL((CN132,CV132), 1)-CK132), "",  SMALL((CN132,CV132), 1)-CK132))</f>
        <v/>
      </c>
      <c r="CN132" s="235"/>
      <c r="CO132" s="236"/>
      <c r="CP132" s="224" t="str">
        <f t="shared" si="23"/>
        <v/>
      </c>
      <c r="CQ132" s="235"/>
      <c r="CR132" s="236"/>
      <c r="CS132" s="222" t="str">
        <f t="shared" si="24"/>
        <v/>
      </c>
      <c r="CT132" s="237" t="str">
        <f t="shared" si="25"/>
        <v/>
      </c>
      <c r="CU132" s="238"/>
      <c r="CV132" s="239"/>
      <c r="CW132" s="240"/>
    </row>
    <row r="133" spans="2:101" ht="16.5" customHeight="1">
      <c r="B133" s="122"/>
      <c r="E133" s="122"/>
      <c r="F133" s="194"/>
      <c r="G133" s="195"/>
      <c r="H133" s="195"/>
      <c r="I133" s="195"/>
      <c r="J133" s="196"/>
      <c r="K133" s="197"/>
      <c r="L133" s="198"/>
      <c r="M133" s="199"/>
      <c r="N133" s="200"/>
      <c r="O133" s="201"/>
      <c r="P133" s="201"/>
      <c r="Q133" s="201"/>
      <c r="R133" s="201"/>
      <c r="S133" s="201"/>
      <c r="T133" s="201"/>
      <c r="U133" s="201"/>
      <c r="V133" s="201"/>
      <c r="W133" s="201"/>
      <c r="X133" s="202"/>
      <c r="Y133" s="203"/>
      <c r="Z133" s="204"/>
      <c r="AA133" s="205"/>
      <c r="AB133" s="206"/>
      <c r="AC133" s="206"/>
      <c r="AD133" s="194"/>
      <c r="AE133" s="201"/>
      <c r="AF133" s="207"/>
      <c r="AG133" s="208"/>
      <c r="AH133" s="209"/>
      <c r="AI133" s="210"/>
      <c r="AJ133" s="197"/>
      <c r="AK133" s="201"/>
      <c r="AL133" s="196"/>
      <c r="AM133" s="201"/>
      <c r="AN133" s="201"/>
      <c r="AO133" s="201"/>
      <c r="AP133" s="211"/>
      <c r="AQ133" s="212"/>
      <c r="AR133" s="201"/>
      <c r="AS133" s="201"/>
      <c r="AT133" s="201"/>
      <c r="AU133" s="201"/>
      <c r="AV133" s="202"/>
      <c r="AW133" s="194"/>
      <c r="AX133" s="201"/>
      <c r="AY133" s="213"/>
      <c r="AZ133" s="214"/>
      <c r="BA133" s="215"/>
      <c r="BB133" s="216"/>
      <c r="BC133" s="217" t="str">
        <f t="shared" si="13"/>
        <v/>
      </c>
      <c r="BD133" s="218"/>
      <c r="BE133" s="219"/>
      <c r="BF133" s="220"/>
      <c r="BG133" s="219"/>
      <c r="BH133" s="219"/>
      <c r="BI133" s="220"/>
      <c r="BJ133" s="218"/>
      <c r="BK133" s="219"/>
      <c r="BL133" s="197"/>
      <c r="BM133" s="215"/>
      <c r="BN133" s="221"/>
      <c r="BO133" s="222" t="str">
        <f t="shared" si="14"/>
        <v/>
      </c>
      <c r="BP133" s="217" t="str">
        <f t="shared" si="15"/>
        <v/>
      </c>
      <c r="BQ133" s="215"/>
      <c r="BR133" s="224"/>
      <c r="BS133" s="225"/>
      <c r="BT133" s="223"/>
      <c r="BU133" s="215"/>
      <c r="BV133" s="226"/>
      <c r="BW133" s="222" t="str">
        <f t="shared" si="16"/>
        <v/>
      </c>
      <c r="BX133" s="223" t="str">
        <f t="shared" si="17"/>
        <v/>
      </c>
      <c r="BY133" s="215"/>
      <c r="BZ133" s="227"/>
      <c r="CA133" s="227"/>
      <c r="CB133" s="228"/>
      <c r="CC133" s="229"/>
      <c r="CD133" s="230" t="str">
        <f t="shared" si="18"/>
        <v/>
      </c>
      <c r="CE133" s="231" t="str">
        <f t="shared" si="19"/>
        <v/>
      </c>
      <c r="CF133" s="232" t="str">
        <f t="shared" si="20"/>
        <v/>
      </c>
      <c r="CG133" s="233" t="str">
        <f t="shared" si="21"/>
        <v/>
      </c>
      <c r="CH133" s="207" t="str">
        <f>IF(OR(G133="",CC133= ""), "", IF(ISERROR(SMALL((CJ133,CN133,CV133), 1)-CC133), "",  SMALL((CJ133,CN133,CV133), 1)-CC133))</f>
        <v/>
      </c>
      <c r="CI133" s="234"/>
      <c r="CJ133" s="235"/>
      <c r="CK133" s="236"/>
      <c r="CL133" s="222" t="str">
        <f t="shared" si="22"/>
        <v/>
      </c>
      <c r="CM133" s="237" t="str">
        <f>IF(OR(G133="", CJ133="",CK133=""), "", IF(ISERROR(SMALL((CN133,CV133), 1)-CK133), "",  SMALL((CN133,CV133), 1)-CK133))</f>
        <v/>
      </c>
      <c r="CN133" s="235"/>
      <c r="CO133" s="236"/>
      <c r="CP133" s="224" t="str">
        <f t="shared" si="23"/>
        <v/>
      </c>
      <c r="CQ133" s="235"/>
      <c r="CR133" s="236"/>
      <c r="CS133" s="222" t="str">
        <f t="shared" si="24"/>
        <v/>
      </c>
      <c r="CT133" s="237" t="str">
        <f t="shared" si="25"/>
        <v/>
      </c>
      <c r="CU133" s="238"/>
      <c r="CV133" s="239"/>
      <c r="CW133" s="240"/>
    </row>
    <row r="134" spans="2:101" ht="16.5" customHeight="1">
      <c r="B134" s="122"/>
      <c r="E134" s="122"/>
      <c r="F134" s="194"/>
      <c r="G134" s="195"/>
      <c r="H134" s="195"/>
      <c r="I134" s="195"/>
      <c r="J134" s="196"/>
      <c r="K134" s="197"/>
      <c r="L134" s="198"/>
      <c r="M134" s="199"/>
      <c r="N134" s="200"/>
      <c r="O134" s="201"/>
      <c r="P134" s="201"/>
      <c r="Q134" s="201"/>
      <c r="R134" s="201"/>
      <c r="S134" s="201"/>
      <c r="T134" s="201"/>
      <c r="U134" s="201"/>
      <c r="V134" s="201"/>
      <c r="W134" s="201"/>
      <c r="X134" s="202"/>
      <c r="Y134" s="203"/>
      <c r="Z134" s="204"/>
      <c r="AA134" s="205"/>
      <c r="AB134" s="206"/>
      <c r="AC134" s="206"/>
      <c r="AD134" s="194"/>
      <c r="AE134" s="201"/>
      <c r="AF134" s="207"/>
      <c r="AG134" s="208"/>
      <c r="AH134" s="209"/>
      <c r="AI134" s="210"/>
      <c r="AJ134" s="197"/>
      <c r="AK134" s="201"/>
      <c r="AL134" s="196"/>
      <c r="AM134" s="201"/>
      <c r="AN134" s="201"/>
      <c r="AO134" s="201"/>
      <c r="AP134" s="211"/>
      <c r="AQ134" s="212"/>
      <c r="AR134" s="201"/>
      <c r="AS134" s="201"/>
      <c r="AT134" s="201"/>
      <c r="AU134" s="201"/>
      <c r="AV134" s="202"/>
      <c r="AW134" s="194"/>
      <c r="AX134" s="201"/>
      <c r="AY134" s="213"/>
      <c r="AZ134" s="214"/>
      <c r="BA134" s="215"/>
      <c r="BB134" s="216"/>
      <c r="BC134" s="217" t="str">
        <f t="shared" si="13"/>
        <v/>
      </c>
      <c r="BD134" s="218"/>
      <c r="BE134" s="219"/>
      <c r="BF134" s="220"/>
      <c r="BG134" s="219"/>
      <c r="BH134" s="219"/>
      <c r="BI134" s="220"/>
      <c r="BJ134" s="218"/>
      <c r="BK134" s="219"/>
      <c r="BL134" s="197"/>
      <c r="BM134" s="215"/>
      <c r="BN134" s="221"/>
      <c r="BO134" s="222" t="str">
        <f t="shared" si="14"/>
        <v/>
      </c>
      <c r="BP134" s="217" t="str">
        <f t="shared" si="15"/>
        <v/>
      </c>
      <c r="BQ134" s="215"/>
      <c r="BR134" s="224"/>
      <c r="BS134" s="225"/>
      <c r="BT134" s="223"/>
      <c r="BU134" s="215"/>
      <c r="BV134" s="226"/>
      <c r="BW134" s="222" t="str">
        <f t="shared" si="16"/>
        <v/>
      </c>
      <c r="BX134" s="223" t="str">
        <f t="shared" si="17"/>
        <v/>
      </c>
      <c r="BY134" s="215"/>
      <c r="BZ134" s="227"/>
      <c r="CA134" s="227"/>
      <c r="CB134" s="228"/>
      <c r="CC134" s="229"/>
      <c r="CD134" s="230" t="str">
        <f t="shared" si="18"/>
        <v/>
      </c>
      <c r="CE134" s="231" t="str">
        <f t="shared" si="19"/>
        <v/>
      </c>
      <c r="CF134" s="232" t="str">
        <f t="shared" si="20"/>
        <v/>
      </c>
      <c r="CG134" s="233" t="str">
        <f t="shared" si="21"/>
        <v/>
      </c>
      <c r="CH134" s="207" t="str">
        <f>IF(OR(G134="",CC134= ""), "", IF(ISERROR(SMALL((CJ134,CN134,CV134), 1)-CC134), "",  SMALL((CJ134,CN134,CV134), 1)-CC134))</f>
        <v/>
      </c>
      <c r="CI134" s="234"/>
      <c r="CJ134" s="235"/>
      <c r="CK134" s="236"/>
      <c r="CL134" s="222" t="str">
        <f t="shared" si="22"/>
        <v/>
      </c>
      <c r="CM134" s="237" t="str">
        <f>IF(OR(G134="", CJ134="",CK134=""), "", IF(ISERROR(SMALL((CN134,CV134), 1)-CK134), "",  SMALL((CN134,CV134), 1)-CK134))</f>
        <v/>
      </c>
      <c r="CN134" s="235"/>
      <c r="CO134" s="236"/>
      <c r="CP134" s="224" t="str">
        <f t="shared" si="23"/>
        <v/>
      </c>
      <c r="CQ134" s="235"/>
      <c r="CR134" s="236"/>
      <c r="CS134" s="222" t="str">
        <f t="shared" si="24"/>
        <v/>
      </c>
      <c r="CT134" s="237" t="str">
        <f t="shared" si="25"/>
        <v/>
      </c>
      <c r="CU134" s="238"/>
      <c r="CV134" s="239"/>
      <c r="CW134" s="240"/>
    </row>
    <row r="135" spans="2:101" ht="16.5" customHeight="1">
      <c r="B135" s="122"/>
      <c r="E135" s="122"/>
      <c r="F135" s="194"/>
      <c r="G135" s="195"/>
      <c r="H135" s="195"/>
      <c r="I135" s="195"/>
      <c r="J135" s="196"/>
      <c r="K135" s="197"/>
      <c r="L135" s="198"/>
      <c r="M135" s="199"/>
      <c r="N135" s="200"/>
      <c r="O135" s="201"/>
      <c r="P135" s="201"/>
      <c r="Q135" s="201"/>
      <c r="R135" s="201"/>
      <c r="S135" s="201"/>
      <c r="T135" s="201"/>
      <c r="U135" s="201"/>
      <c r="V135" s="201"/>
      <c r="W135" s="201"/>
      <c r="X135" s="202"/>
      <c r="Y135" s="203"/>
      <c r="Z135" s="204"/>
      <c r="AA135" s="205"/>
      <c r="AB135" s="206"/>
      <c r="AC135" s="206"/>
      <c r="AD135" s="194"/>
      <c r="AE135" s="201"/>
      <c r="AF135" s="207"/>
      <c r="AG135" s="208"/>
      <c r="AH135" s="209"/>
      <c r="AI135" s="210"/>
      <c r="AJ135" s="197"/>
      <c r="AK135" s="201"/>
      <c r="AL135" s="196"/>
      <c r="AM135" s="201"/>
      <c r="AN135" s="201"/>
      <c r="AO135" s="201"/>
      <c r="AP135" s="211"/>
      <c r="AQ135" s="212"/>
      <c r="AR135" s="201"/>
      <c r="AS135" s="201"/>
      <c r="AT135" s="201"/>
      <c r="AU135" s="201"/>
      <c r="AV135" s="202"/>
      <c r="AW135" s="194"/>
      <c r="AX135" s="201"/>
      <c r="AY135" s="213"/>
      <c r="AZ135" s="214"/>
      <c r="BA135" s="215"/>
      <c r="BB135" s="216"/>
      <c r="BC135" s="217" t="str">
        <f t="shared" si="13"/>
        <v/>
      </c>
      <c r="BD135" s="218"/>
      <c r="BE135" s="219"/>
      <c r="BF135" s="220"/>
      <c r="BG135" s="219"/>
      <c r="BH135" s="219"/>
      <c r="BI135" s="220"/>
      <c r="BJ135" s="218"/>
      <c r="BK135" s="219"/>
      <c r="BL135" s="197"/>
      <c r="BM135" s="215"/>
      <c r="BN135" s="221"/>
      <c r="BO135" s="222" t="str">
        <f t="shared" si="14"/>
        <v/>
      </c>
      <c r="BP135" s="217" t="str">
        <f t="shared" si="15"/>
        <v/>
      </c>
      <c r="BQ135" s="215"/>
      <c r="BR135" s="224"/>
      <c r="BS135" s="225"/>
      <c r="BT135" s="223"/>
      <c r="BU135" s="215"/>
      <c r="BV135" s="226"/>
      <c r="BW135" s="222" t="str">
        <f t="shared" si="16"/>
        <v/>
      </c>
      <c r="BX135" s="223" t="str">
        <f t="shared" si="17"/>
        <v/>
      </c>
      <c r="BY135" s="215"/>
      <c r="BZ135" s="227"/>
      <c r="CA135" s="227"/>
      <c r="CB135" s="228"/>
      <c r="CC135" s="229"/>
      <c r="CD135" s="230" t="str">
        <f t="shared" si="18"/>
        <v/>
      </c>
      <c r="CE135" s="231" t="str">
        <f t="shared" si="19"/>
        <v/>
      </c>
      <c r="CF135" s="232" t="str">
        <f t="shared" si="20"/>
        <v/>
      </c>
      <c r="CG135" s="233" t="str">
        <f t="shared" si="21"/>
        <v/>
      </c>
      <c r="CH135" s="207" t="str">
        <f>IF(OR(G135="",CC135= ""), "", IF(ISERROR(SMALL((CJ135,CN135,CV135), 1)-CC135), "",  SMALL((CJ135,CN135,CV135), 1)-CC135))</f>
        <v/>
      </c>
      <c r="CI135" s="234"/>
      <c r="CJ135" s="235"/>
      <c r="CK135" s="236"/>
      <c r="CL135" s="222" t="str">
        <f t="shared" si="22"/>
        <v/>
      </c>
      <c r="CM135" s="237" t="str">
        <f>IF(OR(G135="", CJ135="",CK135=""), "", IF(ISERROR(SMALL((CN135,CV135), 1)-CK135), "",  SMALL((CN135,CV135), 1)-CK135))</f>
        <v/>
      </c>
      <c r="CN135" s="235"/>
      <c r="CO135" s="236"/>
      <c r="CP135" s="224" t="str">
        <f t="shared" si="23"/>
        <v/>
      </c>
      <c r="CQ135" s="235"/>
      <c r="CR135" s="236"/>
      <c r="CS135" s="222" t="str">
        <f t="shared" si="24"/>
        <v/>
      </c>
      <c r="CT135" s="237" t="str">
        <f t="shared" si="25"/>
        <v/>
      </c>
      <c r="CU135" s="238"/>
      <c r="CV135" s="239"/>
      <c r="CW135" s="240"/>
    </row>
    <row r="136" spans="2:101" ht="16.5" customHeight="1">
      <c r="B136" s="122"/>
      <c r="E136" s="122"/>
      <c r="F136" s="194"/>
      <c r="G136" s="195"/>
      <c r="H136" s="195"/>
      <c r="I136" s="195"/>
      <c r="J136" s="196"/>
      <c r="K136" s="197"/>
      <c r="L136" s="198"/>
      <c r="M136" s="199"/>
      <c r="N136" s="200"/>
      <c r="O136" s="201"/>
      <c r="P136" s="201"/>
      <c r="Q136" s="201"/>
      <c r="R136" s="201"/>
      <c r="S136" s="201"/>
      <c r="T136" s="201"/>
      <c r="U136" s="201"/>
      <c r="V136" s="201"/>
      <c r="W136" s="201"/>
      <c r="X136" s="202"/>
      <c r="Y136" s="203"/>
      <c r="Z136" s="204"/>
      <c r="AA136" s="205"/>
      <c r="AB136" s="206"/>
      <c r="AC136" s="206"/>
      <c r="AD136" s="194"/>
      <c r="AE136" s="201"/>
      <c r="AF136" s="207"/>
      <c r="AG136" s="208"/>
      <c r="AH136" s="209"/>
      <c r="AI136" s="210"/>
      <c r="AJ136" s="197"/>
      <c r="AK136" s="201"/>
      <c r="AL136" s="196"/>
      <c r="AM136" s="201"/>
      <c r="AN136" s="201"/>
      <c r="AO136" s="201"/>
      <c r="AP136" s="211"/>
      <c r="AQ136" s="212"/>
      <c r="AR136" s="201"/>
      <c r="AS136" s="201"/>
      <c r="AT136" s="201"/>
      <c r="AU136" s="201"/>
      <c r="AV136" s="202"/>
      <c r="AW136" s="194"/>
      <c r="AX136" s="201"/>
      <c r="AY136" s="213"/>
      <c r="AZ136" s="214"/>
      <c r="BA136" s="215"/>
      <c r="BB136" s="216"/>
      <c r="BC136" s="217" t="str">
        <f t="shared" si="13"/>
        <v/>
      </c>
      <c r="BD136" s="218"/>
      <c r="BE136" s="219"/>
      <c r="BF136" s="220"/>
      <c r="BG136" s="219"/>
      <c r="BH136" s="219"/>
      <c r="BI136" s="220"/>
      <c r="BJ136" s="218"/>
      <c r="BK136" s="219"/>
      <c r="BL136" s="197"/>
      <c r="BM136" s="215"/>
      <c r="BN136" s="221"/>
      <c r="BO136" s="222" t="str">
        <f t="shared" si="14"/>
        <v/>
      </c>
      <c r="BP136" s="217" t="str">
        <f t="shared" si="15"/>
        <v/>
      </c>
      <c r="BQ136" s="215"/>
      <c r="BR136" s="224"/>
      <c r="BS136" s="225"/>
      <c r="BT136" s="223"/>
      <c r="BU136" s="215"/>
      <c r="BV136" s="226"/>
      <c r="BW136" s="222" t="str">
        <f t="shared" si="16"/>
        <v/>
      </c>
      <c r="BX136" s="223" t="str">
        <f t="shared" si="17"/>
        <v/>
      </c>
      <c r="BY136" s="215"/>
      <c r="BZ136" s="227"/>
      <c r="CA136" s="227"/>
      <c r="CB136" s="228"/>
      <c r="CC136" s="229"/>
      <c r="CD136" s="230" t="str">
        <f t="shared" si="18"/>
        <v/>
      </c>
      <c r="CE136" s="231" t="str">
        <f t="shared" si="19"/>
        <v/>
      </c>
      <c r="CF136" s="232" t="str">
        <f t="shared" si="20"/>
        <v/>
      </c>
      <c r="CG136" s="233" t="str">
        <f t="shared" si="21"/>
        <v/>
      </c>
      <c r="CH136" s="207" t="str">
        <f>IF(OR(G136="",CC136= ""), "", IF(ISERROR(SMALL((CJ136,CN136,CV136), 1)-CC136), "",  SMALL((CJ136,CN136,CV136), 1)-CC136))</f>
        <v/>
      </c>
      <c r="CI136" s="234"/>
      <c r="CJ136" s="235"/>
      <c r="CK136" s="236"/>
      <c r="CL136" s="222" t="str">
        <f t="shared" si="22"/>
        <v/>
      </c>
      <c r="CM136" s="237" t="str">
        <f>IF(OR(G136="", CJ136="",CK136=""), "", IF(ISERROR(SMALL((CN136,CV136), 1)-CK136), "",  SMALL((CN136,CV136), 1)-CK136))</f>
        <v/>
      </c>
      <c r="CN136" s="235"/>
      <c r="CO136" s="236"/>
      <c r="CP136" s="224" t="str">
        <f t="shared" si="23"/>
        <v/>
      </c>
      <c r="CQ136" s="235"/>
      <c r="CR136" s="236"/>
      <c r="CS136" s="222" t="str">
        <f t="shared" si="24"/>
        <v/>
      </c>
      <c r="CT136" s="237" t="str">
        <f t="shared" si="25"/>
        <v/>
      </c>
      <c r="CU136" s="238"/>
      <c r="CV136" s="239"/>
      <c r="CW136" s="240"/>
    </row>
    <row r="137" spans="2:101" ht="16.5" customHeight="1">
      <c r="B137" s="122"/>
      <c r="E137" s="122"/>
      <c r="F137" s="194"/>
      <c r="G137" s="195"/>
      <c r="H137" s="195"/>
      <c r="I137" s="195"/>
      <c r="J137" s="196"/>
      <c r="K137" s="197"/>
      <c r="L137" s="198"/>
      <c r="M137" s="199"/>
      <c r="N137" s="200"/>
      <c r="O137" s="201"/>
      <c r="P137" s="201"/>
      <c r="Q137" s="201"/>
      <c r="R137" s="201"/>
      <c r="S137" s="201"/>
      <c r="T137" s="201"/>
      <c r="U137" s="201"/>
      <c r="V137" s="201"/>
      <c r="W137" s="201"/>
      <c r="X137" s="202"/>
      <c r="Y137" s="203"/>
      <c r="Z137" s="204"/>
      <c r="AA137" s="205"/>
      <c r="AB137" s="206"/>
      <c r="AC137" s="206"/>
      <c r="AD137" s="194"/>
      <c r="AE137" s="201"/>
      <c r="AF137" s="207"/>
      <c r="AG137" s="208"/>
      <c r="AH137" s="209"/>
      <c r="AI137" s="210"/>
      <c r="AJ137" s="197"/>
      <c r="AK137" s="201"/>
      <c r="AL137" s="196"/>
      <c r="AM137" s="201"/>
      <c r="AN137" s="201"/>
      <c r="AO137" s="201"/>
      <c r="AP137" s="211"/>
      <c r="AQ137" s="212"/>
      <c r="AR137" s="201"/>
      <c r="AS137" s="201"/>
      <c r="AT137" s="201"/>
      <c r="AU137" s="201"/>
      <c r="AV137" s="202"/>
      <c r="AW137" s="194"/>
      <c r="AX137" s="201"/>
      <c r="AY137" s="213"/>
      <c r="AZ137" s="214"/>
      <c r="BA137" s="215"/>
      <c r="BB137" s="216"/>
      <c r="BC137" s="217" t="str">
        <f t="shared" ref="BC137:BC200" si="26">IF(OR($H137="", $BM137="", BB137=""), "", IF(ISERROR($BM137-BB137), "", $BM137-BB137))</f>
        <v/>
      </c>
      <c r="BD137" s="218"/>
      <c r="BE137" s="219"/>
      <c r="BF137" s="220"/>
      <c r="BG137" s="219"/>
      <c r="BH137" s="219"/>
      <c r="BI137" s="220"/>
      <c r="BJ137" s="218"/>
      <c r="BK137" s="219"/>
      <c r="BL137" s="197"/>
      <c r="BM137" s="215"/>
      <c r="BN137" s="221"/>
      <c r="BO137" s="222" t="str">
        <f t="shared" ref="BO137:BO200" si="27">IF(OR(G137="", BM137="", BN137=""), "", IF(ISERROR(BN137-BM137+1), "", BN137-BM137+1))</f>
        <v/>
      </c>
      <c r="BP137" s="217" t="str">
        <f t="shared" ref="BP137:BP200" si="28">IF(OR(G137="", BN137="", BY137=""), "", IF(ISERROR(BY137-BN137), "", BY137-BN137))</f>
        <v/>
      </c>
      <c r="BQ137" s="215"/>
      <c r="BR137" s="224"/>
      <c r="BS137" s="225"/>
      <c r="BT137" s="223"/>
      <c r="BU137" s="215"/>
      <c r="BV137" s="226"/>
      <c r="BW137" s="222" t="str">
        <f t="shared" ref="BW137:BW200" si="29">IF(OR(H137="", BU137="", BV137=""), "", IF(ISERROR(BV137-BU137+1), "", BV137-BU137+1))</f>
        <v/>
      </c>
      <c r="BX137" s="223" t="str">
        <f t="shared" ref="BX137:BX200" si="30">IF(OR(H137="", BV137="", CB137=""), "", IF(ISERROR(CB137-BV137), "", CB137-BV137))</f>
        <v/>
      </c>
      <c r="BY137" s="215"/>
      <c r="BZ137" s="227"/>
      <c r="CA137" s="227"/>
      <c r="CB137" s="228"/>
      <c r="CC137" s="229"/>
      <c r="CD137" s="230" t="str">
        <f t="shared" ref="CD137:CD200" si="31">IF(OR($H137="",$BY137="",$CB137=""),"",IF((ISERROR($CB137-$BY137+1)),"",$CB137-$BY137+1))</f>
        <v/>
      </c>
      <c r="CE137" s="231" t="str">
        <f t="shared" ref="CE137:CE200" si="32">IF(OR(CB137="", CC137=""),"", IF(ISERROR(CC137-CB137+1), "",CC137-CB137+1))</f>
        <v/>
      </c>
      <c r="CF137" s="232" t="str">
        <f t="shared" ref="CF137:CF200" si="33">IF(OR(BY137="", CC137=""), "", IF(ISERROR(CC137-BY137+1), "",CC137-BY137+1))</f>
        <v/>
      </c>
      <c r="CG137" s="233" t="str">
        <f t="shared" ref="CG137:CG200" si="34">IF(OR(G137="", CC137="", CV137=""), "", IF(ISERROR(CV137-CC137), "", CV137-CC137))</f>
        <v/>
      </c>
      <c r="CH137" s="207" t="str">
        <f>IF(OR(G137="",CC137= ""), "", IF(ISERROR(SMALL((CJ137,CN137,CV137), 1)-CC137), "",  SMALL((CJ137,CN137,CV137), 1)-CC137))</f>
        <v/>
      </c>
      <c r="CI137" s="234"/>
      <c r="CJ137" s="235"/>
      <c r="CK137" s="236"/>
      <c r="CL137" s="222" t="str">
        <f t="shared" ref="CL137:CL200" si="35">IF(OR(G137="", CJ137="", CK137=""), "",   IF(ISERROR(CK137-CJ137+1), "",CK137-CJ137+1))</f>
        <v/>
      </c>
      <c r="CM137" s="237" t="str">
        <f>IF(OR(G137="", CJ137="",CK137=""), "", IF(ISERROR(SMALL((CN137,CV137), 1)-CK137), "",  SMALL((CN137,CV137), 1)-CK137))</f>
        <v/>
      </c>
      <c r="CN137" s="235"/>
      <c r="CO137" s="236"/>
      <c r="CP137" s="224" t="str">
        <f t="shared" ref="CP137:CP200" si="36">IF(OR(G137="", CN137="", CO137=""), "",   IF(ISERROR(CO137-CN137+1), "",CO137-CN137+1))</f>
        <v/>
      </c>
      <c r="CQ137" s="235"/>
      <c r="CR137" s="236"/>
      <c r="CS137" s="222" t="str">
        <f t="shared" ref="CS137:CS200" si="37">IF(OR(G137="", CQ137="", CR137=""), "",   IF(ISERROR(CR137-CQ137+1), "",CR137-CQ137+1))</f>
        <v/>
      </c>
      <c r="CT137" s="237" t="str">
        <f t="shared" ref="CT137:CT200" si="38">IF(AND(G137="", CK137="",CR137=""), "",IF(CR137="", IF(ISERROR(CV137-CK137), "",  CV137-CK137),  IF(ISERROR(CV137-CR137), "", CV137-CR137)))</f>
        <v/>
      </c>
      <c r="CU137" s="238"/>
      <c r="CV137" s="239"/>
      <c r="CW137" s="240"/>
    </row>
    <row r="138" spans="2:101" ht="16.5" customHeight="1">
      <c r="B138" s="122"/>
      <c r="E138" s="122"/>
      <c r="F138" s="194"/>
      <c r="G138" s="195"/>
      <c r="H138" s="195"/>
      <c r="I138" s="195"/>
      <c r="J138" s="196"/>
      <c r="K138" s="197"/>
      <c r="L138" s="198"/>
      <c r="M138" s="199"/>
      <c r="N138" s="200"/>
      <c r="O138" s="201"/>
      <c r="P138" s="201"/>
      <c r="Q138" s="201"/>
      <c r="R138" s="201"/>
      <c r="S138" s="201"/>
      <c r="T138" s="201"/>
      <c r="U138" s="201"/>
      <c r="V138" s="201"/>
      <c r="W138" s="201"/>
      <c r="X138" s="202"/>
      <c r="Y138" s="203"/>
      <c r="Z138" s="204"/>
      <c r="AA138" s="205"/>
      <c r="AB138" s="206"/>
      <c r="AC138" s="206"/>
      <c r="AD138" s="194"/>
      <c r="AE138" s="201"/>
      <c r="AF138" s="207"/>
      <c r="AG138" s="208"/>
      <c r="AH138" s="209"/>
      <c r="AI138" s="210"/>
      <c r="AJ138" s="197"/>
      <c r="AK138" s="201"/>
      <c r="AL138" s="196"/>
      <c r="AM138" s="201"/>
      <c r="AN138" s="201"/>
      <c r="AO138" s="201"/>
      <c r="AP138" s="211"/>
      <c r="AQ138" s="212"/>
      <c r="AR138" s="201"/>
      <c r="AS138" s="201"/>
      <c r="AT138" s="201"/>
      <c r="AU138" s="201"/>
      <c r="AV138" s="202"/>
      <c r="AW138" s="194"/>
      <c r="AX138" s="201"/>
      <c r="AY138" s="213"/>
      <c r="AZ138" s="214"/>
      <c r="BA138" s="215"/>
      <c r="BB138" s="216"/>
      <c r="BC138" s="217" t="str">
        <f t="shared" si="26"/>
        <v/>
      </c>
      <c r="BD138" s="218"/>
      <c r="BE138" s="219"/>
      <c r="BF138" s="220"/>
      <c r="BG138" s="219"/>
      <c r="BH138" s="219"/>
      <c r="BI138" s="220"/>
      <c r="BJ138" s="218"/>
      <c r="BK138" s="219"/>
      <c r="BL138" s="197"/>
      <c r="BM138" s="215"/>
      <c r="BN138" s="221"/>
      <c r="BO138" s="222" t="str">
        <f t="shared" si="27"/>
        <v/>
      </c>
      <c r="BP138" s="217" t="str">
        <f t="shared" si="28"/>
        <v/>
      </c>
      <c r="BQ138" s="215"/>
      <c r="BR138" s="224"/>
      <c r="BS138" s="225"/>
      <c r="BT138" s="223"/>
      <c r="BU138" s="215"/>
      <c r="BV138" s="226"/>
      <c r="BW138" s="222" t="str">
        <f t="shared" si="29"/>
        <v/>
      </c>
      <c r="BX138" s="223" t="str">
        <f t="shared" si="30"/>
        <v/>
      </c>
      <c r="BY138" s="215"/>
      <c r="BZ138" s="227"/>
      <c r="CA138" s="227"/>
      <c r="CB138" s="228"/>
      <c r="CC138" s="229"/>
      <c r="CD138" s="230" t="str">
        <f t="shared" si="31"/>
        <v/>
      </c>
      <c r="CE138" s="231" t="str">
        <f t="shared" si="32"/>
        <v/>
      </c>
      <c r="CF138" s="232" t="str">
        <f t="shared" si="33"/>
        <v/>
      </c>
      <c r="CG138" s="233" t="str">
        <f t="shared" si="34"/>
        <v/>
      </c>
      <c r="CH138" s="207" t="str">
        <f>IF(OR(G138="",CC138= ""), "", IF(ISERROR(SMALL((CJ138,CN138,CV138), 1)-CC138), "",  SMALL((CJ138,CN138,CV138), 1)-CC138))</f>
        <v/>
      </c>
      <c r="CI138" s="234"/>
      <c r="CJ138" s="235"/>
      <c r="CK138" s="236"/>
      <c r="CL138" s="222" t="str">
        <f t="shared" si="35"/>
        <v/>
      </c>
      <c r="CM138" s="237" t="str">
        <f>IF(OR(G138="", CJ138="",CK138=""), "", IF(ISERROR(SMALL((CN138,CV138), 1)-CK138), "",  SMALL((CN138,CV138), 1)-CK138))</f>
        <v/>
      </c>
      <c r="CN138" s="235"/>
      <c r="CO138" s="236"/>
      <c r="CP138" s="224" t="str">
        <f t="shared" si="36"/>
        <v/>
      </c>
      <c r="CQ138" s="235"/>
      <c r="CR138" s="236"/>
      <c r="CS138" s="222" t="str">
        <f t="shared" si="37"/>
        <v/>
      </c>
      <c r="CT138" s="237" t="str">
        <f t="shared" si="38"/>
        <v/>
      </c>
      <c r="CU138" s="238"/>
      <c r="CV138" s="239"/>
      <c r="CW138" s="240"/>
    </row>
    <row r="139" spans="2:101" ht="16.5" customHeight="1">
      <c r="B139" s="122"/>
      <c r="E139" s="122"/>
      <c r="F139" s="194"/>
      <c r="G139" s="195"/>
      <c r="H139" s="195"/>
      <c r="I139" s="195"/>
      <c r="J139" s="196"/>
      <c r="K139" s="197"/>
      <c r="L139" s="198"/>
      <c r="M139" s="199"/>
      <c r="N139" s="200"/>
      <c r="O139" s="201"/>
      <c r="P139" s="201"/>
      <c r="Q139" s="201"/>
      <c r="R139" s="201"/>
      <c r="S139" s="201"/>
      <c r="T139" s="201"/>
      <c r="U139" s="201"/>
      <c r="V139" s="201"/>
      <c r="W139" s="201"/>
      <c r="X139" s="202"/>
      <c r="Y139" s="203"/>
      <c r="Z139" s="204"/>
      <c r="AA139" s="205"/>
      <c r="AB139" s="206"/>
      <c r="AC139" s="206"/>
      <c r="AD139" s="194"/>
      <c r="AE139" s="201"/>
      <c r="AF139" s="207"/>
      <c r="AG139" s="208"/>
      <c r="AH139" s="209"/>
      <c r="AI139" s="210"/>
      <c r="AJ139" s="197"/>
      <c r="AK139" s="201"/>
      <c r="AL139" s="196"/>
      <c r="AM139" s="201"/>
      <c r="AN139" s="201"/>
      <c r="AO139" s="201"/>
      <c r="AP139" s="211"/>
      <c r="AQ139" s="212"/>
      <c r="AR139" s="201"/>
      <c r="AS139" s="201"/>
      <c r="AT139" s="201"/>
      <c r="AU139" s="201"/>
      <c r="AV139" s="202"/>
      <c r="AW139" s="194"/>
      <c r="AX139" s="201"/>
      <c r="AY139" s="213"/>
      <c r="AZ139" s="214"/>
      <c r="BA139" s="215"/>
      <c r="BB139" s="216"/>
      <c r="BC139" s="217" t="str">
        <f t="shared" si="26"/>
        <v/>
      </c>
      <c r="BD139" s="218"/>
      <c r="BE139" s="219"/>
      <c r="BF139" s="220"/>
      <c r="BG139" s="219"/>
      <c r="BH139" s="219"/>
      <c r="BI139" s="220"/>
      <c r="BJ139" s="218"/>
      <c r="BK139" s="219"/>
      <c r="BL139" s="197"/>
      <c r="BM139" s="215"/>
      <c r="BN139" s="221"/>
      <c r="BO139" s="222" t="str">
        <f t="shared" si="27"/>
        <v/>
      </c>
      <c r="BP139" s="217" t="str">
        <f t="shared" si="28"/>
        <v/>
      </c>
      <c r="BQ139" s="215"/>
      <c r="BR139" s="224"/>
      <c r="BS139" s="225"/>
      <c r="BT139" s="223"/>
      <c r="BU139" s="215"/>
      <c r="BV139" s="226"/>
      <c r="BW139" s="222" t="str">
        <f t="shared" si="29"/>
        <v/>
      </c>
      <c r="BX139" s="223" t="str">
        <f t="shared" si="30"/>
        <v/>
      </c>
      <c r="BY139" s="215"/>
      <c r="BZ139" s="227"/>
      <c r="CA139" s="227"/>
      <c r="CB139" s="228"/>
      <c r="CC139" s="229"/>
      <c r="CD139" s="230" t="str">
        <f t="shared" si="31"/>
        <v/>
      </c>
      <c r="CE139" s="231" t="str">
        <f t="shared" si="32"/>
        <v/>
      </c>
      <c r="CF139" s="232" t="str">
        <f t="shared" si="33"/>
        <v/>
      </c>
      <c r="CG139" s="233" t="str">
        <f t="shared" si="34"/>
        <v/>
      </c>
      <c r="CH139" s="207" t="str">
        <f>IF(OR(G139="",CC139= ""), "", IF(ISERROR(SMALL((CJ139,CN139,CV139), 1)-CC139), "",  SMALL((CJ139,CN139,CV139), 1)-CC139))</f>
        <v/>
      </c>
      <c r="CI139" s="234"/>
      <c r="CJ139" s="235"/>
      <c r="CK139" s="236"/>
      <c r="CL139" s="222" t="str">
        <f t="shared" si="35"/>
        <v/>
      </c>
      <c r="CM139" s="237" t="str">
        <f>IF(OR(G139="", CJ139="",CK139=""), "", IF(ISERROR(SMALL((CN139,CV139), 1)-CK139), "",  SMALL((CN139,CV139), 1)-CK139))</f>
        <v/>
      </c>
      <c r="CN139" s="235"/>
      <c r="CO139" s="236"/>
      <c r="CP139" s="224" t="str">
        <f t="shared" si="36"/>
        <v/>
      </c>
      <c r="CQ139" s="235"/>
      <c r="CR139" s="236"/>
      <c r="CS139" s="222" t="str">
        <f t="shared" si="37"/>
        <v/>
      </c>
      <c r="CT139" s="237" t="str">
        <f t="shared" si="38"/>
        <v/>
      </c>
      <c r="CU139" s="238"/>
      <c r="CV139" s="239"/>
      <c r="CW139" s="240"/>
    </row>
    <row r="140" spans="2:101" ht="16.5" customHeight="1">
      <c r="B140" s="122"/>
      <c r="E140" s="122"/>
      <c r="F140" s="194"/>
      <c r="G140" s="195"/>
      <c r="H140" s="195"/>
      <c r="I140" s="195"/>
      <c r="J140" s="196"/>
      <c r="K140" s="197"/>
      <c r="L140" s="198"/>
      <c r="M140" s="199"/>
      <c r="N140" s="200"/>
      <c r="O140" s="201"/>
      <c r="P140" s="201"/>
      <c r="Q140" s="201"/>
      <c r="R140" s="201"/>
      <c r="S140" s="201"/>
      <c r="T140" s="201"/>
      <c r="U140" s="201"/>
      <c r="V140" s="201"/>
      <c r="W140" s="201"/>
      <c r="X140" s="202"/>
      <c r="Y140" s="203"/>
      <c r="Z140" s="204"/>
      <c r="AA140" s="205"/>
      <c r="AB140" s="206"/>
      <c r="AC140" s="206"/>
      <c r="AD140" s="194"/>
      <c r="AE140" s="201"/>
      <c r="AF140" s="207"/>
      <c r="AG140" s="208"/>
      <c r="AH140" s="209"/>
      <c r="AI140" s="210"/>
      <c r="AJ140" s="197"/>
      <c r="AK140" s="201"/>
      <c r="AL140" s="196"/>
      <c r="AM140" s="201"/>
      <c r="AN140" s="201"/>
      <c r="AO140" s="201"/>
      <c r="AP140" s="211"/>
      <c r="AQ140" s="212"/>
      <c r="AR140" s="201"/>
      <c r="AS140" s="201"/>
      <c r="AT140" s="201"/>
      <c r="AU140" s="201"/>
      <c r="AV140" s="202"/>
      <c r="AW140" s="194"/>
      <c r="AX140" s="201"/>
      <c r="AY140" s="213"/>
      <c r="AZ140" s="214"/>
      <c r="BA140" s="215"/>
      <c r="BB140" s="216"/>
      <c r="BC140" s="217" t="str">
        <f t="shared" si="26"/>
        <v/>
      </c>
      <c r="BD140" s="218"/>
      <c r="BE140" s="219"/>
      <c r="BF140" s="220"/>
      <c r="BG140" s="219"/>
      <c r="BH140" s="219"/>
      <c r="BI140" s="220"/>
      <c r="BJ140" s="218"/>
      <c r="BK140" s="219"/>
      <c r="BL140" s="197"/>
      <c r="BM140" s="215"/>
      <c r="BN140" s="221"/>
      <c r="BO140" s="222" t="str">
        <f t="shared" si="27"/>
        <v/>
      </c>
      <c r="BP140" s="217" t="str">
        <f t="shared" si="28"/>
        <v/>
      </c>
      <c r="BQ140" s="215"/>
      <c r="BR140" s="224"/>
      <c r="BS140" s="225"/>
      <c r="BT140" s="223"/>
      <c r="BU140" s="215"/>
      <c r="BV140" s="226"/>
      <c r="BW140" s="222" t="str">
        <f t="shared" si="29"/>
        <v/>
      </c>
      <c r="BX140" s="223" t="str">
        <f t="shared" si="30"/>
        <v/>
      </c>
      <c r="BY140" s="215"/>
      <c r="BZ140" s="227"/>
      <c r="CA140" s="227"/>
      <c r="CB140" s="228"/>
      <c r="CC140" s="229"/>
      <c r="CD140" s="230" t="str">
        <f t="shared" si="31"/>
        <v/>
      </c>
      <c r="CE140" s="231" t="str">
        <f t="shared" si="32"/>
        <v/>
      </c>
      <c r="CF140" s="232" t="str">
        <f t="shared" si="33"/>
        <v/>
      </c>
      <c r="CG140" s="233" t="str">
        <f t="shared" si="34"/>
        <v/>
      </c>
      <c r="CH140" s="207" t="str">
        <f>IF(OR(G140="",CC140= ""), "", IF(ISERROR(SMALL((CJ140,CN140,CV140), 1)-CC140), "",  SMALL((CJ140,CN140,CV140), 1)-CC140))</f>
        <v/>
      </c>
      <c r="CI140" s="234"/>
      <c r="CJ140" s="235"/>
      <c r="CK140" s="236"/>
      <c r="CL140" s="222" t="str">
        <f t="shared" si="35"/>
        <v/>
      </c>
      <c r="CM140" s="237" t="str">
        <f>IF(OR(G140="", CJ140="",CK140=""), "", IF(ISERROR(SMALL((CN140,CV140), 1)-CK140), "",  SMALL((CN140,CV140), 1)-CK140))</f>
        <v/>
      </c>
      <c r="CN140" s="235"/>
      <c r="CO140" s="236"/>
      <c r="CP140" s="224" t="str">
        <f t="shared" si="36"/>
        <v/>
      </c>
      <c r="CQ140" s="235"/>
      <c r="CR140" s="236"/>
      <c r="CS140" s="222" t="str">
        <f t="shared" si="37"/>
        <v/>
      </c>
      <c r="CT140" s="237" t="str">
        <f t="shared" si="38"/>
        <v/>
      </c>
      <c r="CU140" s="238"/>
      <c r="CV140" s="239"/>
      <c r="CW140" s="240"/>
    </row>
    <row r="141" spans="2:101" ht="16.5" customHeight="1">
      <c r="B141" s="122"/>
      <c r="E141" s="122"/>
      <c r="F141" s="194"/>
      <c r="G141" s="195"/>
      <c r="H141" s="195"/>
      <c r="I141" s="195"/>
      <c r="J141" s="196"/>
      <c r="K141" s="197"/>
      <c r="L141" s="198"/>
      <c r="M141" s="199"/>
      <c r="N141" s="200"/>
      <c r="O141" s="201"/>
      <c r="P141" s="201"/>
      <c r="Q141" s="201"/>
      <c r="R141" s="201"/>
      <c r="S141" s="201"/>
      <c r="T141" s="201"/>
      <c r="U141" s="201"/>
      <c r="V141" s="201"/>
      <c r="W141" s="201"/>
      <c r="X141" s="202"/>
      <c r="Y141" s="203"/>
      <c r="Z141" s="204"/>
      <c r="AA141" s="205"/>
      <c r="AB141" s="206"/>
      <c r="AC141" s="206"/>
      <c r="AD141" s="194"/>
      <c r="AE141" s="201"/>
      <c r="AF141" s="207"/>
      <c r="AG141" s="208"/>
      <c r="AH141" s="209"/>
      <c r="AI141" s="210"/>
      <c r="AJ141" s="197"/>
      <c r="AK141" s="201"/>
      <c r="AL141" s="196"/>
      <c r="AM141" s="201"/>
      <c r="AN141" s="201"/>
      <c r="AO141" s="201"/>
      <c r="AP141" s="211"/>
      <c r="AQ141" s="212"/>
      <c r="AR141" s="201"/>
      <c r="AS141" s="201"/>
      <c r="AT141" s="201"/>
      <c r="AU141" s="201"/>
      <c r="AV141" s="202"/>
      <c r="AW141" s="194"/>
      <c r="AX141" s="201"/>
      <c r="AY141" s="213"/>
      <c r="AZ141" s="214"/>
      <c r="BA141" s="215"/>
      <c r="BB141" s="216"/>
      <c r="BC141" s="217" t="str">
        <f t="shared" si="26"/>
        <v/>
      </c>
      <c r="BD141" s="218"/>
      <c r="BE141" s="219"/>
      <c r="BF141" s="220"/>
      <c r="BG141" s="219"/>
      <c r="BH141" s="219"/>
      <c r="BI141" s="220"/>
      <c r="BJ141" s="218"/>
      <c r="BK141" s="219"/>
      <c r="BL141" s="197"/>
      <c r="BM141" s="215"/>
      <c r="BN141" s="221"/>
      <c r="BO141" s="222" t="str">
        <f t="shared" si="27"/>
        <v/>
      </c>
      <c r="BP141" s="217" t="str">
        <f t="shared" si="28"/>
        <v/>
      </c>
      <c r="BQ141" s="215"/>
      <c r="BR141" s="224"/>
      <c r="BS141" s="225"/>
      <c r="BT141" s="223"/>
      <c r="BU141" s="215"/>
      <c r="BV141" s="226"/>
      <c r="BW141" s="222" t="str">
        <f t="shared" si="29"/>
        <v/>
      </c>
      <c r="BX141" s="223" t="str">
        <f t="shared" si="30"/>
        <v/>
      </c>
      <c r="BY141" s="215"/>
      <c r="BZ141" s="227"/>
      <c r="CA141" s="227"/>
      <c r="CB141" s="228"/>
      <c r="CC141" s="229"/>
      <c r="CD141" s="230" t="str">
        <f t="shared" si="31"/>
        <v/>
      </c>
      <c r="CE141" s="231" t="str">
        <f t="shared" si="32"/>
        <v/>
      </c>
      <c r="CF141" s="232" t="str">
        <f t="shared" si="33"/>
        <v/>
      </c>
      <c r="CG141" s="233" t="str">
        <f t="shared" si="34"/>
        <v/>
      </c>
      <c r="CH141" s="207" t="str">
        <f>IF(OR(G141="",CC141= ""), "", IF(ISERROR(SMALL((CJ141,CN141,CV141), 1)-CC141), "",  SMALL((CJ141,CN141,CV141), 1)-CC141))</f>
        <v/>
      </c>
      <c r="CI141" s="234"/>
      <c r="CJ141" s="235"/>
      <c r="CK141" s="236"/>
      <c r="CL141" s="222" t="str">
        <f t="shared" si="35"/>
        <v/>
      </c>
      <c r="CM141" s="237" t="str">
        <f>IF(OR(G141="", CJ141="",CK141=""), "", IF(ISERROR(SMALL((CN141,CV141), 1)-CK141), "",  SMALL((CN141,CV141), 1)-CK141))</f>
        <v/>
      </c>
      <c r="CN141" s="235"/>
      <c r="CO141" s="236"/>
      <c r="CP141" s="224" t="str">
        <f t="shared" si="36"/>
        <v/>
      </c>
      <c r="CQ141" s="235"/>
      <c r="CR141" s="236"/>
      <c r="CS141" s="222" t="str">
        <f t="shared" si="37"/>
        <v/>
      </c>
      <c r="CT141" s="237" t="str">
        <f t="shared" si="38"/>
        <v/>
      </c>
      <c r="CU141" s="238"/>
      <c r="CV141" s="239"/>
      <c r="CW141" s="240"/>
    </row>
    <row r="142" spans="2:101" ht="16.5" customHeight="1">
      <c r="B142" s="122"/>
      <c r="E142" s="122"/>
      <c r="F142" s="194"/>
      <c r="G142" s="195"/>
      <c r="H142" s="195"/>
      <c r="I142" s="195"/>
      <c r="J142" s="196"/>
      <c r="K142" s="197"/>
      <c r="L142" s="198"/>
      <c r="M142" s="199"/>
      <c r="N142" s="200"/>
      <c r="O142" s="201"/>
      <c r="P142" s="201"/>
      <c r="Q142" s="201"/>
      <c r="R142" s="201"/>
      <c r="S142" s="201"/>
      <c r="T142" s="201"/>
      <c r="U142" s="201"/>
      <c r="V142" s="201"/>
      <c r="W142" s="201"/>
      <c r="X142" s="202"/>
      <c r="Y142" s="203"/>
      <c r="Z142" s="204"/>
      <c r="AA142" s="205"/>
      <c r="AB142" s="206"/>
      <c r="AC142" s="206"/>
      <c r="AD142" s="194"/>
      <c r="AE142" s="201"/>
      <c r="AF142" s="207"/>
      <c r="AG142" s="208"/>
      <c r="AH142" s="209"/>
      <c r="AI142" s="210"/>
      <c r="AJ142" s="197"/>
      <c r="AK142" s="201"/>
      <c r="AL142" s="196"/>
      <c r="AM142" s="201"/>
      <c r="AN142" s="201"/>
      <c r="AO142" s="201"/>
      <c r="AP142" s="211"/>
      <c r="AQ142" s="212"/>
      <c r="AR142" s="201"/>
      <c r="AS142" s="201"/>
      <c r="AT142" s="201"/>
      <c r="AU142" s="201"/>
      <c r="AV142" s="202"/>
      <c r="AW142" s="194"/>
      <c r="AX142" s="201"/>
      <c r="AY142" s="213"/>
      <c r="AZ142" s="214"/>
      <c r="BA142" s="215"/>
      <c r="BB142" s="216"/>
      <c r="BC142" s="217" t="str">
        <f t="shared" si="26"/>
        <v/>
      </c>
      <c r="BD142" s="218"/>
      <c r="BE142" s="219"/>
      <c r="BF142" s="220"/>
      <c r="BG142" s="219"/>
      <c r="BH142" s="219"/>
      <c r="BI142" s="220"/>
      <c r="BJ142" s="218"/>
      <c r="BK142" s="219"/>
      <c r="BL142" s="197"/>
      <c r="BM142" s="215"/>
      <c r="BN142" s="221"/>
      <c r="BO142" s="222" t="str">
        <f t="shared" si="27"/>
        <v/>
      </c>
      <c r="BP142" s="217" t="str">
        <f t="shared" si="28"/>
        <v/>
      </c>
      <c r="BQ142" s="215"/>
      <c r="BR142" s="224"/>
      <c r="BS142" s="225"/>
      <c r="BT142" s="223"/>
      <c r="BU142" s="215"/>
      <c r="BV142" s="226"/>
      <c r="BW142" s="222" t="str">
        <f t="shared" si="29"/>
        <v/>
      </c>
      <c r="BX142" s="223" t="str">
        <f t="shared" si="30"/>
        <v/>
      </c>
      <c r="BY142" s="215"/>
      <c r="BZ142" s="227"/>
      <c r="CA142" s="227"/>
      <c r="CB142" s="228"/>
      <c r="CC142" s="229"/>
      <c r="CD142" s="230" t="str">
        <f t="shared" si="31"/>
        <v/>
      </c>
      <c r="CE142" s="231" t="str">
        <f t="shared" si="32"/>
        <v/>
      </c>
      <c r="CF142" s="232" t="str">
        <f t="shared" si="33"/>
        <v/>
      </c>
      <c r="CG142" s="233" t="str">
        <f t="shared" si="34"/>
        <v/>
      </c>
      <c r="CH142" s="207" t="str">
        <f>IF(OR(G142="",CC142= ""), "", IF(ISERROR(SMALL((CJ142,CN142,CV142), 1)-CC142), "",  SMALL((CJ142,CN142,CV142), 1)-CC142))</f>
        <v/>
      </c>
      <c r="CI142" s="234"/>
      <c r="CJ142" s="235"/>
      <c r="CK142" s="236"/>
      <c r="CL142" s="222" t="str">
        <f t="shared" si="35"/>
        <v/>
      </c>
      <c r="CM142" s="237" t="str">
        <f>IF(OR(G142="", CJ142="",CK142=""), "", IF(ISERROR(SMALL((CN142,CV142), 1)-CK142), "",  SMALL((CN142,CV142), 1)-CK142))</f>
        <v/>
      </c>
      <c r="CN142" s="235"/>
      <c r="CO142" s="236"/>
      <c r="CP142" s="224" t="str">
        <f t="shared" si="36"/>
        <v/>
      </c>
      <c r="CQ142" s="235"/>
      <c r="CR142" s="236"/>
      <c r="CS142" s="222" t="str">
        <f t="shared" si="37"/>
        <v/>
      </c>
      <c r="CT142" s="237" t="str">
        <f t="shared" si="38"/>
        <v/>
      </c>
      <c r="CU142" s="238"/>
      <c r="CV142" s="239"/>
      <c r="CW142" s="240"/>
    </row>
    <row r="143" spans="2:101" ht="16.5" customHeight="1">
      <c r="B143" s="122"/>
      <c r="E143" s="122"/>
      <c r="F143" s="194"/>
      <c r="G143" s="195"/>
      <c r="H143" s="195"/>
      <c r="I143" s="195"/>
      <c r="J143" s="196"/>
      <c r="K143" s="197"/>
      <c r="L143" s="198"/>
      <c r="M143" s="199"/>
      <c r="N143" s="200"/>
      <c r="O143" s="201"/>
      <c r="P143" s="201"/>
      <c r="Q143" s="201"/>
      <c r="R143" s="201"/>
      <c r="S143" s="201"/>
      <c r="T143" s="201"/>
      <c r="U143" s="201"/>
      <c r="V143" s="201"/>
      <c r="W143" s="201"/>
      <c r="X143" s="202"/>
      <c r="Y143" s="203"/>
      <c r="Z143" s="204"/>
      <c r="AA143" s="205"/>
      <c r="AB143" s="206"/>
      <c r="AC143" s="206"/>
      <c r="AD143" s="194"/>
      <c r="AE143" s="201"/>
      <c r="AF143" s="207"/>
      <c r="AG143" s="208"/>
      <c r="AH143" s="209"/>
      <c r="AI143" s="210"/>
      <c r="AJ143" s="197"/>
      <c r="AK143" s="201"/>
      <c r="AL143" s="196"/>
      <c r="AM143" s="201"/>
      <c r="AN143" s="201"/>
      <c r="AO143" s="201"/>
      <c r="AP143" s="211"/>
      <c r="AQ143" s="212"/>
      <c r="AR143" s="201"/>
      <c r="AS143" s="201"/>
      <c r="AT143" s="201"/>
      <c r="AU143" s="201"/>
      <c r="AV143" s="202"/>
      <c r="AW143" s="194"/>
      <c r="AX143" s="201"/>
      <c r="AY143" s="213"/>
      <c r="AZ143" s="214"/>
      <c r="BA143" s="215"/>
      <c r="BB143" s="216"/>
      <c r="BC143" s="217" t="str">
        <f t="shared" si="26"/>
        <v/>
      </c>
      <c r="BD143" s="218"/>
      <c r="BE143" s="219"/>
      <c r="BF143" s="220"/>
      <c r="BG143" s="219"/>
      <c r="BH143" s="219"/>
      <c r="BI143" s="220"/>
      <c r="BJ143" s="218"/>
      <c r="BK143" s="219"/>
      <c r="BL143" s="197"/>
      <c r="BM143" s="215"/>
      <c r="BN143" s="221"/>
      <c r="BO143" s="222" t="str">
        <f t="shared" si="27"/>
        <v/>
      </c>
      <c r="BP143" s="217" t="str">
        <f t="shared" si="28"/>
        <v/>
      </c>
      <c r="BQ143" s="215"/>
      <c r="BR143" s="224"/>
      <c r="BS143" s="225"/>
      <c r="BT143" s="223"/>
      <c r="BU143" s="215"/>
      <c r="BV143" s="226"/>
      <c r="BW143" s="222" t="str">
        <f t="shared" si="29"/>
        <v/>
      </c>
      <c r="BX143" s="223" t="str">
        <f t="shared" si="30"/>
        <v/>
      </c>
      <c r="BY143" s="215"/>
      <c r="BZ143" s="227"/>
      <c r="CA143" s="227"/>
      <c r="CB143" s="228"/>
      <c r="CC143" s="229"/>
      <c r="CD143" s="230" t="str">
        <f t="shared" si="31"/>
        <v/>
      </c>
      <c r="CE143" s="231" t="str">
        <f t="shared" si="32"/>
        <v/>
      </c>
      <c r="CF143" s="232" t="str">
        <f t="shared" si="33"/>
        <v/>
      </c>
      <c r="CG143" s="233" t="str">
        <f t="shared" si="34"/>
        <v/>
      </c>
      <c r="CH143" s="207" t="str">
        <f>IF(OR(G143="",CC143= ""), "", IF(ISERROR(SMALL((CJ143,CN143,CV143), 1)-CC143), "",  SMALL((CJ143,CN143,CV143), 1)-CC143))</f>
        <v/>
      </c>
      <c r="CI143" s="234"/>
      <c r="CJ143" s="235"/>
      <c r="CK143" s="236"/>
      <c r="CL143" s="222" t="str">
        <f t="shared" si="35"/>
        <v/>
      </c>
      <c r="CM143" s="237" t="str">
        <f>IF(OR(G143="", CJ143="",CK143=""), "", IF(ISERROR(SMALL((CN143,CV143), 1)-CK143), "",  SMALL((CN143,CV143), 1)-CK143))</f>
        <v/>
      </c>
      <c r="CN143" s="235"/>
      <c r="CO143" s="236"/>
      <c r="CP143" s="224" t="str">
        <f t="shared" si="36"/>
        <v/>
      </c>
      <c r="CQ143" s="235"/>
      <c r="CR143" s="236"/>
      <c r="CS143" s="222" t="str">
        <f t="shared" si="37"/>
        <v/>
      </c>
      <c r="CT143" s="237" t="str">
        <f t="shared" si="38"/>
        <v/>
      </c>
      <c r="CU143" s="238"/>
      <c r="CV143" s="239"/>
      <c r="CW143" s="240"/>
    </row>
    <row r="144" spans="2:101" ht="16.5" customHeight="1">
      <c r="B144" s="122"/>
      <c r="E144" s="122"/>
      <c r="F144" s="194"/>
      <c r="G144" s="195"/>
      <c r="H144" s="195"/>
      <c r="I144" s="195"/>
      <c r="J144" s="196"/>
      <c r="K144" s="197"/>
      <c r="L144" s="198"/>
      <c r="M144" s="199"/>
      <c r="N144" s="200"/>
      <c r="O144" s="201"/>
      <c r="P144" s="201"/>
      <c r="Q144" s="201"/>
      <c r="R144" s="201"/>
      <c r="S144" s="201"/>
      <c r="T144" s="201"/>
      <c r="U144" s="201"/>
      <c r="V144" s="201"/>
      <c r="W144" s="201"/>
      <c r="X144" s="202"/>
      <c r="Y144" s="203"/>
      <c r="Z144" s="204"/>
      <c r="AA144" s="205"/>
      <c r="AB144" s="206"/>
      <c r="AC144" s="206"/>
      <c r="AD144" s="194"/>
      <c r="AE144" s="201"/>
      <c r="AF144" s="207"/>
      <c r="AG144" s="208"/>
      <c r="AH144" s="209"/>
      <c r="AI144" s="210"/>
      <c r="AJ144" s="197"/>
      <c r="AK144" s="201"/>
      <c r="AL144" s="196"/>
      <c r="AM144" s="201"/>
      <c r="AN144" s="201"/>
      <c r="AO144" s="201"/>
      <c r="AP144" s="211"/>
      <c r="AQ144" s="212"/>
      <c r="AR144" s="201"/>
      <c r="AS144" s="201"/>
      <c r="AT144" s="201"/>
      <c r="AU144" s="201"/>
      <c r="AV144" s="202"/>
      <c r="AW144" s="194"/>
      <c r="AX144" s="201"/>
      <c r="AY144" s="213"/>
      <c r="AZ144" s="214"/>
      <c r="BA144" s="215"/>
      <c r="BB144" s="216"/>
      <c r="BC144" s="217" t="str">
        <f t="shared" si="26"/>
        <v/>
      </c>
      <c r="BD144" s="218"/>
      <c r="BE144" s="219"/>
      <c r="BF144" s="220"/>
      <c r="BG144" s="219"/>
      <c r="BH144" s="219"/>
      <c r="BI144" s="220"/>
      <c r="BJ144" s="218"/>
      <c r="BK144" s="219"/>
      <c r="BL144" s="197"/>
      <c r="BM144" s="215"/>
      <c r="BN144" s="221"/>
      <c r="BO144" s="222" t="str">
        <f t="shared" si="27"/>
        <v/>
      </c>
      <c r="BP144" s="217" t="str">
        <f t="shared" si="28"/>
        <v/>
      </c>
      <c r="BQ144" s="215"/>
      <c r="BR144" s="224"/>
      <c r="BS144" s="225"/>
      <c r="BT144" s="223"/>
      <c r="BU144" s="215"/>
      <c r="BV144" s="226"/>
      <c r="BW144" s="222" t="str">
        <f t="shared" si="29"/>
        <v/>
      </c>
      <c r="BX144" s="223" t="str">
        <f t="shared" si="30"/>
        <v/>
      </c>
      <c r="BY144" s="215"/>
      <c r="BZ144" s="227"/>
      <c r="CA144" s="227"/>
      <c r="CB144" s="228"/>
      <c r="CC144" s="229"/>
      <c r="CD144" s="230" t="str">
        <f t="shared" si="31"/>
        <v/>
      </c>
      <c r="CE144" s="231" t="str">
        <f t="shared" si="32"/>
        <v/>
      </c>
      <c r="CF144" s="232" t="str">
        <f t="shared" si="33"/>
        <v/>
      </c>
      <c r="CG144" s="233" t="str">
        <f t="shared" si="34"/>
        <v/>
      </c>
      <c r="CH144" s="207" t="str">
        <f>IF(OR(G144="",CC144= ""), "", IF(ISERROR(SMALL((CJ144,CN144,CV144), 1)-CC144), "",  SMALL((CJ144,CN144,CV144), 1)-CC144))</f>
        <v/>
      </c>
      <c r="CI144" s="234"/>
      <c r="CJ144" s="235"/>
      <c r="CK144" s="236"/>
      <c r="CL144" s="222" t="str">
        <f t="shared" si="35"/>
        <v/>
      </c>
      <c r="CM144" s="237" t="str">
        <f>IF(OR(G144="", CJ144="",CK144=""), "", IF(ISERROR(SMALL((CN144,CV144), 1)-CK144), "",  SMALL((CN144,CV144), 1)-CK144))</f>
        <v/>
      </c>
      <c r="CN144" s="235"/>
      <c r="CO144" s="236"/>
      <c r="CP144" s="224" t="str">
        <f t="shared" si="36"/>
        <v/>
      </c>
      <c r="CQ144" s="235"/>
      <c r="CR144" s="236"/>
      <c r="CS144" s="222" t="str">
        <f t="shared" si="37"/>
        <v/>
      </c>
      <c r="CT144" s="237" t="str">
        <f t="shared" si="38"/>
        <v/>
      </c>
      <c r="CU144" s="238"/>
      <c r="CV144" s="239"/>
      <c r="CW144" s="240"/>
    </row>
    <row r="145" spans="2:101" ht="16.5" customHeight="1">
      <c r="B145" s="122"/>
      <c r="E145" s="122"/>
      <c r="F145" s="194"/>
      <c r="G145" s="195"/>
      <c r="H145" s="195"/>
      <c r="I145" s="195"/>
      <c r="J145" s="196"/>
      <c r="K145" s="197"/>
      <c r="L145" s="198"/>
      <c r="M145" s="199"/>
      <c r="N145" s="200"/>
      <c r="O145" s="201"/>
      <c r="P145" s="201"/>
      <c r="Q145" s="201"/>
      <c r="R145" s="201"/>
      <c r="S145" s="201"/>
      <c r="T145" s="201"/>
      <c r="U145" s="201"/>
      <c r="V145" s="201"/>
      <c r="W145" s="201"/>
      <c r="X145" s="202"/>
      <c r="Y145" s="203"/>
      <c r="Z145" s="204"/>
      <c r="AA145" s="205"/>
      <c r="AB145" s="206"/>
      <c r="AC145" s="206"/>
      <c r="AD145" s="194"/>
      <c r="AE145" s="201"/>
      <c r="AF145" s="207"/>
      <c r="AG145" s="208"/>
      <c r="AH145" s="209"/>
      <c r="AI145" s="210"/>
      <c r="AJ145" s="197"/>
      <c r="AK145" s="201"/>
      <c r="AL145" s="196"/>
      <c r="AM145" s="201"/>
      <c r="AN145" s="201"/>
      <c r="AO145" s="201"/>
      <c r="AP145" s="211"/>
      <c r="AQ145" s="212"/>
      <c r="AR145" s="201"/>
      <c r="AS145" s="201"/>
      <c r="AT145" s="201"/>
      <c r="AU145" s="201"/>
      <c r="AV145" s="202"/>
      <c r="AW145" s="194"/>
      <c r="AX145" s="201"/>
      <c r="AY145" s="213"/>
      <c r="AZ145" s="214"/>
      <c r="BA145" s="215"/>
      <c r="BB145" s="216"/>
      <c r="BC145" s="217" t="str">
        <f t="shared" si="26"/>
        <v/>
      </c>
      <c r="BD145" s="218"/>
      <c r="BE145" s="219"/>
      <c r="BF145" s="220"/>
      <c r="BG145" s="219"/>
      <c r="BH145" s="219"/>
      <c r="BI145" s="220"/>
      <c r="BJ145" s="218"/>
      <c r="BK145" s="219"/>
      <c r="BL145" s="197"/>
      <c r="BM145" s="215"/>
      <c r="BN145" s="221"/>
      <c r="BO145" s="222" t="str">
        <f t="shared" si="27"/>
        <v/>
      </c>
      <c r="BP145" s="217" t="str">
        <f t="shared" si="28"/>
        <v/>
      </c>
      <c r="BQ145" s="215"/>
      <c r="BR145" s="224"/>
      <c r="BS145" s="225"/>
      <c r="BT145" s="223"/>
      <c r="BU145" s="215"/>
      <c r="BV145" s="226"/>
      <c r="BW145" s="222" t="str">
        <f t="shared" si="29"/>
        <v/>
      </c>
      <c r="BX145" s="223" t="str">
        <f t="shared" si="30"/>
        <v/>
      </c>
      <c r="BY145" s="215"/>
      <c r="BZ145" s="227"/>
      <c r="CA145" s="227"/>
      <c r="CB145" s="228"/>
      <c r="CC145" s="229"/>
      <c r="CD145" s="230" t="str">
        <f t="shared" si="31"/>
        <v/>
      </c>
      <c r="CE145" s="231" t="str">
        <f t="shared" si="32"/>
        <v/>
      </c>
      <c r="CF145" s="232" t="str">
        <f t="shared" si="33"/>
        <v/>
      </c>
      <c r="CG145" s="233" t="str">
        <f t="shared" si="34"/>
        <v/>
      </c>
      <c r="CH145" s="207" t="str">
        <f>IF(OR(G145="",CC145= ""), "", IF(ISERROR(SMALL((CJ145,CN145,CV145), 1)-CC145), "",  SMALL((CJ145,CN145,CV145), 1)-CC145))</f>
        <v/>
      </c>
      <c r="CI145" s="234"/>
      <c r="CJ145" s="235"/>
      <c r="CK145" s="236"/>
      <c r="CL145" s="222" t="str">
        <f t="shared" si="35"/>
        <v/>
      </c>
      <c r="CM145" s="237" t="str">
        <f>IF(OR(G145="", CJ145="",CK145=""), "", IF(ISERROR(SMALL((CN145,CV145), 1)-CK145), "",  SMALL((CN145,CV145), 1)-CK145))</f>
        <v/>
      </c>
      <c r="CN145" s="235"/>
      <c r="CO145" s="236"/>
      <c r="CP145" s="224" t="str">
        <f t="shared" si="36"/>
        <v/>
      </c>
      <c r="CQ145" s="235"/>
      <c r="CR145" s="236"/>
      <c r="CS145" s="222" t="str">
        <f t="shared" si="37"/>
        <v/>
      </c>
      <c r="CT145" s="237" t="str">
        <f t="shared" si="38"/>
        <v/>
      </c>
      <c r="CU145" s="238"/>
      <c r="CV145" s="239"/>
      <c r="CW145" s="240"/>
    </row>
    <row r="146" spans="2:101" ht="16.5" customHeight="1">
      <c r="B146" s="122"/>
      <c r="E146" s="122"/>
      <c r="F146" s="194"/>
      <c r="G146" s="195"/>
      <c r="H146" s="195"/>
      <c r="I146" s="195"/>
      <c r="J146" s="196"/>
      <c r="K146" s="197"/>
      <c r="L146" s="198"/>
      <c r="M146" s="199"/>
      <c r="N146" s="200"/>
      <c r="O146" s="201"/>
      <c r="P146" s="201"/>
      <c r="Q146" s="201"/>
      <c r="R146" s="201"/>
      <c r="S146" s="201"/>
      <c r="T146" s="201"/>
      <c r="U146" s="201"/>
      <c r="V146" s="201"/>
      <c r="W146" s="201"/>
      <c r="X146" s="202"/>
      <c r="Y146" s="203"/>
      <c r="Z146" s="204"/>
      <c r="AA146" s="205"/>
      <c r="AB146" s="206"/>
      <c r="AC146" s="206"/>
      <c r="AD146" s="194"/>
      <c r="AE146" s="201"/>
      <c r="AF146" s="207"/>
      <c r="AG146" s="208"/>
      <c r="AH146" s="209"/>
      <c r="AI146" s="210"/>
      <c r="AJ146" s="197"/>
      <c r="AK146" s="201"/>
      <c r="AL146" s="196"/>
      <c r="AM146" s="201"/>
      <c r="AN146" s="201"/>
      <c r="AO146" s="201"/>
      <c r="AP146" s="211"/>
      <c r="AQ146" s="212"/>
      <c r="AR146" s="201"/>
      <c r="AS146" s="201"/>
      <c r="AT146" s="201"/>
      <c r="AU146" s="201"/>
      <c r="AV146" s="202"/>
      <c r="AW146" s="194"/>
      <c r="AX146" s="201"/>
      <c r="AY146" s="213"/>
      <c r="AZ146" s="214"/>
      <c r="BA146" s="215"/>
      <c r="BB146" s="216"/>
      <c r="BC146" s="217" t="str">
        <f t="shared" si="26"/>
        <v/>
      </c>
      <c r="BD146" s="218"/>
      <c r="BE146" s="219"/>
      <c r="BF146" s="220"/>
      <c r="BG146" s="219"/>
      <c r="BH146" s="219"/>
      <c r="BI146" s="220"/>
      <c r="BJ146" s="218"/>
      <c r="BK146" s="219"/>
      <c r="BL146" s="197"/>
      <c r="BM146" s="215"/>
      <c r="BN146" s="221"/>
      <c r="BO146" s="222" t="str">
        <f t="shared" si="27"/>
        <v/>
      </c>
      <c r="BP146" s="217" t="str">
        <f t="shared" si="28"/>
        <v/>
      </c>
      <c r="BQ146" s="215"/>
      <c r="BR146" s="224"/>
      <c r="BS146" s="225"/>
      <c r="BT146" s="223"/>
      <c r="BU146" s="215"/>
      <c r="BV146" s="226"/>
      <c r="BW146" s="222" t="str">
        <f t="shared" si="29"/>
        <v/>
      </c>
      <c r="BX146" s="223" t="str">
        <f t="shared" si="30"/>
        <v/>
      </c>
      <c r="BY146" s="215"/>
      <c r="BZ146" s="227"/>
      <c r="CA146" s="227"/>
      <c r="CB146" s="228"/>
      <c r="CC146" s="229"/>
      <c r="CD146" s="230" t="str">
        <f t="shared" si="31"/>
        <v/>
      </c>
      <c r="CE146" s="231" t="str">
        <f t="shared" si="32"/>
        <v/>
      </c>
      <c r="CF146" s="232" t="str">
        <f t="shared" si="33"/>
        <v/>
      </c>
      <c r="CG146" s="233" t="str">
        <f t="shared" si="34"/>
        <v/>
      </c>
      <c r="CH146" s="207" t="str">
        <f>IF(OR(G146="",CC146= ""), "", IF(ISERROR(SMALL((CJ146,CN146,CV146), 1)-CC146), "",  SMALL((CJ146,CN146,CV146), 1)-CC146))</f>
        <v/>
      </c>
      <c r="CI146" s="234"/>
      <c r="CJ146" s="235"/>
      <c r="CK146" s="236"/>
      <c r="CL146" s="222" t="str">
        <f t="shared" si="35"/>
        <v/>
      </c>
      <c r="CM146" s="237" t="str">
        <f>IF(OR(G146="", CJ146="",CK146=""), "", IF(ISERROR(SMALL((CN146,CV146), 1)-CK146), "",  SMALL((CN146,CV146), 1)-CK146))</f>
        <v/>
      </c>
      <c r="CN146" s="235"/>
      <c r="CO146" s="236"/>
      <c r="CP146" s="224" t="str">
        <f t="shared" si="36"/>
        <v/>
      </c>
      <c r="CQ146" s="235"/>
      <c r="CR146" s="236"/>
      <c r="CS146" s="222" t="str">
        <f t="shared" si="37"/>
        <v/>
      </c>
      <c r="CT146" s="237" t="str">
        <f t="shared" si="38"/>
        <v/>
      </c>
      <c r="CU146" s="238"/>
      <c r="CV146" s="239"/>
      <c r="CW146" s="240"/>
    </row>
    <row r="147" spans="2:101" ht="16.5" customHeight="1">
      <c r="B147" s="122"/>
      <c r="E147" s="122"/>
      <c r="F147" s="194"/>
      <c r="G147" s="195"/>
      <c r="H147" s="195"/>
      <c r="I147" s="195"/>
      <c r="J147" s="196"/>
      <c r="K147" s="197"/>
      <c r="L147" s="198"/>
      <c r="M147" s="199"/>
      <c r="N147" s="200"/>
      <c r="O147" s="201"/>
      <c r="P147" s="201"/>
      <c r="Q147" s="201"/>
      <c r="R147" s="201"/>
      <c r="S147" s="201"/>
      <c r="T147" s="201"/>
      <c r="U147" s="201"/>
      <c r="V147" s="201"/>
      <c r="W147" s="201"/>
      <c r="X147" s="202"/>
      <c r="Y147" s="203"/>
      <c r="Z147" s="204"/>
      <c r="AA147" s="205"/>
      <c r="AB147" s="206"/>
      <c r="AC147" s="206"/>
      <c r="AD147" s="194"/>
      <c r="AE147" s="201"/>
      <c r="AF147" s="207"/>
      <c r="AG147" s="208"/>
      <c r="AH147" s="209"/>
      <c r="AI147" s="210"/>
      <c r="AJ147" s="197"/>
      <c r="AK147" s="201"/>
      <c r="AL147" s="196"/>
      <c r="AM147" s="201"/>
      <c r="AN147" s="201"/>
      <c r="AO147" s="201"/>
      <c r="AP147" s="211"/>
      <c r="AQ147" s="212"/>
      <c r="AR147" s="201"/>
      <c r="AS147" s="201"/>
      <c r="AT147" s="201"/>
      <c r="AU147" s="201"/>
      <c r="AV147" s="202"/>
      <c r="AW147" s="194"/>
      <c r="AX147" s="201"/>
      <c r="AY147" s="213"/>
      <c r="AZ147" s="214"/>
      <c r="BA147" s="215"/>
      <c r="BB147" s="216"/>
      <c r="BC147" s="217" t="str">
        <f t="shared" si="26"/>
        <v/>
      </c>
      <c r="BD147" s="218"/>
      <c r="BE147" s="219"/>
      <c r="BF147" s="220"/>
      <c r="BG147" s="219"/>
      <c r="BH147" s="219"/>
      <c r="BI147" s="220"/>
      <c r="BJ147" s="218"/>
      <c r="BK147" s="219"/>
      <c r="BL147" s="197"/>
      <c r="BM147" s="215"/>
      <c r="BN147" s="221"/>
      <c r="BO147" s="222" t="str">
        <f t="shared" si="27"/>
        <v/>
      </c>
      <c r="BP147" s="217" t="str">
        <f t="shared" si="28"/>
        <v/>
      </c>
      <c r="BQ147" s="215"/>
      <c r="BR147" s="224"/>
      <c r="BS147" s="225"/>
      <c r="BT147" s="223"/>
      <c r="BU147" s="215"/>
      <c r="BV147" s="226"/>
      <c r="BW147" s="222" t="str">
        <f t="shared" si="29"/>
        <v/>
      </c>
      <c r="BX147" s="223" t="str">
        <f t="shared" si="30"/>
        <v/>
      </c>
      <c r="BY147" s="215"/>
      <c r="BZ147" s="227"/>
      <c r="CA147" s="227"/>
      <c r="CB147" s="228"/>
      <c r="CC147" s="229"/>
      <c r="CD147" s="230" t="str">
        <f t="shared" si="31"/>
        <v/>
      </c>
      <c r="CE147" s="231" t="str">
        <f t="shared" si="32"/>
        <v/>
      </c>
      <c r="CF147" s="232" t="str">
        <f t="shared" si="33"/>
        <v/>
      </c>
      <c r="CG147" s="233" t="str">
        <f t="shared" si="34"/>
        <v/>
      </c>
      <c r="CH147" s="207" t="str">
        <f>IF(OR(G147="",CC147= ""), "", IF(ISERROR(SMALL((CJ147,CN147,CV147), 1)-CC147), "",  SMALL((CJ147,CN147,CV147), 1)-CC147))</f>
        <v/>
      </c>
      <c r="CI147" s="234"/>
      <c r="CJ147" s="235"/>
      <c r="CK147" s="236"/>
      <c r="CL147" s="222" t="str">
        <f t="shared" si="35"/>
        <v/>
      </c>
      <c r="CM147" s="237" t="str">
        <f>IF(OR(G147="", CJ147="",CK147=""), "", IF(ISERROR(SMALL((CN147,CV147), 1)-CK147), "",  SMALL((CN147,CV147), 1)-CK147))</f>
        <v/>
      </c>
      <c r="CN147" s="235"/>
      <c r="CO147" s="236"/>
      <c r="CP147" s="224" t="str">
        <f t="shared" si="36"/>
        <v/>
      </c>
      <c r="CQ147" s="235"/>
      <c r="CR147" s="236"/>
      <c r="CS147" s="222" t="str">
        <f t="shared" si="37"/>
        <v/>
      </c>
      <c r="CT147" s="237" t="str">
        <f t="shared" si="38"/>
        <v/>
      </c>
      <c r="CU147" s="238"/>
      <c r="CV147" s="239"/>
      <c r="CW147" s="240"/>
    </row>
    <row r="148" spans="2:101" ht="16.5" customHeight="1">
      <c r="B148" s="122"/>
      <c r="E148" s="122"/>
      <c r="F148" s="194"/>
      <c r="G148" s="195"/>
      <c r="H148" s="195"/>
      <c r="I148" s="195"/>
      <c r="J148" s="196"/>
      <c r="K148" s="197"/>
      <c r="L148" s="198"/>
      <c r="M148" s="199"/>
      <c r="N148" s="200"/>
      <c r="O148" s="201"/>
      <c r="P148" s="201"/>
      <c r="Q148" s="201"/>
      <c r="R148" s="201"/>
      <c r="S148" s="201"/>
      <c r="T148" s="201"/>
      <c r="U148" s="201"/>
      <c r="V148" s="201"/>
      <c r="W148" s="201"/>
      <c r="X148" s="202"/>
      <c r="Y148" s="203"/>
      <c r="Z148" s="204"/>
      <c r="AA148" s="205"/>
      <c r="AB148" s="206"/>
      <c r="AC148" s="206"/>
      <c r="AD148" s="194"/>
      <c r="AE148" s="201"/>
      <c r="AF148" s="207"/>
      <c r="AG148" s="208"/>
      <c r="AH148" s="209"/>
      <c r="AI148" s="210"/>
      <c r="AJ148" s="197"/>
      <c r="AK148" s="201"/>
      <c r="AL148" s="196"/>
      <c r="AM148" s="201"/>
      <c r="AN148" s="201"/>
      <c r="AO148" s="201"/>
      <c r="AP148" s="211"/>
      <c r="AQ148" s="212"/>
      <c r="AR148" s="201"/>
      <c r="AS148" s="201"/>
      <c r="AT148" s="201"/>
      <c r="AU148" s="201"/>
      <c r="AV148" s="202"/>
      <c r="AW148" s="194"/>
      <c r="AX148" s="201"/>
      <c r="AY148" s="213"/>
      <c r="AZ148" s="214"/>
      <c r="BA148" s="215"/>
      <c r="BB148" s="216"/>
      <c r="BC148" s="217" t="str">
        <f t="shared" si="26"/>
        <v/>
      </c>
      <c r="BD148" s="218"/>
      <c r="BE148" s="219"/>
      <c r="BF148" s="220"/>
      <c r="BG148" s="219"/>
      <c r="BH148" s="219"/>
      <c r="BI148" s="220"/>
      <c r="BJ148" s="218"/>
      <c r="BK148" s="219"/>
      <c r="BL148" s="197"/>
      <c r="BM148" s="215"/>
      <c r="BN148" s="221"/>
      <c r="BO148" s="222" t="str">
        <f t="shared" si="27"/>
        <v/>
      </c>
      <c r="BP148" s="217" t="str">
        <f t="shared" si="28"/>
        <v/>
      </c>
      <c r="BQ148" s="215"/>
      <c r="BR148" s="224"/>
      <c r="BS148" s="225"/>
      <c r="BT148" s="223"/>
      <c r="BU148" s="215"/>
      <c r="BV148" s="226"/>
      <c r="BW148" s="222" t="str">
        <f t="shared" si="29"/>
        <v/>
      </c>
      <c r="BX148" s="223" t="str">
        <f t="shared" si="30"/>
        <v/>
      </c>
      <c r="BY148" s="215"/>
      <c r="BZ148" s="227"/>
      <c r="CA148" s="227"/>
      <c r="CB148" s="228"/>
      <c r="CC148" s="229"/>
      <c r="CD148" s="230" t="str">
        <f t="shared" si="31"/>
        <v/>
      </c>
      <c r="CE148" s="231" t="str">
        <f t="shared" si="32"/>
        <v/>
      </c>
      <c r="CF148" s="232" t="str">
        <f t="shared" si="33"/>
        <v/>
      </c>
      <c r="CG148" s="233" t="str">
        <f t="shared" si="34"/>
        <v/>
      </c>
      <c r="CH148" s="207" t="str">
        <f>IF(OR(G148="",CC148= ""), "", IF(ISERROR(SMALL((CJ148,CN148,CV148), 1)-CC148), "",  SMALL((CJ148,CN148,CV148), 1)-CC148))</f>
        <v/>
      </c>
      <c r="CI148" s="234"/>
      <c r="CJ148" s="235"/>
      <c r="CK148" s="236"/>
      <c r="CL148" s="222" t="str">
        <f t="shared" si="35"/>
        <v/>
      </c>
      <c r="CM148" s="237" t="str">
        <f>IF(OR(G148="", CJ148="",CK148=""), "", IF(ISERROR(SMALL((CN148,CV148), 1)-CK148), "",  SMALL((CN148,CV148), 1)-CK148))</f>
        <v/>
      </c>
      <c r="CN148" s="235"/>
      <c r="CO148" s="236"/>
      <c r="CP148" s="224" t="str">
        <f t="shared" si="36"/>
        <v/>
      </c>
      <c r="CQ148" s="235"/>
      <c r="CR148" s="236"/>
      <c r="CS148" s="222" t="str">
        <f t="shared" si="37"/>
        <v/>
      </c>
      <c r="CT148" s="237" t="str">
        <f t="shared" si="38"/>
        <v/>
      </c>
      <c r="CU148" s="238"/>
      <c r="CV148" s="239"/>
      <c r="CW148" s="240"/>
    </row>
    <row r="149" spans="2:101" ht="16.5" customHeight="1">
      <c r="B149" s="122"/>
      <c r="E149" s="122"/>
      <c r="F149" s="194"/>
      <c r="G149" s="195"/>
      <c r="H149" s="195"/>
      <c r="I149" s="195"/>
      <c r="J149" s="196"/>
      <c r="K149" s="197"/>
      <c r="L149" s="198"/>
      <c r="M149" s="199"/>
      <c r="N149" s="200"/>
      <c r="O149" s="201"/>
      <c r="P149" s="201"/>
      <c r="Q149" s="201"/>
      <c r="R149" s="201"/>
      <c r="S149" s="201"/>
      <c r="T149" s="201"/>
      <c r="U149" s="201"/>
      <c r="V149" s="201"/>
      <c r="W149" s="201"/>
      <c r="X149" s="202"/>
      <c r="Y149" s="203"/>
      <c r="Z149" s="204"/>
      <c r="AA149" s="205"/>
      <c r="AB149" s="206"/>
      <c r="AC149" s="206"/>
      <c r="AD149" s="194"/>
      <c r="AE149" s="201"/>
      <c r="AF149" s="207"/>
      <c r="AG149" s="208"/>
      <c r="AH149" s="209"/>
      <c r="AI149" s="210"/>
      <c r="AJ149" s="197"/>
      <c r="AK149" s="201"/>
      <c r="AL149" s="196"/>
      <c r="AM149" s="201"/>
      <c r="AN149" s="201"/>
      <c r="AO149" s="201"/>
      <c r="AP149" s="211"/>
      <c r="AQ149" s="212"/>
      <c r="AR149" s="201"/>
      <c r="AS149" s="201"/>
      <c r="AT149" s="201"/>
      <c r="AU149" s="201"/>
      <c r="AV149" s="202"/>
      <c r="AW149" s="194"/>
      <c r="AX149" s="201"/>
      <c r="AY149" s="213"/>
      <c r="AZ149" s="214"/>
      <c r="BA149" s="215"/>
      <c r="BB149" s="216"/>
      <c r="BC149" s="217" t="str">
        <f t="shared" si="26"/>
        <v/>
      </c>
      <c r="BD149" s="218"/>
      <c r="BE149" s="219"/>
      <c r="BF149" s="220"/>
      <c r="BG149" s="219"/>
      <c r="BH149" s="219"/>
      <c r="BI149" s="220"/>
      <c r="BJ149" s="218"/>
      <c r="BK149" s="219"/>
      <c r="BL149" s="197"/>
      <c r="BM149" s="215"/>
      <c r="BN149" s="221"/>
      <c r="BO149" s="222" t="str">
        <f t="shared" si="27"/>
        <v/>
      </c>
      <c r="BP149" s="217" t="str">
        <f t="shared" si="28"/>
        <v/>
      </c>
      <c r="BQ149" s="215"/>
      <c r="BR149" s="224"/>
      <c r="BS149" s="225"/>
      <c r="BT149" s="223"/>
      <c r="BU149" s="215"/>
      <c r="BV149" s="226"/>
      <c r="BW149" s="222" t="str">
        <f t="shared" si="29"/>
        <v/>
      </c>
      <c r="BX149" s="223" t="str">
        <f t="shared" si="30"/>
        <v/>
      </c>
      <c r="BY149" s="215"/>
      <c r="BZ149" s="227"/>
      <c r="CA149" s="227"/>
      <c r="CB149" s="228"/>
      <c r="CC149" s="229"/>
      <c r="CD149" s="230" t="str">
        <f t="shared" si="31"/>
        <v/>
      </c>
      <c r="CE149" s="231" t="str">
        <f t="shared" si="32"/>
        <v/>
      </c>
      <c r="CF149" s="232" t="str">
        <f t="shared" si="33"/>
        <v/>
      </c>
      <c r="CG149" s="233" t="str">
        <f t="shared" si="34"/>
        <v/>
      </c>
      <c r="CH149" s="207" t="str">
        <f>IF(OR(G149="",CC149= ""), "", IF(ISERROR(SMALL((CJ149,CN149,CV149), 1)-CC149), "",  SMALL((CJ149,CN149,CV149), 1)-CC149))</f>
        <v/>
      </c>
      <c r="CI149" s="234"/>
      <c r="CJ149" s="235"/>
      <c r="CK149" s="236"/>
      <c r="CL149" s="222" t="str">
        <f t="shared" si="35"/>
        <v/>
      </c>
      <c r="CM149" s="237" t="str">
        <f>IF(OR(G149="", CJ149="",CK149=""), "", IF(ISERROR(SMALL((CN149,CV149), 1)-CK149), "",  SMALL((CN149,CV149), 1)-CK149))</f>
        <v/>
      </c>
      <c r="CN149" s="235"/>
      <c r="CO149" s="236"/>
      <c r="CP149" s="224" t="str">
        <f t="shared" si="36"/>
        <v/>
      </c>
      <c r="CQ149" s="235"/>
      <c r="CR149" s="236"/>
      <c r="CS149" s="222" t="str">
        <f t="shared" si="37"/>
        <v/>
      </c>
      <c r="CT149" s="237" t="str">
        <f t="shared" si="38"/>
        <v/>
      </c>
      <c r="CU149" s="238"/>
      <c r="CV149" s="239"/>
      <c r="CW149" s="240"/>
    </row>
    <row r="150" spans="2:101" ht="16.5" customHeight="1">
      <c r="B150" s="122"/>
      <c r="E150" s="122"/>
      <c r="F150" s="194"/>
      <c r="G150" s="195"/>
      <c r="H150" s="195"/>
      <c r="I150" s="195"/>
      <c r="J150" s="196"/>
      <c r="K150" s="197"/>
      <c r="L150" s="198"/>
      <c r="M150" s="199"/>
      <c r="N150" s="200"/>
      <c r="O150" s="201"/>
      <c r="P150" s="201"/>
      <c r="Q150" s="201"/>
      <c r="R150" s="201"/>
      <c r="S150" s="201"/>
      <c r="T150" s="201"/>
      <c r="U150" s="201"/>
      <c r="V150" s="201"/>
      <c r="W150" s="201"/>
      <c r="X150" s="202"/>
      <c r="Y150" s="203"/>
      <c r="Z150" s="204"/>
      <c r="AA150" s="205"/>
      <c r="AB150" s="206"/>
      <c r="AC150" s="206"/>
      <c r="AD150" s="194"/>
      <c r="AE150" s="201"/>
      <c r="AF150" s="207"/>
      <c r="AG150" s="208"/>
      <c r="AH150" s="209"/>
      <c r="AI150" s="210"/>
      <c r="AJ150" s="197"/>
      <c r="AK150" s="201"/>
      <c r="AL150" s="196"/>
      <c r="AM150" s="201"/>
      <c r="AN150" s="201"/>
      <c r="AO150" s="201"/>
      <c r="AP150" s="211"/>
      <c r="AQ150" s="212"/>
      <c r="AR150" s="201"/>
      <c r="AS150" s="201"/>
      <c r="AT150" s="201"/>
      <c r="AU150" s="201"/>
      <c r="AV150" s="202"/>
      <c r="AW150" s="194"/>
      <c r="AX150" s="201"/>
      <c r="AY150" s="213"/>
      <c r="AZ150" s="214"/>
      <c r="BA150" s="215"/>
      <c r="BB150" s="216"/>
      <c r="BC150" s="217" t="str">
        <f t="shared" si="26"/>
        <v/>
      </c>
      <c r="BD150" s="218"/>
      <c r="BE150" s="219"/>
      <c r="BF150" s="220"/>
      <c r="BG150" s="219"/>
      <c r="BH150" s="219"/>
      <c r="BI150" s="220"/>
      <c r="BJ150" s="218"/>
      <c r="BK150" s="219"/>
      <c r="BL150" s="197"/>
      <c r="BM150" s="215"/>
      <c r="BN150" s="221"/>
      <c r="BO150" s="222" t="str">
        <f t="shared" si="27"/>
        <v/>
      </c>
      <c r="BP150" s="217" t="str">
        <f t="shared" si="28"/>
        <v/>
      </c>
      <c r="BQ150" s="215"/>
      <c r="BR150" s="224"/>
      <c r="BS150" s="225"/>
      <c r="BT150" s="223"/>
      <c r="BU150" s="215"/>
      <c r="BV150" s="226"/>
      <c r="BW150" s="222" t="str">
        <f t="shared" si="29"/>
        <v/>
      </c>
      <c r="BX150" s="223" t="str">
        <f t="shared" si="30"/>
        <v/>
      </c>
      <c r="BY150" s="215"/>
      <c r="BZ150" s="227"/>
      <c r="CA150" s="227"/>
      <c r="CB150" s="228"/>
      <c r="CC150" s="229"/>
      <c r="CD150" s="230" t="str">
        <f t="shared" si="31"/>
        <v/>
      </c>
      <c r="CE150" s="231" t="str">
        <f t="shared" si="32"/>
        <v/>
      </c>
      <c r="CF150" s="232" t="str">
        <f t="shared" si="33"/>
        <v/>
      </c>
      <c r="CG150" s="233" t="str">
        <f t="shared" si="34"/>
        <v/>
      </c>
      <c r="CH150" s="207" t="str">
        <f>IF(OR(G150="",CC150= ""), "", IF(ISERROR(SMALL((CJ150,CN150,CV150), 1)-CC150), "",  SMALL((CJ150,CN150,CV150), 1)-CC150))</f>
        <v/>
      </c>
      <c r="CI150" s="234"/>
      <c r="CJ150" s="235"/>
      <c r="CK150" s="236"/>
      <c r="CL150" s="222" t="str">
        <f t="shared" si="35"/>
        <v/>
      </c>
      <c r="CM150" s="237" t="str">
        <f>IF(OR(G150="", CJ150="",CK150=""), "", IF(ISERROR(SMALL((CN150,CV150), 1)-CK150), "",  SMALL((CN150,CV150), 1)-CK150))</f>
        <v/>
      </c>
      <c r="CN150" s="235"/>
      <c r="CO150" s="236"/>
      <c r="CP150" s="224" t="str">
        <f t="shared" si="36"/>
        <v/>
      </c>
      <c r="CQ150" s="235"/>
      <c r="CR150" s="236"/>
      <c r="CS150" s="222" t="str">
        <f t="shared" si="37"/>
        <v/>
      </c>
      <c r="CT150" s="237" t="str">
        <f t="shared" si="38"/>
        <v/>
      </c>
      <c r="CU150" s="238"/>
      <c r="CV150" s="239"/>
      <c r="CW150" s="240"/>
    </row>
    <row r="151" spans="2:101" ht="16.5" customHeight="1">
      <c r="B151" s="122"/>
      <c r="E151" s="122"/>
      <c r="F151" s="194"/>
      <c r="G151" s="195"/>
      <c r="H151" s="195"/>
      <c r="I151" s="195"/>
      <c r="J151" s="196"/>
      <c r="K151" s="197"/>
      <c r="L151" s="198"/>
      <c r="M151" s="199"/>
      <c r="N151" s="200"/>
      <c r="O151" s="201"/>
      <c r="P151" s="201"/>
      <c r="Q151" s="201"/>
      <c r="R151" s="201"/>
      <c r="S151" s="201"/>
      <c r="T151" s="201"/>
      <c r="U151" s="201"/>
      <c r="V151" s="201"/>
      <c r="W151" s="201"/>
      <c r="X151" s="202"/>
      <c r="Y151" s="203"/>
      <c r="Z151" s="204"/>
      <c r="AA151" s="205"/>
      <c r="AB151" s="206"/>
      <c r="AC151" s="206"/>
      <c r="AD151" s="194"/>
      <c r="AE151" s="201"/>
      <c r="AF151" s="207"/>
      <c r="AG151" s="208"/>
      <c r="AH151" s="209"/>
      <c r="AI151" s="210"/>
      <c r="AJ151" s="197"/>
      <c r="AK151" s="201"/>
      <c r="AL151" s="196"/>
      <c r="AM151" s="201"/>
      <c r="AN151" s="201"/>
      <c r="AO151" s="201"/>
      <c r="AP151" s="211"/>
      <c r="AQ151" s="212"/>
      <c r="AR151" s="201"/>
      <c r="AS151" s="201"/>
      <c r="AT151" s="201"/>
      <c r="AU151" s="201"/>
      <c r="AV151" s="202"/>
      <c r="AW151" s="194"/>
      <c r="AX151" s="201"/>
      <c r="AY151" s="213"/>
      <c r="AZ151" s="214"/>
      <c r="BA151" s="215"/>
      <c r="BB151" s="216"/>
      <c r="BC151" s="217" t="str">
        <f t="shared" si="26"/>
        <v/>
      </c>
      <c r="BD151" s="218"/>
      <c r="BE151" s="219"/>
      <c r="BF151" s="220"/>
      <c r="BG151" s="219"/>
      <c r="BH151" s="219"/>
      <c r="BI151" s="220"/>
      <c r="BJ151" s="218"/>
      <c r="BK151" s="219"/>
      <c r="BL151" s="197"/>
      <c r="BM151" s="215"/>
      <c r="BN151" s="221"/>
      <c r="BO151" s="222" t="str">
        <f t="shared" si="27"/>
        <v/>
      </c>
      <c r="BP151" s="217" t="str">
        <f t="shared" si="28"/>
        <v/>
      </c>
      <c r="BQ151" s="215"/>
      <c r="BR151" s="224"/>
      <c r="BS151" s="225"/>
      <c r="BT151" s="223"/>
      <c r="BU151" s="215"/>
      <c r="BV151" s="226"/>
      <c r="BW151" s="222" t="str">
        <f t="shared" si="29"/>
        <v/>
      </c>
      <c r="BX151" s="223" t="str">
        <f t="shared" si="30"/>
        <v/>
      </c>
      <c r="BY151" s="215"/>
      <c r="BZ151" s="227"/>
      <c r="CA151" s="227"/>
      <c r="CB151" s="228"/>
      <c r="CC151" s="229"/>
      <c r="CD151" s="230" t="str">
        <f t="shared" si="31"/>
        <v/>
      </c>
      <c r="CE151" s="231" t="str">
        <f t="shared" si="32"/>
        <v/>
      </c>
      <c r="CF151" s="232" t="str">
        <f t="shared" si="33"/>
        <v/>
      </c>
      <c r="CG151" s="233" t="str">
        <f t="shared" si="34"/>
        <v/>
      </c>
      <c r="CH151" s="207" t="str">
        <f>IF(OR(G151="",CC151= ""), "", IF(ISERROR(SMALL((CJ151,CN151,CV151), 1)-CC151), "",  SMALL((CJ151,CN151,CV151), 1)-CC151))</f>
        <v/>
      </c>
      <c r="CI151" s="234"/>
      <c r="CJ151" s="235"/>
      <c r="CK151" s="236"/>
      <c r="CL151" s="222" t="str">
        <f t="shared" si="35"/>
        <v/>
      </c>
      <c r="CM151" s="237" t="str">
        <f>IF(OR(G151="", CJ151="",CK151=""), "", IF(ISERROR(SMALL((CN151,CV151), 1)-CK151), "",  SMALL((CN151,CV151), 1)-CK151))</f>
        <v/>
      </c>
      <c r="CN151" s="235"/>
      <c r="CO151" s="236"/>
      <c r="CP151" s="224" t="str">
        <f t="shared" si="36"/>
        <v/>
      </c>
      <c r="CQ151" s="235"/>
      <c r="CR151" s="236"/>
      <c r="CS151" s="222" t="str">
        <f t="shared" si="37"/>
        <v/>
      </c>
      <c r="CT151" s="237" t="str">
        <f t="shared" si="38"/>
        <v/>
      </c>
      <c r="CU151" s="238"/>
      <c r="CV151" s="239"/>
      <c r="CW151" s="240"/>
    </row>
    <row r="152" spans="2:101" ht="16.5" customHeight="1">
      <c r="B152" s="122"/>
      <c r="E152" s="122"/>
      <c r="F152" s="194"/>
      <c r="G152" s="195"/>
      <c r="H152" s="195"/>
      <c r="I152" s="195"/>
      <c r="J152" s="196"/>
      <c r="K152" s="197"/>
      <c r="L152" s="198"/>
      <c r="M152" s="199"/>
      <c r="N152" s="200"/>
      <c r="O152" s="201"/>
      <c r="P152" s="201"/>
      <c r="Q152" s="201"/>
      <c r="R152" s="201"/>
      <c r="S152" s="201"/>
      <c r="T152" s="201"/>
      <c r="U152" s="201"/>
      <c r="V152" s="201"/>
      <c r="W152" s="201"/>
      <c r="X152" s="202"/>
      <c r="Y152" s="203"/>
      <c r="Z152" s="204"/>
      <c r="AA152" s="205"/>
      <c r="AB152" s="206"/>
      <c r="AC152" s="206"/>
      <c r="AD152" s="194"/>
      <c r="AE152" s="201"/>
      <c r="AF152" s="207"/>
      <c r="AG152" s="208"/>
      <c r="AH152" s="209"/>
      <c r="AI152" s="210"/>
      <c r="AJ152" s="197"/>
      <c r="AK152" s="201"/>
      <c r="AL152" s="196"/>
      <c r="AM152" s="201"/>
      <c r="AN152" s="201"/>
      <c r="AO152" s="201"/>
      <c r="AP152" s="211"/>
      <c r="AQ152" s="212"/>
      <c r="AR152" s="201"/>
      <c r="AS152" s="201"/>
      <c r="AT152" s="201"/>
      <c r="AU152" s="201"/>
      <c r="AV152" s="202"/>
      <c r="AW152" s="194"/>
      <c r="AX152" s="201"/>
      <c r="AY152" s="213"/>
      <c r="AZ152" s="214"/>
      <c r="BA152" s="215"/>
      <c r="BB152" s="216"/>
      <c r="BC152" s="217" t="str">
        <f t="shared" si="26"/>
        <v/>
      </c>
      <c r="BD152" s="218"/>
      <c r="BE152" s="219"/>
      <c r="BF152" s="220"/>
      <c r="BG152" s="219"/>
      <c r="BH152" s="219"/>
      <c r="BI152" s="220"/>
      <c r="BJ152" s="218"/>
      <c r="BK152" s="219"/>
      <c r="BL152" s="197"/>
      <c r="BM152" s="215"/>
      <c r="BN152" s="221"/>
      <c r="BO152" s="222" t="str">
        <f t="shared" si="27"/>
        <v/>
      </c>
      <c r="BP152" s="217" t="str">
        <f t="shared" si="28"/>
        <v/>
      </c>
      <c r="BQ152" s="215"/>
      <c r="BR152" s="224"/>
      <c r="BS152" s="225"/>
      <c r="BT152" s="223"/>
      <c r="BU152" s="215"/>
      <c r="BV152" s="226"/>
      <c r="BW152" s="222" t="str">
        <f t="shared" si="29"/>
        <v/>
      </c>
      <c r="BX152" s="223" t="str">
        <f t="shared" si="30"/>
        <v/>
      </c>
      <c r="BY152" s="215"/>
      <c r="BZ152" s="227"/>
      <c r="CA152" s="227"/>
      <c r="CB152" s="228"/>
      <c r="CC152" s="229"/>
      <c r="CD152" s="230" t="str">
        <f t="shared" si="31"/>
        <v/>
      </c>
      <c r="CE152" s="231" t="str">
        <f t="shared" si="32"/>
        <v/>
      </c>
      <c r="CF152" s="232" t="str">
        <f t="shared" si="33"/>
        <v/>
      </c>
      <c r="CG152" s="233" t="str">
        <f t="shared" si="34"/>
        <v/>
      </c>
      <c r="CH152" s="207" t="str">
        <f>IF(OR(G152="",CC152= ""), "", IF(ISERROR(SMALL((CJ152,CN152,CV152), 1)-CC152), "",  SMALL((CJ152,CN152,CV152), 1)-CC152))</f>
        <v/>
      </c>
      <c r="CI152" s="234"/>
      <c r="CJ152" s="235"/>
      <c r="CK152" s="236"/>
      <c r="CL152" s="222" t="str">
        <f t="shared" si="35"/>
        <v/>
      </c>
      <c r="CM152" s="237" t="str">
        <f>IF(OR(G152="", CJ152="",CK152=""), "", IF(ISERROR(SMALL((CN152,CV152), 1)-CK152), "",  SMALL((CN152,CV152), 1)-CK152))</f>
        <v/>
      </c>
      <c r="CN152" s="235"/>
      <c r="CO152" s="236"/>
      <c r="CP152" s="224" t="str">
        <f t="shared" si="36"/>
        <v/>
      </c>
      <c r="CQ152" s="235"/>
      <c r="CR152" s="236"/>
      <c r="CS152" s="222" t="str">
        <f t="shared" si="37"/>
        <v/>
      </c>
      <c r="CT152" s="237" t="str">
        <f t="shared" si="38"/>
        <v/>
      </c>
      <c r="CU152" s="238"/>
      <c r="CV152" s="239"/>
      <c r="CW152" s="240"/>
    </row>
    <row r="153" spans="2:101" ht="16.5" customHeight="1">
      <c r="B153" s="122"/>
      <c r="E153" s="122"/>
      <c r="F153" s="194"/>
      <c r="G153" s="195"/>
      <c r="H153" s="195"/>
      <c r="I153" s="195"/>
      <c r="J153" s="196"/>
      <c r="K153" s="197"/>
      <c r="L153" s="198"/>
      <c r="M153" s="199"/>
      <c r="N153" s="200"/>
      <c r="O153" s="201"/>
      <c r="P153" s="201"/>
      <c r="Q153" s="201"/>
      <c r="R153" s="201"/>
      <c r="S153" s="201"/>
      <c r="T153" s="201"/>
      <c r="U153" s="201"/>
      <c r="V153" s="201"/>
      <c r="W153" s="201"/>
      <c r="X153" s="202"/>
      <c r="Y153" s="203"/>
      <c r="Z153" s="204"/>
      <c r="AA153" s="205"/>
      <c r="AB153" s="206"/>
      <c r="AC153" s="206"/>
      <c r="AD153" s="194"/>
      <c r="AE153" s="201"/>
      <c r="AF153" s="207"/>
      <c r="AG153" s="208"/>
      <c r="AH153" s="209"/>
      <c r="AI153" s="210"/>
      <c r="AJ153" s="197"/>
      <c r="AK153" s="201"/>
      <c r="AL153" s="196"/>
      <c r="AM153" s="201"/>
      <c r="AN153" s="201"/>
      <c r="AO153" s="201"/>
      <c r="AP153" s="211"/>
      <c r="AQ153" s="212"/>
      <c r="AR153" s="201"/>
      <c r="AS153" s="201"/>
      <c r="AT153" s="201"/>
      <c r="AU153" s="201"/>
      <c r="AV153" s="202"/>
      <c r="AW153" s="194"/>
      <c r="AX153" s="201"/>
      <c r="AY153" s="213"/>
      <c r="AZ153" s="214"/>
      <c r="BA153" s="215"/>
      <c r="BB153" s="216"/>
      <c r="BC153" s="217" t="str">
        <f t="shared" si="26"/>
        <v/>
      </c>
      <c r="BD153" s="218"/>
      <c r="BE153" s="219"/>
      <c r="BF153" s="220"/>
      <c r="BG153" s="219"/>
      <c r="BH153" s="219"/>
      <c r="BI153" s="220"/>
      <c r="BJ153" s="218"/>
      <c r="BK153" s="219"/>
      <c r="BL153" s="197"/>
      <c r="BM153" s="215"/>
      <c r="BN153" s="221"/>
      <c r="BO153" s="222" t="str">
        <f t="shared" si="27"/>
        <v/>
      </c>
      <c r="BP153" s="217" t="str">
        <f t="shared" si="28"/>
        <v/>
      </c>
      <c r="BQ153" s="215"/>
      <c r="BR153" s="224"/>
      <c r="BS153" s="225"/>
      <c r="BT153" s="223"/>
      <c r="BU153" s="215"/>
      <c r="BV153" s="226"/>
      <c r="BW153" s="222" t="str">
        <f t="shared" si="29"/>
        <v/>
      </c>
      <c r="BX153" s="223" t="str">
        <f t="shared" si="30"/>
        <v/>
      </c>
      <c r="BY153" s="215"/>
      <c r="BZ153" s="227"/>
      <c r="CA153" s="227"/>
      <c r="CB153" s="228"/>
      <c r="CC153" s="229"/>
      <c r="CD153" s="230" t="str">
        <f t="shared" si="31"/>
        <v/>
      </c>
      <c r="CE153" s="231" t="str">
        <f t="shared" si="32"/>
        <v/>
      </c>
      <c r="CF153" s="232" t="str">
        <f t="shared" si="33"/>
        <v/>
      </c>
      <c r="CG153" s="233" t="str">
        <f t="shared" si="34"/>
        <v/>
      </c>
      <c r="CH153" s="207" t="str">
        <f>IF(OR(G153="",CC153= ""), "", IF(ISERROR(SMALL((CJ153,CN153,CV153), 1)-CC153), "",  SMALL((CJ153,CN153,CV153), 1)-CC153))</f>
        <v/>
      </c>
      <c r="CI153" s="234"/>
      <c r="CJ153" s="235"/>
      <c r="CK153" s="236"/>
      <c r="CL153" s="222" t="str">
        <f t="shared" si="35"/>
        <v/>
      </c>
      <c r="CM153" s="237" t="str">
        <f>IF(OR(G153="", CJ153="",CK153=""), "", IF(ISERROR(SMALL((CN153,CV153), 1)-CK153), "",  SMALL((CN153,CV153), 1)-CK153))</f>
        <v/>
      </c>
      <c r="CN153" s="235"/>
      <c r="CO153" s="236"/>
      <c r="CP153" s="224" t="str">
        <f t="shared" si="36"/>
        <v/>
      </c>
      <c r="CQ153" s="235"/>
      <c r="CR153" s="236"/>
      <c r="CS153" s="222" t="str">
        <f t="shared" si="37"/>
        <v/>
      </c>
      <c r="CT153" s="237" t="str">
        <f t="shared" si="38"/>
        <v/>
      </c>
      <c r="CU153" s="238"/>
      <c r="CV153" s="239"/>
      <c r="CW153" s="240"/>
    </row>
    <row r="154" spans="2:101" ht="16.5" customHeight="1">
      <c r="B154" s="122"/>
      <c r="E154" s="122"/>
      <c r="F154" s="194"/>
      <c r="G154" s="195"/>
      <c r="H154" s="195"/>
      <c r="I154" s="195"/>
      <c r="J154" s="196"/>
      <c r="K154" s="197"/>
      <c r="L154" s="198"/>
      <c r="M154" s="199"/>
      <c r="N154" s="200"/>
      <c r="O154" s="201"/>
      <c r="P154" s="201"/>
      <c r="Q154" s="201"/>
      <c r="R154" s="201"/>
      <c r="S154" s="201"/>
      <c r="T154" s="201"/>
      <c r="U154" s="201"/>
      <c r="V154" s="201"/>
      <c r="W154" s="201"/>
      <c r="X154" s="202"/>
      <c r="Y154" s="203"/>
      <c r="Z154" s="204"/>
      <c r="AA154" s="205"/>
      <c r="AB154" s="206"/>
      <c r="AC154" s="206"/>
      <c r="AD154" s="194"/>
      <c r="AE154" s="201"/>
      <c r="AF154" s="207"/>
      <c r="AG154" s="208"/>
      <c r="AH154" s="209"/>
      <c r="AI154" s="210"/>
      <c r="AJ154" s="197"/>
      <c r="AK154" s="201"/>
      <c r="AL154" s="196"/>
      <c r="AM154" s="201"/>
      <c r="AN154" s="201"/>
      <c r="AO154" s="201"/>
      <c r="AP154" s="211"/>
      <c r="AQ154" s="212"/>
      <c r="AR154" s="201"/>
      <c r="AS154" s="201"/>
      <c r="AT154" s="201"/>
      <c r="AU154" s="201"/>
      <c r="AV154" s="202"/>
      <c r="AW154" s="194"/>
      <c r="AX154" s="201"/>
      <c r="AY154" s="213"/>
      <c r="AZ154" s="214"/>
      <c r="BA154" s="215"/>
      <c r="BB154" s="216"/>
      <c r="BC154" s="217" t="str">
        <f t="shared" si="26"/>
        <v/>
      </c>
      <c r="BD154" s="218"/>
      <c r="BE154" s="219"/>
      <c r="BF154" s="220"/>
      <c r="BG154" s="219"/>
      <c r="BH154" s="219"/>
      <c r="BI154" s="220"/>
      <c r="BJ154" s="218"/>
      <c r="BK154" s="219"/>
      <c r="BL154" s="197"/>
      <c r="BM154" s="215"/>
      <c r="BN154" s="221"/>
      <c r="BO154" s="222" t="str">
        <f t="shared" si="27"/>
        <v/>
      </c>
      <c r="BP154" s="217" t="str">
        <f t="shared" si="28"/>
        <v/>
      </c>
      <c r="BQ154" s="215"/>
      <c r="BR154" s="224"/>
      <c r="BS154" s="225"/>
      <c r="BT154" s="223"/>
      <c r="BU154" s="215"/>
      <c r="BV154" s="226"/>
      <c r="BW154" s="222" t="str">
        <f t="shared" si="29"/>
        <v/>
      </c>
      <c r="BX154" s="223" t="str">
        <f t="shared" si="30"/>
        <v/>
      </c>
      <c r="BY154" s="215"/>
      <c r="BZ154" s="227"/>
      <c r="CA154" s="227"/>
      <c r="CB154" s="228"/>
      <c r="CC154" s="229"/>
      <c r="CD154" s="230" t="str">
        <f t="shared" si="31"/>
        <v/>
      </c>
      <c r="CE154" s="231" t="str">
        <f t="shared" si="32"/>
        <v/>
      </c>
      <c r="CF154" s="232" t="str">
        <f t="shared" si="33"/>
        <v/>
      </c>
      <c r="CG154" s="233" t="str">
        <f t="shared" si="34"/>
        <v/>
      </c>
      <c r="CH154" s="207" t="str">
        <f>IF(OR(G154="",CC154= ""), "", IF(ISERROR(SMALL((CJ154,CN154,CV154), 1)-CC154), "",  SMALL((CJ154,CN154,CV154), 1)-CC154))</f>
        <v/>
      </c>
      <c r="CI154" s="234"/>
      <c r="CJ154" s="235"/>
      <c r="CK154" s="236"/>
      <c r="CL154" s="222" t="str">
        <f t="shared" si="35"/>
        <v/>
      </c>
      <c r="CM154" s="237" t="str">
        <f>IF(OR(G154="", CJ154="",CK154=""), "", IF(ISERROR(SMALL((CN154,CV154), 1)-CK154), "",  SMALL((CN154,CV154), 1)-CK154))</f>
        <v/>
      </c>
      <c r="CN154" s="235"/>
      <c r="CO154" s="236"/>
      <c r="CP154" s="224" t="str">
        <f t="shared" si="36"/>
        <v/>
      </c>
      <c r="CQ154" s="235"/>
      <c r="CR154" s="236"/>
      <c r="CS154" s="222" t="str">
        <f t="shared" si="37"/>
        <v/>
      </c>
      <c r="CT154" s="237" t="str">
        <f t="shared" si="38"/>
        <v/>
      </c>
      <c r="CU154" s="238"/>
      <c r="CV154" s="239"/>
      <c r="CW154" s="240"/>
    </row>
    <row r="155" spans="2:101" ht="16.5" customHeight="1">
      <c r="B155" s="122"/>
      <c r="E155" s="122"/>
      <c r="F155" s="194"/>
      <c r="G155" s="195"/>
      <c r="H155" s="195"/>
      <c r="I155" s="195"/>
      <c r="J155" s="196"/>
      <c r="K155" s="197"/>
      <c r="L155" s="198"/>
      <c r="M155" s="199"/>
      <c r="N155" s="200"/>
      <c r="O155" s="201"/>
      <c r="P155" s="201"/>
      <c r="Q155" s="201"/>
      <c r="R155" s="201"/>
      <c r="S155" s="201"/>
      <c r="T155" s="201"/>
      <c r="U155" s="201"/>
      <c r="V155" s="201"/>
      <c r="W155" s="201"/>
      <c r="X155" s="202"/>
      <c r="Y155" s="203"/>
      <c r="Z155" s="204"/>
      <c r="AA155" s="205"/>
      <c r="AB155" s="206"/>
      <c r="AC155" s="206"/>
      <c r="AD155" s="194"/>
      <c r="AE155" s="201"/>
      <c r="AF155" s="207"/>
      <c r="AG155" s="208"/>
      <c r="AH155" s="209"/>
      <c r="AI155" s="210"/>
      <c r="AJ155" s="197"/>
      <c r="AK155" s="201"/>
      <c r="AL155" s="196"/>
      <c r="AM155" s="201"/>
      <c r="AN155" s="201"/>
      <c r="AO155" s="201"/>
      <c r="AP155" s="211"/>
      <c r="AQ155" s="212"/>
      <c r="AR155" s="201"/>
      <c r="AS155" s="201"/>
      <c r="AT155" s="201"/>
      <c r="AU155" s="201"/>
      <c r="AV155" s="202"/>
      <c r="AW155" s="194"/>
      <c r="AX155" s="201"/>
      <c r="AY155" s="213"/>
      <c r="AZ155" s="214"/>
      <c r="BA155" s="215"/>
      <c r="BB155" s="216"/>
      <c r="BC155" s="217" t="str">
        <f t="shared" si="26"/>
        <v/>
      </c>
      <c r="BD155" s="218"/>
      <c r="BE155" s="219"/>
      <c r="BF155" s="220"/>
      <c r="BG155" s="219"/>
      <c r="BH155" s="219"/>
      <c r="BI155" s="220"/>
      <c r="BJ155" s="218"/>
      <c r="BK155" s="219"/>
      <c r="BL155" s="197"/>
      <c r="BM155" s="215"/>
      <c r="BN155" s="221"/>
      <c r="BO155" s="222" t="str">
        <f t="shared" si="27"/>
        <v/>
      </c>
      <c r="BP155" s="217" t="str">
        <f t="shared" si="28"/>
        <v/>
      </c>
      <c r="BQ155" s="215"/>
      <c r="BR155" s="224"/>
      <c r="BS155" s="225"/>
      <c r="BT155" s="223"/>
      <c r="BU155" s="215"/>
      <c r="BV155" s="226"/>
      <c r="BW155" s="222" t="str">
        <f t="shared" si="29"/>
        <v/>
      </c>
      <c r="BX155" s="223" t="str">
        <f t="shared" si="30"/>
        <v/>
      </c>
      <c r="BY155" s="215"/>
      <c r="BZ155" s="227"/>
      <c r="CA155" s="227"/>
      <c r="CB155" s="228"/>
      <c r="CC155" s="229"/>
      <c r="CD155" s="230" t="str">
        <f t="shared" si="31"/>
        <v/>
      </c>
      <c r="CE155" s="231" t="str">
        <f t="shared" si="32"/>
        <v/>
      </c>
      <c r="CF155" s="232" t="str">
        <f t="shared" si="33"/>
        <v/>
      </c>
      <c r="CG155" s="233" t="str">
        <f t="shared" si="34"/>
        <v/>
      </c>
      <c r="CH155" s="207" t="str">
        <f>IF(OR(G155="",CC155= ""), "", IF(ISERROR(SMALL((CJ155,CN155,CV155), 1)-CC155), "",  SMALL((CJ155,CN155,CV155), 1)-CC155))</f>
        <v/>
      </c>
      <c r="CI155" s="234"/>
      <c r="CJ155" s="235"/>
      <c r="CK155" s="236"/>
      <c r="CL155" s="222" t="str">
        <f t="shared" si="35"/>
        <v/>
      </c>
      <c r="CM155" s="237" t="str">
        <f>IF(OR(G155="", CJ155="",CK155=""), "", IF(ISERROR(SMALL((CN155,CV155), 1)-CK155), "",  SMALL((CN155,CV155), 1)-CK155))</f>
        <v/>
      </c>
      <c r="CN155" s="235"/>
      <c r="CO155" s="236"/>
      <c r="CP155" s="224" t="str">
        <f t="shared" si="36"/>
        <v/>
      </c>
      <c r="CQ155" s="235"/>
      <c r="CR155" s="236"/>
      <c r="CS155" s="222" t="str">
        <f t="shared" si="37"/>
        <v/>
      </c>
      <c r="CT155" s="237" t="str">
        <f t="shared" si="38"/>
        <v/>
      </c>
      <c r="CU155" s="238"/>
      <c r="CV155" s="239"/>
      <c r="CW155" s="240"/>
    </row>
    <row r="156" spans="2:101" ht="16.5" customHeight="1">
      <c r="B156" s="122"/>
      <c r="E156" s="122"/>
      <c r="F156" s="194"/>
      <c r="G156" s="195"/>
      <c r="H156" s="195"/>
      <c r="I156" s="195"/>
      <c r="J156" s="196"/>
      <c r="K156" s="197"/>
      <c r="L156" s="198"/>
      <c r="M156" s="199"/>
      <c r="N156" s="200"/>
      <c r="O156" s="201"/>
      <c r="P156" s="201"/>
      <c r="Q156" s="201"/>
      <c r="R156" s="201"/>
      <c r="S156" s="201"/>
      <c r="T156" s="201"/>
      <c r="U156" s="201"/>
      <c r="V156" s="201"/>
      <c r="W156" s="201"/>
      <c r="X156" s="202"/>
      <c r="Y156" s="203"/>
      <c r="Z156" s="204"/>
      <c r="AA156" s="205"/>
      <c r="AB156" s="206"/>
      <c r="AC156" s="206"/>
      <c r="AD156" s="194"/>
      <c r="AE156" s="201"/>
      <c r="AF156" s="207"/>
      <c r="AG156" s="208"/>
      <c r="AH156" s="209"/>
      <c r="AI156" s="210"/>
      <c r="AJ156" s="197"/>
      <c r="AK156" s="201"/>
      <c r="AL156" s="196"/>
      <c r="AM156" s="201"/>
      <c r="AN156" s="201"/>
      <c r="AO156" s="201"/>
      <c r="AP156" s="211"/>
      <c r="AQ156" s="212"/>
      <c r="AR156" s="201"/>
      <c r="AS156" s="201"/>
      <c r="AT156" s="201"/>
      <c r="AU156" s="201"/>
      <c r="AV156" s="202"/>
      <c r="AW156" s="194"/>
      <c r="AX156" s="201"/>
      <c r="AY156" s="213"/>
      <c r="AZ156" s="214"/>
      <c r="BA156" s="215"/>
      <c r="BB156" s="216"/>
      <c r="BC156" s="217" t="str">
        <f t="shared" si="26"/>
        <v/>
      </c>
      <c r="BD156" s="218"/>
      <c r="BE156" s="219"/>
      <c r="BF156" s="220"/>
      <c r="BG156" s="219"/>
      <c r="BH156" s="219"/>
      <c r="BI156" s="220"/>
      <c r="BJ156" s="218"/>
      <c r="BK156" s="219"/>
      <c r="BL156" s="197"/>
      <c r="BM156" s="215"/>
      <c r="BN156" s="221"/>
      <c r="BO156" s="222" t="str">
        <f t="shared" si="27"/>
        <v/>
      </c>
      <c r="BP156" s="217" t="str">
        <f t="shared" si="28"/>
        <v/>
      </c>
      <c r="BQ156" s="215"/>
      <c r="BR156" s="224"/>
      <c r="BS156" s="225"/>
      <c r="BT156" s="223"/>
      <c r="BU156" s="215"/>
      <c r="BV156" s="226"/>
      <c r="BW156" s="222" t="str">
        <f t="shared" si="29"/>
        <v/>
      </c>
      <c r="BX156" s="223" t="str">
        <f t="shared" si="30"/>
        <v/>
      </c>
      <c r="BY156" s="215"/>
      <c r="BZ156" s="227"/>
      <c r="CA156" s="227"/>
      <c r="CB156" s="228"/>
      <c r="CC156" s="229"/>
      <c r="CD156" s="230" t="str">
        <f t="shared" si="31"/>
        <v/>
      </c>
      <c r="CE156" s="231" t="str">
        <f t="shared" si="32"/>
        <v/>
      </c>
      <c r="CF156" s="232" t="str">
        <f t="shared" si="33"/>
        <v/>
      </c>
      <c r="CG156" s="233" t="str">
        <f t="shared" si="34"/>
        <v/>
      </c>
      <c r="CH156" s="207" t="str">
        <f>IF(OR(G156="",CC156= ""), "", IF(ISERROR(SMALL((CJ156,CN156,CV156), 1)-CC156), "",  SMALL((CJ156,CN156,CV156), 1)-CC156))</f>
        <v/>
      </c>
      <c r="CI156" s="234"/>
      <c r="CJ156" s="235"/>
      <c r="CK156" s="236"/>
      <c r="CL156" s="222" t="str">
        <f t="shared" si="35"/>
        <v/>
      </c>
      <c r="CM156" s="237" t="str">
        <f>IF(OR(G156="", CJ156="",CK156=""), "", IF(ISERROR(SMALL((CN156,CV156), 1)-CK156), "",  SMALL((CN156,CV156), 1)-CK156))</f>
        <v/>
      </c>
      <c r="CN156" s="235"/>
      <c r="CO156" s="236"/>
      <c r="CP156" s="224" t="str">
        <f t="shared" si="36"/>
        <v/>
      </c>
      <c r="CQ156" s="235"/>
      <c r="CR156" s="236"/>
      <c r="CS156" s="222" t="str">
        <f t="shared" si="37"/>
        <v/>
      </c>
      <c r="CT156" s="237" t="str">
        <f t="shared" si="38"/>
        <v/>
      </c>
      <c r="CU156" s="238"/>
      <c r="CV156" s="239"/>
      <c r="CW156" s="240"/>
    </row>
    <row r="157" spans="2:101" ht="16.5" customHeight="1">
      <c r="B157" s="122"/>
      <c r="E157" s="122"/>
      <c r="F157" s="194"/>
      <c r="G157" s="195"/>
      <c r="H157" s="195"/>
      <c r="I157" s="195"/>
      <c r="J157" s="196"/>
      <c r="K157" s="197"/>
      <c r="L157" s="198"/>
      <c r="M157" s="199"/>
      <c r="N157" s="200"/>
      <c r="O157" s="201"/>
      <c r="P157" s="201"/>
      <c r="Q157" s="201"/>
      <c r="R157" s="201"/>
      <c r="S157" s="201"/>
      <c r="T157" s="201"/>
      <c r="U157" s="201"/>
      <c r="V157" s="201"/>
      <c r="W157" s="201"/>
      <c r="X157" s="202"/>
      <c r="Y157" s="203"/>
      <c r="Z157" s="204"/>
      <c r="AA157" s="205"/>
      <c r="AB157" s="206"/>
      <c r="AC157" s="206"/>
      <c r="AD157" s="194"/>
      <c r="AE157" s="201"/>
      <c r="AF157" s="207"/>
      <c r="AG157" s="208"/>
      <c r="AH157" s="209"/>
      <c r="AI157" s="210"/>
      <c r="AJ157" s="197"/>
      <c r="AK157" s="201"/>
      <c r="AL157" s="196"/>
      <c r="AM157" s="201"/>
      <c r="AN157" s="201"/>
      <c r="AO157" s="201"/>
      <c r="AP157" s="211"/>
      <c r="AQ157" s="212"/>
      <c r="AR157" s="201"/>
      <c r="AS157" s="201"/>
      <c r="AT157" s="201"/>
      <c r="AU157" s="201"/>
      <c r="AV157" s="202"/>
      <c r="AW157" s="194"/>
      <c r="AX157" s="201"/>
      <c r="AY157" s="213"/>
      <c r="AZ157" s="214"/>
      <c r="BA157" s="215"/>
      <c r="BB157" s="216"/>
      <c r="BC157" s="217" t="str">
        <f t="shared" si="26"/>
        <v/>
      </c>
      <c r="BD157" s="218"/>
      <c r="BE157" s="219"/>
      <c r="BF157" s="220"/>
      <c r="BG157" s="219"/>
      <c r="BH157" s="219"/>
      <c r="BI157" s="220"/>
      <c r="BJ157" s="218"/>
      <c r="BK157" s="219"/>
      <c r="BL157" s="197"/>
      <c r="BM157" s="215"/>
      <c r="BN157" s="221"/>
      <c r="BO157" s="222" t="str">
        <f t="shared" si="27"/>
        <v/>
      </c>
      <c r="BP157" s="217" t="str">
        <f t="shared" si="28"/>
        <v/>
      </c>
      <c r="BQ157" s="215"/>
      <c r="BR157" s="224"/>
      <c r="BS157" s="225"/>
      <c r="BT157" s="223"/>
      <c r="BU157" s="215"/>
      <c r="BV157" s="226"/>
      <c r="BW157" s="222" t="str">
        <f t="shared" si="29"/>
        <v/>
      </c>
      <c r="BX157" s="223" t="str">
        <f t="shared" si="30"/>
        <v/>
      </c>
      <c r="BY157" s="215"/>
      <c r="BZ157" s="227"/>
      <c r="CA157" s="227"/>
      <c r="CB157" s="228"/>
      <c r="CC157" s="229"/>
      <c r="CD157" s="230" t="str">
        <f t="shared" si="31"/>
        <v/>
      </c>
      <c r="CE157" s="231" t="str">
        <f t="shared" si="32"/>
        <v/>
      </c>
      <c r="CF157" s="232" t="str">
        <f t="shared" si="33"/>
        <v/>
      </c>
      <c r="CG157" s="233" t="str">
        <f t="shared" si="34"/>
        <v/>
      </c>
      <c r="CH157" s="207" t="str">
        <f>IF(OR(G157="",CC157= ""), "", IF(ISERROR(SMALL((CJ157,CN157,CV157), 1)-CC157), "",  SMALL((CJ157,CN157,CV157), 1)-CC157))</f>
        <v/>
      </c>
      <c r="CI157" s="234"/>
      <c r="CJ157" s="235"/>
      <c r="CK157" s="236"/>
      <c r="CL157" s="222" t="str">
        <f t="shared" si="35"/>
        <v/>
      </c>
      <c r="CM157" s="237" t="str">
        <f>IF(OR(G157="", CJ157="",CK157=""), "", IF(ISERROR(SMALL((CN157,CV157), 1)-CK157), "",  SMALL((CN157,CV157), 1)-CK157))</f>
        <v/>
      </c>
      <c r="CN157" s="235"/>
      <c r="CO157" s="236"/>
      <c r="CP157" s="224" t="str">
        <f t="shared" si="36"/>
        <v/>
      </c>
      <c r="CQ157" s="235"/>
      <c r="CR157" s="236"/>
      <c r="CS157" s="222" t="str">
        <f t="shared" si="37"/>
        <v/>
      </c>
      <c r="CT157" s="237" t="str">
        <f t="shared" si="38"/>
        <v/>
      </c>
      <c r="CU157" s="238"/>
      <c r="CV157" s="239"/>
      <c r="CW157" s="240"/>
    </row>
    <row r="158" spans="2:101" ht="16.5" customHeight="1">
      <c r="B158" s="122"/>
      <c r="E158" s="122"/>
      <c r="F158" s="194"/>
      <c r="G158" s="195"/>
      <c r="H158" s="195"/>
      <c r="I158" s="195"/>
      <c r="J158" s="196"/>
      <c r="K158" s="197"/>
      <c r="L158" s="198"/>
      <c r="M158" s="199"/>
      <c r="N158" s="200"/>
      <c r="O158" s="201"/>
      <c r="P158" s="201"/>
      <c r="Q158" s="201"/>
      <c r="R158" s="201"/>
      <c r="S158" s="201"/>
      <c r="T158" s="201"/>
      <c r="U158" s="201"/>
      <c r="V158" s="201"/>
      <c r="W158" s="201"/>
      <c r="X158" s="202"/>
      <c r="Y158" s="203"/>
      <c r="Z158" s="204"/>
      <c r="AA158" s="205"/>
      <c r="AB158" s="206"/>
      <c r="AC158" s="206"/>
      <c r="AD158" s="194"/>
      <c r="AE158" s="201"/>
      <c r="AF158" s="207"/>
      <c r="AG158" s="208"/>
      <c r="AH158" s="209"/>
      <c r="AI158" s="210"/>
      <c r="AJ158" s="197"/>
      <c r="AK158" s="201"/>
      <c r="AL158" s="196"/>
      <c r="AM158" s="201"/>
      <c r="AN158" s="201"/>
      <c r="AO158" s="201"/>
      <c r="AP158" s="211"/>
      <c r="AQ158" s="212"/>
      <c r="AR158" s="201"/>
      <c r="AS158" s="201"/>
      <c r="AT158" s="201"/>
      <c r="AU158" s="201"/>
      <c r="AV158" s="202"/>
      <c r="AW158" s="194"/>
      <c r="AX158" s="201"/>
      <c r="AY158" s="213"/>
      <c r="AZ158" s="214"/>
      <c r="BA158" s="215"/>
      <c r="BB158" s="216"/>
      <c r="BC158" s="217" t="str">
        <f t="shared" si="26"/>
        <v/>
      </c>
      <c r="BD158" s="218"/>
      <c r="BE158" s="219"/>
      <c r="BF158" s="220"/>
      <c r="BG158" s="219"/>
      <c r="BH158" s="219"/>
      <c r="BI158" s="220"/>
      <c r="BJ158" s="218"/>
      <c r="BK158" s="219"/>
      <c r="BL158" s="197"/>
      <c r="BM158" s="215"/>
      <c r="BN158" s="221"/>
      <c r="BO158" s="222" t="str">
        <f t="shared" si="27"/>
        <v/>
      </c>
      <c r="BP158" s="217" t="str">
        <f t="shared" si="28"/>
        <v/>
      </c>
      <c r="BQ158" s="215"/>
      <c r="BR158" s="224"/>
      <c r="BS158" s="225"/>
      <c r="BT158" s="223"/>
      <c r="BU158" s="215"/>
      <c r="BV158" s="226"/>
      <c r="BW158" s="222" t="str">
        <f t="shared" si="29"/>
        <v/>
      </c>
      <c r="BX158" s="223" t="str">
        <f t="shared" si="30"/>
        <v/>
      </c>
      <c r="BY158" s="215"/>
      <c r="BZ158" s="227"/>
      <c r="CA158" s="227"/>
      <c r="CB158" s="228"/>
      <c r="CC158" s="229"/>
      <c r="CD158" s="230" t="str">
        <f t="shared" si="31"/>
        <v/>
      </c>
      <c r="CE158" s="231" t="str">
        <f t="shared" si="32"/>
        <v/>
      </c>
      <c r="CF158" s="232" t="str">
        <f t="shared" si="33"/>
        <v/>
      </c>
      <c r="CG158" s="233" t="str">
        <f t="shared" si="34"/>
        <v/>
      </c>
      <c r="CH158" s="207" t="str">
        <f>IF(OR(G158="",CC158= ""), "", IF(ISERROR(SMALL((CJ158,CN158,CV158), 1)-CC158), "",  SMALL((CJ158,CN158,CV158), 1)-CC158))</f>
        <v/>
      </c>
      <c r="CI158" s="234"/>
      <c r="CJ158" s="235"/>
      <c r="CK158" s="236"/>
      <c r="CL158" s="222" t="str">
        <f t="shared" si="35"/>
        <v/>
      </c>
      <c r="CM158" s="237" t="str">
        <f>IF(OR(G158="", CJ158="",CK158=""), "", IF(ISERROR(SMALL((CN158,CV158), 1)-CK158), "",  SMALL((CN158,CV158), 1)-CK158))</f>
        <v/>
      </c>
      <c r="CN158" s="235"/>
      <c r="CO158" s="236"/>
      <c r="CP158" s="224" t="str">
        <f t="shared" si="36"/>
        <v/>
      </c>
      <c r="CQ158" s="235"/>
      <c r="CR158" s="236"/>
      <c r="CS158" s="222" t="str">
        <f t="shared" si="37"/>
        <v/>
      </c>
      <c r="CT158" s="237" t="str">
        <f t="shared" si="38"/>
        <v/>
      </c>
      <c r="CU158" s="238"/>
      <c r="CV158" s="239"/>
      <c r="CW158" s="240"/>
    </row>
    <row r="159" spans="2:101" ht="16.5" customHeight="1">
      <c r="B159" s="122"/>
      <c r="E159" s="122"/>
      <c r="F159" s="194"/>
      <c r="G159" s="195"/>
      <c r="H159" s="195"/>
      <c r="I159" s="195"/>
      <c r="J159" s="196"/>
      <c r="K159" s="197"/>
      <c r="L159" s="198"/>
      <c r="M159" s="199"/>
      <c r="N159" s="200"/>
      <c r="O159" s="201"/>
      <c r="P159" s="201"/>
      <c r="Q159" s="201"/>
      <c r="R159" s="201"/>
      <c r="S159" s="201"/>
      <c r="T159" s="201"/>
      <c r="U159" s="201"/>
      <c r="V159" s="201"/>
      <c r="W159" s="201"/>
      <c r="X159" s="202"/>
      <c r="Y159" s="203"/>
      <c r="Z159" s="204"/>
      <c r="AA159" s="205"/>
      <c r="AB159" s="206"/>
      <c r="AC159" s="206"/>
      <c r="AD159" s="194"/>
      <c r="AE159" s="201"/>
      <c r="AF159" s="207"/>
      <c r="AG159" s="208"/>
      <c r="AH159" s="209"/>
      <c r="AI159" s="210"/>
      <c r="AJ159" s="197"/>
      <c r="AK159" s="201"/>
      <c r="AL159" s="196"/>
      <c r="AM159" s="201"/>
      <c r="AN159" s="201"/>
      <c r="AO159" s="201"/>
      <c r="AP159" s="211"/>
      <c r="AQ159" s="212"/>
      <c r="AR159" s="201"/>
      <c r="AS159" s="201"/>
      <c r="AT159" s="201"/>
      <c r="AU159" s="201"/>
      <c r="AV159" s="202"/>
      <c r="AW159" s="194"/>
      <c r="AX159" s="201"/>
      <c r="AY159" s="213"/>
      <c r="AZ159" s="214"/>
      <c r="BA159" s="215"/>
      <c r="BB159" s="216"/>
      <c r="BC159" s="217" t="str">
        <f t="shared" si="26"/>
        <v/>
      </c>
      <c r="BD159" s="218"/>
      <c r="BE159" s="219"/>
      <c r="BF159" s="220"/>
      <c r="BG159" s="219"/>
      <c r="BH159" s="219"/>
      <c r="BI159" s="220"/>
      <c r="BJ159" s="218"/>
      <c r="BK159" s="219"/>
      <c r="BL159" s="197"/>
      <c r="BM159" s="215"/>
      <c r="BN159" s="221"/>
      <c r="BO159" s="222" t="str">
        <f t="shared" si="27"/>
        <v/>
      </c>
      <c r="BP159" s="217" t="str">
        <f t="shared" si="28"/>
        <v/>
      </c>
      <c r="BQ159" s="215"/>
      <c r="BR159" s="224"/>
      <c r="BS159" s="225"/>
      <c r="BT159" s="223"/>
      <c r="BU159" s="215"/>
      <c r="BV159" s="226"/>
      <c r="BW159" s="222" t="str">
        <f t="shared" si="29"/>
        <v/>
      </c>
      <c r="BX159" s="223" t="str">
        <f t="shared" si="30"/>
        <v/>
      </c>
      <c r="BY159" s="215"/>
      <c r="BZ159" s="227"/>
      <c r="CA159" s="227"/>
      <c r="CB159" s="228"/>
      <c r="CC159" s="229"/>
      <c r="CD159" s="230" t="str">
        <f t="shared" si="31"/>
        <v/>
      </c>
      <c r="CE159" s="231" t="str">
        <f t="shared" si="32"/>
        <v/>
      </c>
      <c r="CF159" s="232" t="str">
        <f t="shared" si="33"/>
        <v/>
      </c>
      <c r="CG159" s="233" t="str">
        <f t="shared" si="34"/>
        <v/>
      </c>
      <c r="CH159" s="207" t="str">
        <f>IF(OR(G159="",CC159= ""), "", IF(ISERROR(SMALL((CJ159,CN159,CV159), 1)-CC159), "",  SMALL((CJ159,CN159,CV159), 1)-CC159))</f>
        <v/>
      </c>
      <c r="CI159" s="234"/>
      <c r="CJ159" s="235"/>
      <c r="CK159" s="236"/>
      <c r="CL159" s="222" t="str">
        <f t="shared" si="35"/>
        <v/>
      </c>
      <c r="CM159" s="237" t="str">
        <f>IF(OR(G159="", CJ159="",CK159=""), "", IF(ISERROR(SMALL((CN159,CV159), 1)-CK159), "",  SMALL((CN159,CV159), 1)-CK159))</f>
        <v/>
      </c>
      <c r="CN159" s="235"/>
      <c r="CO159" s="236"/>
      <c r="CP159" s="224" t="str">
        <f t="shared" si="36"/>
        <v/>
      </c>
      <c r="CQ159" s="235"/>
      <c r="CR159" s="236"/>
      <c r="CS159" s="222" t="str">
        <f t="shared" si="37"/>
        <v/>
      </c>
      <c r="CT159" s="237" t="str">
        <f t="shared" si="38"/>
        <v/>
      </c>
      <c r="CU159" s="238"/>
      <c r="CV159" s="239"/>
      <c r="CW159" s="240"/>
    </row>
    <row r="160" spans="2:101" ht="16.5" customHeight="1">
      <c r="B160" s="122"/>
      <c r="E160" s="122"/>
      <c r="F160" s="194"/>
      <c r="G160" s="195"/>
      <c r="H160" s="195"/>
      <c r="I160" s="195"/>
      <c r="J160" s="196"/>
      <c r="K160" s="197"/>
      <c r="L160" s="198"/>
      <c r="M160" s="199"/>
      <c r="N160" s="200"/>
      <c r="O160" s="201"/>
      <c r="P160" s="201"/>
      <c r="Q160" s="201"/>
      <c r="R160" s="201"/>
      <c r="S160" s="201"/>
      <c r="T160" s="201"/>
      <c r="U160" s="201"/>
      <c r="V160" s="201"/>
      <c r="W160" s="201"/>
      <c r="X160" s="202"/>
      <c r="Y160" s="203"/>
      <c r="Z160" s="204"/>
      <c r="AA160" s="205"/>
      <c r="AB160" s="206"/>
      <c r="AC160" s="206"/>
      <c r="AD160" s="194"/>
      <c r="AE160" s="201"/>
      <c r="AF160" s="207"/>
      <c r="AG160" s="208"/>
      <c r="AH160" s="209"/>
      <c r="AI160" s="210"/>
      <c r="AJ160" s="197"/>
      <c r="AK160" s="201"/>
      <c r="AL160" s="196"/>
      <c r="AM160" s="201"/>
      <c r="AN160" s="201"/>
      <c r="AO160" s="201"/>
      <c r="AP160" s="211"/>
      <c r="AQ160" s="212"/>
      <c r="AR160" s="201"/>
      <c r="AS160" s="201"/>
      <c r="AT160" s="201"/>
      <c r="AU160" s="201"/>
      <c r="AV160" s="202"/>
      <c r="AW160" s="194"/>
      <c r="AX160" s="201"/>
      <c r="AY160" s="213"/>
      <c r="AZ160" s="214"/>
      <c r="BA160" s="215"/>
      <c r="BB160" s="216"/>
      <c r="BC160" s="217" t="str">
        <f t="shared" si="26"/>
        <v/>
      </c>
      <c r="BD160" s="218"/>
      <c r="BE160" s="219"/>
      <c r="BF160" s="220"/>
      <c r="BG160" s="219"/>
      <c r="BH160" s="219"/>
      <c r="BI160" s="220"/>
      <c r="BJ160" s="218"/>
      <c r="BK160" s="219"/>
      <c r="BL160" s="197"/>
      <c r="BM160" s="215"/>
      <c r="BN160" s="221"/>
      <c r="BO160" s="222" t="str">
        <f t="shared" si="27"/>
        <v/>
      </c>
      <c r="BP160" s="217" t="str">
        <f t="shared" si="28"/>
        <v/>
      </c>
      <c r="BQ160" s="215"/>
      <c r="BR160" s="224"/>
      <c r="BS160" s="225"/>
      <c r="BT160" s="223"/>
      <c r="BU160" s="215"/>
      <c r="BV160" s="226"/>
      <c r="BW160" s="222" t="str">
        <f t="shared" si="29"/>
        <v/>
      </c>
      <c r="BX160" s="223" t="str">
        <f t="shared" si="30"/>
        <v/>
      </c>
      <c r="BY160" s="215"/>
      <c r="BZ160" s="227"/>
      <c r="CA160" s="227"/>
      <c r="CB160" s="228"/>
      <c r="CC160" s="229"/>
      <c r="CD160" s="230" t="str">
        <f t="shared" si="31"/>
        <v/>
      </c>
      <c r="CE160" s="231" t="str">
        <f t="shared" si="32"/>
        <v/>
      </c>
      <c r="CF160" s="232" t="str">
        <f t="shared" si="33"/>
        <v/>
      </c>
      <c r="CG160" s="233" t="str">
        <f t="shared" si="34"/>
        <v/>
      </c>
      <c r="CH160" s="207" t="str">
        <f>IF(OR(G160="",CC160= ""), "", IF(ISERROR(SMALL((CJ160,CN160,CV160), 1)-CC160), "",  SMALL((CJ160,CN160,CV160), 1)-CC160))</f>
        <v/>
      </c>
      <c r="CI160" s="234"/>
      <c r="CJ160" s="235"/>
      <c r="CK160" s="236"/>
      <c r="CL160" s="222" t="str">
        <f t="shared" si="35"/>
        <v/>
      </c>
      <c r="CM160" s="237" t="str">
        <f>IF(OR(G160="", CJ160="",CK160=""), "", IF(ISERROR(SMALL((CN160,CV160), 1)-CK160), "",  SMALL((CN160,CV160), 1)-CK160))</f>
        <v/>
      </c>
      <c r="CN160" s="235"/>
      <c r="CO160" s="236"/>
      <c r="CP160" s="224" t="str">
        <f t="shared" si="36"/>
        <v/>
      </c>
      <c r="CQ160" s="235"/>
      <c r="CR160" s="236"/>
      <c r="CS160" s="222" t="str">
        <f t="shared" si="37"/>
        <v/>
      </c>
      <c r="CT160" s="237" t="str">
        <f t="shared" si="38"/>
        <v/>
      </c>
      <c r="CU160" s="238"/>
      <c r="CV160" s="239"/>
      <c r="CW160" s="240"/>
    </row>
    <row r="161" spans="2:101" ht="16.5" customHeight="1">
      <c r="B161" s="122"/>
      <c r="E161" s="122"/>
      <c r="F161" s="194"/>
      <c r="G161" s="195"/>
      <c r="H161" s="195"/>
      <c r="I161" s="195"/>
      <c r="J161" s="196"/>
      <c r="K161" s="197"/>
      <c r="L161" s="198"/>
      <c r="M161" s="199"/>
      <c r="N161" s="200"/>
      <c r="O161" s="201"/>
      <c r="P161" s="201"/>
      <c r="Q161" s="201"/>
      <c r="R161" s="201"/>
      <c r="S161" s="201"/>
      <c r="T161" s="201"/>
      <c r="U161" s="201"/>
      <c r="V161" s="201"/>
      <c r="W161" s="201"/>
      <c r="X161" s="202"/>
      <c r="Y161" s="203"/>
      <c r="Z161" s="204"/>
      <c r="AA161" s="205"/>
      <c r="AB161" s="206"/>
      <c r="AC161" s="206"/>
      <c r="AD161" s="194"/>
      <c r="AE161" s="201"/>
      <c r="AF161" s="207"/>
      <c r="AG161" s="208"/>
      <c r="AH161" s="209"/>
      <c r="AI161" s="210"/>
      <c r="AJ161" s="197"/>
      <c r="AK161" s="201"/>
      <c r="AL161" s="196"/>
      <c r="AM161" s="201"/>
      <c r="AN161" s="201"/>
      <c r="AO161" s="201"/>
      <c r="AP161" s="211"/>
      <c r="AQ161" s="212"/>
      <c r="AR161" s="201"/>
      <c r="AS161" s="201"/>
      <c r="AT161" s="201"/>
      <c r="AU161" s="201"/>
      <c r="AV161" s="202"/>
      <c r="AW161" s="194"/>
      <c r="AX161" s="201"/>
      <c r="AY161" s="213"/>
      <c r="AZ161" s="214"/>
      <c r="BA161" s="215"/>
      <c r="BB161" s="216"/>
      <c r="BC161" s="217" t="str">
        <f t="shared" si="26"/>
        <v/>
      </c>
      <c r="BD161" s="218"/>
      <c r="BE161" s="219"/>
      <c r="BF161" s="220"/>
      <c r="BG161" s="219"/>
      <c r="BH161" s="219"/>
      <c r="BI161" s="220"/>
      <c r="BJ161" s="218"/>
      <c r="BK161" s="219"/>
      <c r="BL161" s="197"/>
      <c r="BM161" s="215"/>
      <c r="BN161" s="221"/>
      <c r="BO161" s="222" t="str">
        <f t="shared" si="27"/>
        <v/>
      </c>
      <c r="BP161" s="217" t="str">
        <f t="shared" si="28"/>
        <v/>
      </c>
      <c r="BQ161" s="215"/>
      <c r="BR161" s="224"/>
      <c r="BS161" s="225"/>
      <c r="BT161" s="223"/>
      <c r="BU161" s="215"/>
      <c r="BV161" s="226"/>
      <c r="BW161" s="222" t="str">
        <f t="shared" si="29"/>
        <v/>
      </c>
      <c r="BX161" s="223" t="str">
        <f t="shared" si="30"/>
        <v/>
      </c>
      <c r="BY161" s="215"/>
      <c r="BZ161" s="227"/>
      <c r="CA161" s="227"/>
      <c r="CB161" s="228"/>
      <c r="CC161" s="229"/>
      <c r="CD161" s="230" t="str">
        <f t="shared" si="31"/>
        <v/>
      </c>
      <c r="CE161" s="231" t="str">
        <f t="shared" si="32"/>
        <v/>
      </c>
      <c r="CF161" s="232" t="str">
        <f t="shared" si="33"/>
        <v/>
      </c>
      <c r="CG161" s="233" t="str">
        <f t="shared" si="34"/>
        <v/>
      </c>
      <c r="CH161" s="207" t="str">
        <f>IF(OR(G161="",CC161= ""), "", IF(ISERROR(SMALL((CJ161,CN161,CV161), 1)-CC161), "",  SMALL((CJ161,CN161,CV161), 1)-CC161))</f>
        <v/>
      </c>
      <c r="CI161" s="234"/>
      <c r="CJ161" s="235"/>
      <c r="CK161" s="236"/>
      <c r="CL161" s="222" t="str">
        <f t="shared" si="35"/>
        <v/>
      </c>
      <c r="CM161" s="237" t="str">
        <f>IF(OR(G161="", CJ161="",CK161=""), "", IF(ISERROR(SMALL((CN161,CV161), 1)-CK161), "",  SMALL((CN161,CV161), 1)-CK161))</f>
        <v/>
      </c>
      <c r="CN161" s="235"/>
      <c r="CO161" s="236"/>
      <c r="CP161" s="224" t="str">
        <f t="shared" si="36"/>
        <v/>
      </c>
      <c r="CQ161" s="235"/>
      <c r="CR161" s="236"/>
      <c r="CS161" s="222" t="str">
        <f t="shared" si="37"/>
        <v/>
      </c>
      <c r="CT161" s="237" t="str">
        <f t="shared" si="38"/>
        <v/>
      </c>
      <c r="CU161" s="238"/>
      <c r="CV161" s="239"/>
      <c r="CW161" s="240"/>
    </row>
    <row r="162" spans="2:101" ht="16.5" customHeight="1">
      <c r="B162" s="122"/>
      <c r="E162" s="122"/>
      <c r="F162" s="194"/>
      <c r="G162" s="195"/>
      <c r="H162" s="195"/>
      <c r="I162" s="195"/>
      <c r="J162" s="196"/>
      <c r="K162" s="197"/>
      <c r="L162" s="198"/>
      <c r="M162" s="199"/>
      <c r="N162" s="200"/>
      <c r="O162" s="201"/>
      <c r="P162" s="201"/>
      <c r="Q162" s="201"/>
      <c r="R162" s="201"/>
      <c r="S162" s="201"/>
      <c r="T162" s="201"/>
      <c r="U162" s="201"/>
      <c r="V162" s="201"/>
      <c r="W162" s="201"/>
      <c r="X162" s="202"/>
      <c r="Y162" s="203"/>
      <c r="Z162" s="204"/>
      <c r="AA162" s="205"/>
      <c r="AB162" s="206"/>
      <c r="AC162" s="206"/>
      <c r="AD162" s="194"/>
      <c r="AE162" s="201"/>
      <c r="AF162" s="207"/>
      <c r="AG162" s="208"/>
      <c r="AH162" s="209"/>
      <c r="AI162" s="210"/>
      <c r="AJ162" s="197"/>
      <c r="AK162" s="201"/>
      <c r="AL162" s="196"/>
      <c r="AM162" s="201"/>
      <c r="AN162" s="201"/>
      <c r="AO162" s="201"/>
      <c r="AP162" s="211"/>
      <c r="AQ162" s="212"/>
      <c r="AR162" s="201"/>
      <c r="AS162" s="201"/>
      <c r="AT162" s="201"/>
      <c r="AU162" s="201"/>
      <c r="AV162" s="202"/>
      <c r="AW162" s="194"/>
      <c r="AX162" s="201"/>
      <c r="AY162" s="213"/>
      <c r="AZ162" s="214"/>
      <c r="BA162" s="215"/>
      <c r="BB162" s="216"/>
      <c r="BC162" s="217" t="str">
        <f t="shared" si="26"/>
        <v/>
      </c>
      <c r="BD162" s="218"/>
      <c r="BE162" s="219"/>
      <c r="BF162" s="220"/>
      <c r="BG162" s="219"/>
      <c r="BH162" s="219"/>
      <c r="BI162" s="220"/>
      <c r="BJ162" s="218"/>
      <c r="BK162" s="219"/>
      <c r="BL162" s="197"/>
      <c r="BM162" s="215"/>
      <c r="BN162" s="221"/>
      <c r="BO162" s="222" t="str">
        <f t="shared" si="27"/>
        <v/>
      </c>
      <c r="BP162" s="217" t="str">
        <f t="shared" si="28"/>
        <v/>
      </c>
      <c r="BQ162" s="215"/>
      <c r="BR162" s="224"/>
      <c r="BS162" s="225"/>
      <c r="BT162" s="223"/>
      <c r="BU162" s="215"/>
      <c r="BV162" s="226"/>
      <c r="BW162" s="222" t="str">
        <f t="shared" si="29"/>
        <v/>
      </c>
      <c r="BX162" s="223" t="str">
        <f t="shared" si="30"/>
        <v/>
      </c>
      <c r="BY162" s="215"/>
      <c r="BZ162" s="227"/>
      <c r="CA162" s="227"/>
      <c r="CB162" s="228"/>
      <c r="CC162" s="229"/>
      <c r="CD162" s="230" t="str">
        <f t="shared" si="31"/>
        <v/>
      </c>
      <c r="CE162" s="231" t="str">
        <f t="shared" si="32"/>
        <v/>
      </c>
      <c r="CF162" s="232" t="str">
        <f t="shared" si="33"/>
        <v/>
      </c>
      <c r="CG162" s="233" t="str">
        <f t="shared" si="34"/>
        <v/>
      </c>
      <c r="CH162" s="207" t="str">
        <f>IF(OR(G162="",CC162= ""), "", IF(ISERROR(SMALL((CJ162,CN162,CV162), 1)-CC162), "",  SMALL((CJ162,CN162,CV162), 1)-CC162))</f>
        <v/>
      </c>
      <c r="CI162" s="234"/>
      <c r="CJ162" s="235"/>
      <c r="CK162" s="236"/>
      <c r="CL162" s="222" t="str">
        <f t="shared" si="35"/>
        <v/>
      </c>
      <c r="CM162" s="237" t="str">
        <f>IF(OR(G162="", CJ162="",CK162=""), "", IF(ISERROR(SMALL((CN162,CV162), 1)-CK162), "",  SMALL((CN162,CV162), 1)-CK162))</f>
        <v/>
      </c>
      <c r="CN162" s="235"/>
      <c r="CO162" s="236"/>
      <c r="CP162" s="224" t="str">
        <f t="shared" si="36"/>
        <v/>
      </c>
      <c r="CQ162" s="235"/>
      <c r="CR162" s="236"/>
      <c r="CS162" s="222" t="str">
        <f t="shared" si="37"/>
        <v/>
      </c>
      <c r="CT162" s="237" t="str">
        <f t="shared" si="38"/>
        <v/>
      </c>
      <c r="CU162" s="238"/>
      <c r="CV162" s="239"/>
      <c r="CW162" s="240"/>
    </row>
    <row r="163" spans="2:101" ht="16.5" customHeight="1">
      <c r="B163" s="122"/>
      <c r="E163" s="122"/>
      <c r="F163" s="194"/>
      <c r="G163" s="195"/>
      <c r="H163" s="195"/>
      <c r="I163" s="195"/>
      <c r="J163" s="196"/>
      <c r="K163" s="197"/>
      <c r="L163" s="198"/>
      <c r="M163" s="199"/>
      <c r="N163" s="200"/>
      <c r="O163" s="201"/>
      <c r="P163" s="201"/>
      <c r="Q163" s="201"/>
      <c r="R163" s="201"/>
      <c r="S163" s="201"/>
      <c r="T163" s="201"/>
      <c r="U163" s="201"/>
      <c r="V163" s="201"/>
      <c r="W163" s="201"/>
      <c r="X163" s="202"/>
      <c r="Y163" s="203"/>
      <c r="Z163" s="204"/>
      <c r="AA163" s="205"/>
      <c r="AB163" s="206"/>
      <c r="AC163" s="206"/>
      <c r="AD163" s="194"/>
      <c r="AE163" s="201"/>
      <c r="AF163" s="207"/>
      <c r="AG163" s="208"/>
      <c r="AH163" s="209"/>
      <c r="AI163" s="210"/>
      <c r="AJ163" s="197"/>
      <c r="AK163" s="201"/>
      <c r="AL163" s="196"/>
      <c r="AM163" s="201"/>
      <c r="AN163" s="201"/>
      <c r="AO163" s="201"/>
      <c r="AP163" s="211"/>
      <c r="AQ163" s="212"/>
      <c r="AR163" s="201"/>
      <c r="AS163" s="201"/>
      <c r="AT163" s="201"/>
      <c r="AU163" s="201"/>
      <c r="AV163" s="202"/>
      <c r="AW163" s="194"/>
      <c r="AX163" s="201"/>
      <c r="AY163" s="213"/>
      <c r="AZ163" s="214"/>
      <c r="BA163" s="215"/>
      <c r="BB163" s="216"/>
      <c r="BC163" s="217" t="str">
        <f t="shared" si="26"/>
        <v/>
      </c>
      <c r="BD163" s="218"/>
      <c r="BE163" s="219"/>
      <c r="BF163" s="220"/>
      <c r="BG163" s="219"/>
      <c r="BH163" s="219"/>
      <c r="BI163" s="220"/>
      <c r="BJ163" s="218"/>
      <c r="BK163" s="219"/>
      <c r="BL163" s="197"/>
      <c r="BM163" s="215"/>
      <c r="BN163" s="221"/>
      <c r="BO163" s="222" t="str">
        <f t="shared" si="27"/>
        <v/>
      </c>
      <c r="BP163" s="217" t="str">
        <f t="shared" si="28"/>
        <v/>
      </c>
      <c r="BQ163" s="215"/>
      <c r="BR163" s="224"/>
      <c r="BS163" s="225"/>
      <c r="BT163" s="223"/>
      <c r="BU163" s="215"/>
      <c r="BV163" s="226"/>
      <c r="BW163" s="222" t="str">
        <f t="shared" si="29"/>
        <v/>
      </c>
      <c r="BX163" s="223" t="str">
        <f t="shared" si="30"/>
        <v/>
      </c>
      <c r="BY163" s="215"/>
      <c r="BZ163" s="227"/>
      <c r="CA163" s="227"/>
      <c r="CB163" s="228"/>
      <c r="CC163" s="229"/>
      <c r="CD163" s="230" t="str">
        <f t="shared" si="31"/>
        <v/>
      </c>
      <c r="CE163" s="231" t="str">
        <f t="shared" si="32"/>
        <v/>
      </c>
      <c r="CF163" s="232" t="str">
        <f t="shared" si="33"/>
        <v/>
      </c>
      <c r="CG163" s="233" t="str">
        <f t="shared" si="34"/>
        <v/>
      </c>
      <c r="CH163" s="207" t="str">
        <f>IF(OR(G163="",CC163= ""), "", IF(ISERROR(SMALL((CJ163,CN163,CV163), 1)-CC163), "",  SMALL((CJ163,CN163,CV163), 1)-CC163))</f>
        <v/>
      </c>
      <c r="CI163" s="234"/>
      <c r="CJ163" s="235"/>
      <c r="CK163" s="236"/>
      <c r="CL163" s="222" t="str">
        <f t="shared" si="35"/>
        <v/>
      </c>
      <c r="CM163" s="237" t="str">
        <f>IF(OR(G163="", CJ163="",CK163=""), "", IF(ISERROR(SMALL((CN163,CV163), 1)-CK163), "",  SMALL((CN163,CV163), 1)-CK163))</f>
        <v/>
      </c>
      <c r="CN163" s="235"/>
      <c r="CO163" s="236"/>
      <c r="CP163" s="224" t="str">
        <f t="shared" si="36"/>
        <v/>
      </c>
      <c r="CQ163" s="235"/>
      <c r="CR163" s="236"/>
      <c r="CS163" s="222" t="str">
        <f t="shared" si="37"/>
        <v/>
      </c>
      <c r="CT163" s="237" t="str">
        <f t="shared" si="38"/>
        <v/>
      </c>
      <c r="CU163" s="238"/>
      <c r="CV163" s="239"/>
      <c r="CW163" s="240"/>
    </row>
    <row r="164" spans="2:101" ht="16.5" customHeight="1">
      <c r="B164" s="122"/>
      <c r="E164" s="122"/>
      <c r="F164" s="194"/>
      <c r="G164" s="195"/>
      <c r="H164" s="195"/>
      <c r="I164" s="195"/>
      <c r="J164" s="196"/>
      <c r="K164" s="197"/>
      <c r="L164" s="198"/>
      <c r="M164" s="199"/>
      <c r="N164" s="200"/>
      <c r="O164" s="201"/>
      <c r="P164" s="201"/>
      <c r="Q164" s="201"/>
      <c r="R164" s="201"/>
      <c r="S164" s="201"/>
      <c r="T164" s="201"/>
      <c r="U164" s="201"/>
      <c r="V164" s="201"/>
      <c r="W164" s="201"/>
      <c r="X164" s="202"/>
      <c r="Y164" s="203"/>
      <c r="Z164" s="204"/>
      <c r="AA164" s="205"/>
      <c r="AB164" s="206"/>
      <c r="AC164" s="206"/>
      <c r="AD164" s="194"/>
      <c r="AE164" s="201"/>
      <c r="AF164" s="207"/>
      <c r="AG164" s="208"/>
      <c r="AH164" s="209"/>
      <c r="AI164" s="210"/>
      <c r="AJ164" s="197"/>
      <c r="AK164" s="201"/>
      <c r="AL164" s="196"/>
      <c r="AM164" s="201"/>
      <c r="AN164" s="201"/>
      <c r="AO164" s="201"/>
      <c r="AP164" s="211"/>
      <c r="AQ164" s="212"/>
      <c r="AR164" s="201"/>
      <c r="AS164" s="201"/>
      <c r="AT164" s="201"/>
      <c r="AU164" s="201"/>
      <c r="AV164" s="202"/>
      <c r="AW164" s="194"/>
      <c r="AX164" s="201"/>
      <c r="AY164" s="213"/>
      <c r="AZ164" s="214"/>
      <c r="BA164" s="215"/>
      <c r="BB164" s="216"/>
      <c r="BC164" s="217" t="str">
        <f t="shared" si="26"/>
        <v/>
      </c>
      <c r="BD164" s="218"/>
      <c r="BE164" s="219"/>
      <c r="BF164" s="220"/>
      <c r="BG164" s="219"/>
      <c r="BH164" s="219"/>
      <c r="BI164" s="220"/>
      <c r="BJ164" s="218"/>
      <c r="BK164" s="219"/>
      <c r="BL164" s="197"/>
      <c r="BM164" s="215"/>
      <c r="BN164" s="221"/>
      <c r="BO164" s="222" t="str">
        <f t="shared" si="27"/>
        <v/>
      </c>
      <c r="BP164" s="217" t="str">
        <f t="shared" si="28"/>
        <v/>
      </c>
      <c r="BQ164" s="215"/>
      <c r="BR164" s="224"/>
      <c r="BS164" s="225"/>
      <c r="BT164" s="223"/>
      <c r="BU164" s="215"/>
      <c r="BV164" s="226"/>
      <c r="BW164" s="222" t="str">
        <f t="shared" si="29"/>
        <v/>
      </c>
      <c r="BX164" s="223" t="str">
        <f t="shared" si="30"/>
        <v/>
      </c>
      <c r="BY164" s="215"/>
      <c r="BZ164" s="227"/>
      <c r="CA164" s="227"/>
      <c r="CB164" s="228"/>
      <c r="CC164" s="229"/>
      <c r="CD164" s="230" t="str">
        <f t="shared" si="31"/>
        <v/>
      </c>
      <c r="CE164" s="231" t="str">
        <f t="shared" si="32"/>
        <v/>
      </c>
      <c r="CF164" s="232" t="str">
        <f t="shared" si="33"/>
        <v/>
      </c>
      <c r="CG164" s="233" t="str">
        <f t="shared" si="34"/>
        <v/>
      </c>
      <c r="CH164" s="207" t="str">
        <f>IF(OR(G164="",CC164= ""), "", IF(ISERROR(SMALL((CJ164,CN164,CV164), 1)-CC164), "",  SMALL((CJ164,CN164,CV164), 1)-CC164))</f>
        <v/>
      </c>
      <c r="CI164" s="234"/>
      <c r="CJ164" s="235"/>
      <c r="CK164" s="236"/>
      <c r="CL164" s="222" t="str">
        <f t="shared" si="35"/>
        <v/>
      </c>
      <c r="CM164" s="237" t="str">
        <f>IF(OR(G164="", CJ164="",CK164=""), "", IF(ISERROR(SMALL((CN164,CV164), 1)-CK164), "",  SMALL((CN164,CV164), 1)-CK164))</f>
        <v/>
      </c>
      <c r="CN164" s="235"/>
      <c r="CO164" s="236"/>
      <c r="CP164" s="224" t="str">
        <f t="shared" si="36"/>
        <v/>
      </c>
      <c r="CQ164" s="235"/>
      <c r="CR164" s="236"/>
      <c r="CS164" s="222" t="str">
        <f t="shared" si="37"/>
        <v/>
      </c>
      <c r="CT164" s="237" t="str">
        <f t="shared" si="38"/>
        <v/>
      </c>
      <c r="CU164" s="238"/>
      <c r="CV164" s="239"/>
      <c r="CW164" s="240"/>
    </row>
    <row r="165" spans="2:101" ht="16.5" customHeight="1">
      <c r="B165" s="122"/>
      <c r="E165" s="122"/>
      <c r="F165" s="194"/>
      <c r="G165" s="195"/>
      <c r="H165" s="195"/>
      <c r="I165" s="195"/>
      <c r="J165" s="196"/>
      <c r="K165" s="197"/>
      <c r="L165" s="198"/>
      <c r="M165" s="199"/>
      <c r="N165" s="200"/>
      <c r="O165" s="201"/>
      <c r="P165" s="201"/>
      <c r="Q165" s="201"/>
      <c r="R165" s="201"/>
      <c r="S165" s="201"/>
      <c r="T165" s="201"/>
      <c r="U165" s="201"/>
      <c r="V165" s="201"/>
      <c r="W165" s="201"/>
      <c r="X165" s="202"/>
      <c r="Y165" s="203"/>
      <c r="Z165" s="204"/>
      <c r="AA165" s="205"/>
      <c r="AB165" s="206"/>
      <c r="AC165" s="206"/>
      <c r="AD165" s="194"/>
      <c r="AE165" s="201"/>
      <c r="AF165" s="207"/>
      <c r="AG165" s="208"/>
      <c r="AH165" s="209"/>
      <c r="AI165" s="210"/>
      <c r="AJ165" s="197"/>
      <c r="AK165" s="201"/>
      <c r="AL165" s="196"/>
      <c r="AM165" s="201"/>
      <c r="AN165" s="201"/>
      <c r="AO165" s="201"/>
      <c r="AP165" s="211"/>
      <c r="AQ165" s="212"/>
      <c r="AR165" s="201"/>
      <c r="AS165" s="201"/>
      <c r="AT165" s="201"/>
      <c r="AU165" s="201"/>
      <c r="AV165" s="202"/>
      <c r="AW165" s="194"/>
      <c r="AX165" s="201"/>
      <c r="AY165" s="213"/>
      <c r="AZ165" s="214"/>
      <c r="BA165" s="215"/>
      <c r="BB165" s="216"/>
      <c r="BC165" s="217" t="str">
        <f t="shared" si="26"/>
        <v/>
      </c>
      <c r="BD165" s="218"/>
      <c r="BE165" s="219"/>
      <c r="BF165" s="220"/>
      <c r="BG165" s="219"/>
      <c r="BH165" s="219"/>
      <c r="BI165" s="220"/>
      <c r="BJ165" s="218"/>
      <c r="BK165" s="219"/>
      <c r="BL165" s="197"/>
      <c r="BM165" s="215"/>
      <c r="BN165" s="221"/>
      <c r="BO165" s="222" t="str">
        <f t="shared" si="27"/>
        <v/>
      </c>
      <c r="BP165" s="217" t="str">
        <f t="shared" si="28"/>
        <v/>
      </c>
      <c r="BQ165" s="215"/>
      <c r="BR165" s="224"/>
      <c r="BS165" s="225"/>
      <c r="BT165" s="223"/>
      <c r="BU165" s="215"/>
      <c r="BV165" s="226"/>
      <c r="BW165" s="222" t="str">
        <f t="shared" si="29"/>
        <v/>
      </c>
      <c r="BX165" s="223" t="str">
        <f t="shared" si="30"/>
        <v/>
      </c>
      <c r="BY165" s="215"/>
      <c r="BZ165" s="227"/>
      <c r="CA165" s="227"/>
      <c r="CB165" s="228"/>
      <c r="CC165" s="229"/>
      <c r="CD165" s="230" t="str">
        <f t="shared" si="31"/>
        <v/>
      </c>
      <c r="CE165" s="231" t="str">
        <f t="shared" si="32"/>
        <v/>
      </c>
      <c r="CF165" s="232" t="str">
        <f t="shared" si="33"/>
        <v/>
      </c>
      <c r="CG165" s="233" t="str">
        <f t="shared" si="34"/>
        <v/>
      </c>
      <c r="CH165" s="207" t="str">
        <f>IF(OR(G165="",CC165= ""), "", IF(ISERROR(SMALL((CJ165,CN165,CV165), 1)-CC165), "",  SMALL((CJ165,CN165,CV165), 1)-CC165))</f>
        <v/>
      </c>
      <c r="CI165" s="234"/>
      <c r="CJ165" s="235"/>
      <c r="CK165" s="236"/>
      <c r="CL165" s="222" t="str">
        <f t="shared" si="35"/>
        <v/>
      </c>
      <c r="CM165" s="237" t="str">
        <f>IF(OR(G165="", CJ165="",CK165=""), "", IF(ISERROR(SMALL((CN165,CV165), 1)-CK165), "",  SMALL((CN165,CV165), 1)-CK165))</f>
        <v/>
      </c>
      <c r="CN165" s="235"/>
      <c r="CO165" s="236"/>
      <c r="CP165" s="224" t="str">
        <f t="shared" si="36"/>
        <v/>
      </c>
      <c r="CQ165" s="235"/>
      <c r="CR165" s="236"/>
      <c r="CS165" s="222" t="str">
        <f t="shared" si="37"/>
        <v/>
      </c>
      <c r="CT165" s="237" t="str">
        <f t="shared" si="38"/>
        <v/>
      </c>
      <c r="CU165" s="238"/>
      <c r="CV165" s="239"/>
      <c r="CW165" s="240"/>
    </row>
    <row r="166" spans="2:101" ht="16.5" customHeight="1">
      <c r="B166" s="122"/>
      <c r="E166" s="122"/>
      <c r="F166" s="194"/>
      <c r="G166" s="195"/>
      <c r="H166" s="195"/>
      <c r="I166" s="195"/>
      <c r="J166" s="196"/>
      <c r="K166" s="197"/>
      <c r="L166" s="198"/>
      <c r="M166" s="199"/>
      <c r="N166" s="200"/>
      <c r="O166" s="201"/>
      <c r="P166" s="201"/>
      <c r="Q166" s="201"/>
      <c r="R166" s="201"/>
      <c r="S166" s="201"/>
      <c r="T166" s="201"/>
      <c r="U166" s="201"/>
      <c r="V166" s="201"/>
      <c r="W166" s="201"/>
      <c r="X166" s="202"/>
      <c r="Y166" s="203"/>
      <c r="Z166" s="204"/>
      <c r="AA166" s="205"/>
      <c r="AB166" s="206"/>
      <c r="AC166" s="206"/>
      <c r="AD166" s="194"/>
      <c r="AE166" s="201"/>
      <c r="AF166" s="207"/>
      <c r="AG166" s="208"/>
      <c r="AH166" s="209"/>
      <c r="AI166" s="210"/>
      <c r="AJ166" s="197"/>
      <c r="AK166" s="201"/>
      <c r="AL166" s="196"/>
      <c r="AM166" s="201"/>
      <c r="AN166" s="201"/>
      <c r="AO166" s="201"/>
      <c r="AP166" s="211"/>
      <c r="AQ166" s="212"/>
      <c r="AR166" s="201"/>
      <c r="AS166" s="201"/>
      <c r="AT166" s="201"/>
      <c r="AU166" s="201"/>
      <c r="AV166" s="202"/>
      <c r="AW166" s="194"/>
      <c r="AX166" s="201"/>
      <c r="AY166" s="213"/>
      <c r="AZ166" s="214"/>
      <c r="BA166" s="215"/>
      <c r="BB166" s="216"/>
      <c r="BC166" s="217" t="str">
        <f t="shared" si="26"/>
        <v/>
      </c>
      <c r="BD166" s="218"/>
      <c r="BE166" s="219"/>
      <c r="BF166" s="220"/>
      <c r="BG166" s="219"/>
      <c r="BH166" s="219"/>
      <c r="BI166" s="220"/>
      <c r="BJ166" s="218"/>
      <c r="BK166" s="219"/>
      <c r="BL166" s="197"/>
      <c r="BM166" s="215"/>
      <c r="BN166" s="221"/>
      <c r="BO166" s="222" t="str">
        <f t="shared" si="27"/>
        <v/>
      </c>
      <c r="BP166" s="217" t="str">
        <f t="shared" si="28"/>
        <v/>
      </c>
      <c r="BQ166" s="215"/>
      <c r="BR166" s="224"/>
      <c r="BS166" s="225"/>
      <c r="BT166" s="223"/>
      <c r="BU166" s="215"/>
      <c r="BV166" s="226"/>
      <c r="BW166" s="222" t="str">
        <f t="shared" si="29"/>
        <v/>
      </c>
      <c r="BX166" s="223" t="str">
        <f t="shared" si="30"/>
        <v/>
      </c>
      <c r="BY166" s="215"/>
      <c r="BZ166" s="227"/>
      <c r="CA166" s="227"/>
      <c r="CB166" s="228"/>
      <c r="CC166" s="229"/>
      <c r="CD166" s="230" t="str">
        <f t="shared" si="31"/>
        <v/>
      </c>
      <c r="CE166" s="231" t="str">
        <f t="shared" si="32"/>
        <v/>
      </c>
      <c r="CF166" s="232" t="str">
        <f t="shared" si="33"/>
        <v/>
      </c>
      <c r="CG166" s="233" t="str">
        <f t="shared" si="34"/>
        <v/>
      </c>
      <c r="CH166" s="207" t="str">
        <f>IF(OR(G166="",CC166= ""), "", IF(ISERROR(SMALL((CJ166,CN166,CV166), 1)-CC166), "",  SMALL((CJ166,CN166,CV166), 1)-CC166))</f>
        <v/>
      </c>
      <c r="CI166" s="234"/>
      <c r="CJ166" s="235"/>
      <c r="CK166" s="236"/>
      <c r="CL166" s="222" t="str">
        <f t="shared" si="35"/>
        <v/>
      </c>
      <c r="CM166" s="237" t="str">
        <f>IF(OR(G166="", CJ166="",CK166=""), "", IF(ISERROR(SMALL((CN166,CV166), 1)-CK166), "",  SMALL((CN166,CV166), 1)-CK166))</f>
        <v/>
      </c>
      <c r="CN166" s="235"/>
      <c r="CO166" s="236"/>
      <c r="CP166" s="224" t="str">
        <f t="shared" si="36"/>
        <v/>
      </c>
      <c r="CQ166" s="235"/>
      <c r="CR166" s="236"/>
      <c r="CS166" s="222" t="str">
        <f t="shared" si="37"/>
        <v/>
      </c>
      <c r="CT166" s="237" t="str">
        <f t="shared" si="38"/>
        <v/>
      </c>
      <c r="CU166" s="238"/>
      <c r="CV166" s="239"/>
      <c r="CW166" s="240"/>
    </row>
    <row r="167" spans="2:101" ht="16.5" customHeight="1">
      <c r="B167" s="122"/>
      <c r="E167" s="122"/>
      <c r="F167" s="194"/>
      <c r="G167" s="195"/>
      <c r="H167" s="195"/>
      <c r="I167" s="195"/>
      <c r="J167" s="196"/>
      <c r="K167" s="197"/>
      <c r="L167" s="198"/>
      <c r="M167" s="199"/>
      <c r="N167" s="200"/>
      <c r="O167" s="201"/>
      <c r="P167" s="201"/>
      <c r="Q167" s="201"/>
      <c r="R167" s="201"/>
      <c r="S167" s="201"/>
      <c r="T167" s="201"/>
      <c r="U167" s="201"/>
      <c r="V167" s="201"/>
      <c r="W167" s="201"/>
      <c r="X167" s="202"/>
      <c r="Y167" s="203"/>
      <c r="Z167" s="204"/>
      <c r="AA167" s="205"/>
      <c r="AB167" s="206"/>
      <c r="AC167" s="206"/>
      <c r="AD167" s="194"/>
      <c r="AE167" s="201"/>
      <c r="AF167" s="207"/>
      <c r="AG167" s="208"/>
      <c r="AH167" s="209"/>
      <c r="AI167" s="210"/>
      <c r="AJ167" s="197"/>
      <c r="AK167" s="201"/>
      <c r="AL167" s="196"/>
      <c r="AM167" s="201"/>
      <c r="AN167" s="201"/>
      <c r="AO167" s="201"/>
      <c r="AP167" s="211"/>
      <c r="AQ167" s="212"/>
      <c r="AR167" s="201"/>
      <c r="AS167" s="201"/>
      <c r="AT167" s="201"/>
      <c r="AU167" s="201"/>
      <c r="AV167" s="202"/>
      <c r="AW167" s="194"/>
      <c r="AX167" s="201"/>
      <c r="AY167" s="213"/>
      <c r="AZ167" s="214"/>
      <c r="BA167" s="215"/>
      <c r="BB167" s="216"/>
      <c r="BC167" s="217" t="str">
        <f t="shared" si="26"/>
        <v/>
      </c>
      <c r="BD167" s="218"/>
      <c r="BE167" s="219"/>
      <c r="BF167" s="220"/>
      <c r="BG167" s="219"/>
      <c r="BH167" s="219"/>
      <c r="BI167" s="220"/>
      <c r="BJ167" s="218"/>
      <c r="BK167" s="219"/>
      <c r="BL167" s="197"/>
      <c r="BM167" s="215"/>
      <c r="BN167" s="221"/>
      <c r="BO167" s="222" t="str">
        <f t="shared" si="27"/>
        <v/>
      </c>
      <c r="BP167" s="217" t="str">
        <f t="shared" si="28"/>
        <v/>
      </c>
      <c r="BQ167" s="215"/>
      <c r="BR167" s="224"/>
      <c r="BS167" s="225"/>
      <c r="BT167" s="223"/>
      <c r="BU167" s="215"/>
      <c r="BV167" s="226"/>
      <c r="BW167" s="222" t="str">
        <f t="shared" si="29"/>
        <v/>
      </c>
      <c r="BX167" s="223" t="str">
        <f t="shared" si="30"/>
        <v/>
      </c>
      <c r="BY167" s="215"/>
      <c r="BZ167" s="227"/>
      <c r="CA167" s="227"/>
      <c r="CB167" s="228"/>
      <c r="CC167" s="229"/>
      <c r="CD167" s="230" t="str">
        <f t="shared" si="31"/>
        <v/>
      </c>
      <c r="CE167" s="231" t="str">
        <f t="shared" si="32"/>
        <v/>
      </c>
      <c r="CF167" s="232" t="str">
        <f t="shared" si="33"/>
        <v/>
      </c>
      <c r="CG167" s="233" t="str">
        <f t="shared" si="34"/>
        <v/>
      </c>
      <c r="CH167" s="207" t="str">
        <f>IF(OR(G167="",CC167= ""), "", IF(ISERROR(SMALL((CJ167,CN167,CV167), 1)-CC167), "",  SMALL((CJ167,CN167,CV167), 1)-CC167))</f>
        <v/>
      </c>
      <c r="CI167" s="234"/>
      <c r="CJ167" s="235"/>
      <c r="CK167" s="236"/>
      <c r="CL167" s="222" t="str">
        <f t="shared" si="35"/>
        <v/>
      </c>
      <c r="CM167" s="237" t="str">
        <f>IF(OR(G167="", CJ167="",CK167=""), "", IF(ISERROR(SMALL((CN167,CV167), 1)-CK167), "",  SMALL((CN167,CV167), 1)-CK167))</f>
        <v/>
      </c>
      <c r="CN167" s="235"/>
      <c r="CO167" s="236"/>
      <c r="CP167" s="224" t="str">
        <f t="shared" si="36"/>
        <v/>
      </c>
      <c r="CQ167" s="235"/>
      <c r="CR167" s="236"/>
      <c r="CS167" s="222" t="str">
        <f t="shared" si="37"/>
        <v/>
      </c>
      <c r="CT167" s="237" t="str">
        <f t="shared" si="38"/>
        <v/>
      </c>
      <c r="CU167" s="238"/>
      <c r="CV167" s="239"/>
      <c r="CW167" s="240"/>
    </row>
    <row r="168" spans="2:101" ht="16.5" customHeight="1">
      <c r="B168" s="122"/>
      <c r="E168" s="122"/>
      <c r="F168" s="194"/>
      <c r="G168" s="195"/>
      <c r="H168" s="195"/>
      <c r="I168" s="195"/>
      <c r="J168" s="196"/>
      <c r="K168" s="197"/>
      <c r="L168" s="198"/>
      <c r="M168" s="199"/>
      <c r="N168" s="200"/>
      <c r="O168" s="201"/>
      <c r="P168" s="201"/>
      <c r="Q168" s="201"/>
      <c r="R168" s="201"/>
      <c r="S168" s="201"/>
      <c r="T168" s="201"/>
      <c r="U168" s="201"/>
      <c r="V168" s="201"/>
      <c r="W168" s="201"/>
      <c r="X168" s="202"/>
      <c r="Y168" s="203"/>
      <c r="Z168" s="204"/>
      <c r="AA168" s="205"/>
      <c r="AB168" s="206"/>
      <c r="AC168" s="206"/>
      <c r="AD168" s="194"/>
      <c r="AE168" s="201"/>
      <c r="AF168" s="207"/>
      <c r="AG168" s="208"/>
      <c r="AH168" s="209"/>
      <c r="AI168" s="210"/>
      <c r="AJ168" s="197"/>
      <c r="AK168" s="201"/>
      <c r="AL168" s="196"/>
      <c r="AM168" s="201"/>
      <c r="AN168" s="201"/>
      <c r="AO168" s="201"/>
      <c r="AP168" s="211"/>
      <c r="AQ168" s="212"/>
      <c r="AR168" s="201"/>
      <c r="AS168" s="201"/>
      <c r="AT168" s="201"/>
      <c r="AU168" s="201"/>
      <c r="AV168" s="202"/>
      <c r="AW168" s="194"/>
      <c r="AX168" s="201"/>
      <c r="AY168" s="213"/>
      <c r="AZ168" s="214"/>
      <c r="BA168" s="215"/>
      <c r="BB168" s="216"/>
      <c r="BC168" s="217" t="str">
        <f t="shared" si="26"/>
        <v/>
      </c>
      <c r="BD168" s="218"/>
      <c r="BE168" s="219"/>
      <c r="BF168" s="220"/>
      <c r="BG168" s="219"/>
      <c r="BH168" s="219"/>
      <c r="BI168" s="220"/>
      <c r="BJ168" s="218"/>
      <c r="BK168" s="219"/>
      <c r="BL168" s="197"/>
      <c r="BM168" s="215"/>
      <c r="BN168" s="221"/>
      <c r="BO168" s="222" t="str">
        <f t="shared" si="27"/>
        <v/>
      </c>
      <c r="BP168" s="217" t="str">
        <f t="shared" si="28"/>
        <v/>
      </c>
      <c r="BQ168" s="215"/>
      <c r="BR168" s="224"/>
      <c r="BS168" s="225"/>
      <c r="BT168" s="223"/>
      <c r="BU168" s="215"/>
      <c r="BV168" s="226"/>
      <c r="BW168" s="222" t="str">
        <f t="shared" si="29"/>
        <v/>
      </c>
      <c r="BX168" s="223" t="str">
        <f t="shared" si="30"/>
        <v/>
      </c>
      <c r="BY168" s="215"/>
      <c r="BZ168" s="227"/>
      <c r="CA168" s="227"/>
      <c r="CB168" s="228"/>
      <c r="CC168" s="229"/>
      <c r="CD168" s="230" t="str">
        <f t="shared" si="31"/>
        <v/>
      </c>
      <c r="CE168" s="231" t="str">
        <f t="shared" si="32"/>
        <v/>
      </c>
      <c r="CF168" s="232" t="str">
        <f t="shared" si="33"/>
        <v/>
      </c>
      <c r="CG168" s="233" t="str">
        <f t="shared" si="34"/>
        <v/>
      </c>
      <c r="CH168" s="207" t="str">
        <f>IF(OR(G168="",CC168= ""), "", IF(ISERROR(SMALL((CJ168,CN168,CV168), 1)-CC168), "",  SMALL((CJ168,CN168,CV168), 1)-CC168))</f>
        <v/>
      </c>
      <c r="CI168" s="234"/>
      <c r="CJ168" s="235"/>
      <c r="CK168" s="236"/>
      <c r="CL168" s="222" t="str">
        <f t="shared" si="35"/>
        <v/>
      </c>
      <c r="CM168" s="237" t="str">
        <f>IF(OR(G168="", CJ168="",CK168=""), "", IF(ISERROR(SMALL((CN168,CV168), 1)-CK168), "",  SMALL((CN168,CV168), 1)-CK168))</f>
        <v/>
      </c>
      <c r="CN168" s="235"/>
      <c r="CO168" s="236"/>
      <c r="CP168" s="224" t="str">
        <f t="shared" si="36"/>
        <v/>
      </c>
      <c r="CQ168" s="235"/>
      <c r="CR168" s="236"/>
      <c r="CS168" s="222" t="str">
        <f t="shared" si="37"/>
        <v/>
      </c>
      <c r="CT168" s="237" t="str">
        <f t="shared" si="38"/>
        <v/>
      </c>
      <c r="CU168" s="238"/>
      <c r="CV168" s="239"/>
      <c r="CW168" s="240"/>
    </row>
    <row r="169" spans="2:101" ht="16.5" customHeight="1">
      <c r="B169" s="122"/>
      <c r="E169" s="122"/>
      <c r="F169" s="194"/>
      <c r="G169" s="195"/>
      <c r="H169" s="195"/>
      <c r="I169" s="195"/>
      <c r="J169" s="196"/>
      <c r="K169" s="197"/>
      <c r="L169" s="198"/>
      <c r="M169" s="199"/>
      <c r="N169" s="200"/>
      <c r="O169" s="201"/>
      <c r="P169" s="201"/>
      <c r="Q169" s="201"/>
      <c r="R169" s="201"/>
      <c r="S169" s="201"/>
      <c r="T169" s="201"/>
      <c r="U169" s="201"/>
      <c r="V169" s="201"/>
      <c r="W169" s="201"/>
      <c r="X169" s="202"/>
      <c r="Y169" s="203"/>
      <c r="Z169" s="204"/>
      <c r="AA169" s="205"/>
      <c r="AB169" s="206"/>
      <c r="AC169" s="206"/>
      <c r="AD169" s="194"/>
      <c r="AE169" s="201"/>
      <c r="AF169" s="207"/>
      <c r="AG169" s="208"/>
      <c r="AH169" s="209"/>
      <c r="AI169" s="210"/>
      <c r="AJ169" s="197"/>
      <c r="AK169" s="201"/>
      <c r="AL169" s="196"/>
      <c r="AM169" s="201"/>
      <c r="AN169" s="201"/>
      <c r="AO169" s="201"/>
      <c r="AP169" s="211"/>
      <c r="AQ169" s="212"/>
      <c r="AR169" s="201"/>
      <c r="AS169" s="201"/>
      <c r="AT169" s="201"/>
      <c r="AU169" s="201"/>
      <c r="AV169" s="202"/>
      <c r="AW169" s="194"/>
      <c r="AX169" s="201"/>
      <c r="AY169" s="213"/>
      <c r="AZ169" s="214"/>
      <c r="BA169" s="215"/>
      <c r="BB169" s="216"/>
      <c r="BC169" s="217" t="str">
        <f t="shared" si="26"/>
        <v/>
      </c>
      <c r="BD169" s="218"/>
      <c r="BE169" s="219"/>
      <c r="BF169" s="220"/>
      <c r="BG169" s="219"/>
      <c r="BH169" s="219"/>
      <c r="BI169" s="220"/>
      <c r="BJ169" s="218"/>
      <c r="BK169" s="219"/>
      <c r="BL169" s="197"/>
      <c r="BM169" s="215"/>
      <c r="BN169" s="221"/>
      <c r="BO169" s="222" t="str">
        <f t="shared" si="27"/>
        <v/>
      </c>
      <c r="BP169" s="217" t="str">
        <f t="shared" si="28"/>
        <v/>
      </c>
      <c r="BQ169" s="215"/>
      <c r="BR169" s="224"/>
      <c r="BS169" s="225"/>
      <c r="BT169" s="223"/>
      <c r="BU169" s="215"/>
      <c r="BV169" s="226"/>
      <c r="BW169" s="222" t="str">
        <f t="shared" si="29"/>
        <v/>
      </c>
      <c r="BX169" s="223" t="str">
        <f t="shared" si="30"/>
        <v/>
      </c>
      <c r="BY169" s="215"/>
      <c r="BZ169" s="227"/>
      <c r="CA169" s="227"/>
      <c r="CB169" s="228"/>
      <c r="CC169" s="229"/>
      <c r="CD169" s="230" t="str">
        <f t="shared" si="31"/>
        <v/>
      </c>
      <c r="CE169" s="231" t="str">
        <f t="shared" si="32"/>
        <v/>
      </c>
      <c r="CF169" s="232" t="str">
        <f t="shared" si="33"/>
        <v/>
      </c>
      <c r="CG169" s="233" t="str">
        <f t="shared" si="34"/>
        <v/>
      </c>
      <c r="CH169" s="207" t="str">
        <f>IF(OR(G169="",CC169= ""), "", IF(ISERROR(SMALL((CJ169,CN169,CV169), 1)-CC169), "",  SMALL((CJ169,CN169,CV169), 1)-CC169))</f>
        <v/>
      </c>
      <c r="CI169" s="234"/>
      <c r="CJ169" s="235"/>
      <c r="CK169" s="236"/>
      <c r="CL169" s="222" t="str">
        <f t="shared" si="35"/>
        <v/>
      </c>
      <c r="CM169" s="237" t="str">
        <f>IF(OR(G169="", CJ169="",CK169=""), "", IF(ISERROR(SMALL((CN169,CV169), 1)-CK169), "",  SMALL((CN169,CV169), 1)-CK169))</f>
        <v/>
      </c>
      <c r="CN169" s="235"/>
      <c r="CO169" s="236"/>
      <c r="CP169" s="224" t="str">
        <f t="shared" si="36"/>
        <v/>
      </c>
      <c r="CQ169" s="235"/>
      <c r="CR169" s="236"/>
      <c r="CS169" s="222" t="str">
        <f t="shared" si="37"/>
        <v/>
      </c>
      <c r="CT169" s="237" t="str">
        <f t="shared" si="38"/>
        <v/>
      </c>
      <c r="CU169" s="238"/>
      <c r="CV169" s="239"/>
      <c r="CW169" s="240"/>
    </row>
    <row r="170" spans="2:101" ht="16.5" customHeight="1">
      <c r="B170" s="122"/>
      <c r="E170" s="122"/>
      <c r="F170" s="194"/>
      <c r="G170" s="195"/>
      <c r="H170" s="195"/>
      <c r="I170" s="195"/>
      <c r="J170" s="196"/>
      <c r="K170" s="197"/>
      <c r="L170" s="198"/>
      <c r="M170" s="199"/>
      <c r="N170" s="200"/>
      <c r="O170" s="201"/>
      <c r="P170" s="201"/>
      <c r="Q170" s="201"/>
      <c r="R170" s="201"/>
      <c r="S170" s="201"/>
      <c r="T170" s="201"/>
      <c r="U170" s="201"/>
      <c r="V170" s="201"/>
      <c r="W170" s="201"/>
      <c r="X170" s="202"/>
      <c r="Y170" s="203"/>
      <c r="Z170" s="204"/>
      <c r="AA170" s="205"/>
      <c r="AB170" s="206"/>
      <c r="AC170" s="206"/>
      <c r="AD170" s="194"/>
      <c r="AE170" s="201"/>
      <c r="AF170" s="207"/>
      <c r="AG170" s="208"/>
      <c r="AH170" s="209"/>
      <c r="AI170" s="210"/>
      <c r="AJ170" s="197"/>
      <c r="AK170" s="201"/>
      <c r="AL170" s="196"/>
      <c r="AM170" s="201"/>
      <c r="AN170" s="201"/>
      <c r="AO170" s="201"/>
      <c r="AP170" s="211"/>
      <c r="AQ170" s="212"/>
      <c r="AR170" s="201"/>
      <c r="AS170" s="201"/>
      <c r="AT170" s="201"/>
      <c r="AU170" s="201"/>
      <c r="AV170" s="202"/>
      <c r="AW170" s="194"/>
      <c r="AX170" s="201"/>
      <c r="AY170" s="213"/>
      <c r="AZ170" s="214"/>
      <c r="BA170" s="215"/>
      <c r="BB170" s="216"/>
      <c r="BC170" s="217" t="str">
        <f t="shared" si="26"/>
        <v/>
      </c>
      <c r="BD170" s="218"/>
      <c r="BE170" s="219"/>
      <c r="BF170" s="220"/>
      <c r="BG170" s="219"/>
      <c r="BH170" s="219"/>
      <c r="BI170" s="220"/>
      <c r="BJ170" s="218"/>
      <c r="BK170" s="219"/>
      <c r="BL170" s="197"/>
      <c r="BM170" s="215"/>
      <c r="BN170" s="221"/>
      <c r="BO170" s="222" t="str">
        <f t="shared" si="27"/>
        <v/>
      </c>
      <c r="BP170" s="217" t="str">
        <f t="shared" si="28"/>
        <v/>
      </c>
      <c r="BQ170" s="215"/>
      <c r="BR170" s="224"/>
      <c r="BS170" s="225"/>
      <c r="BT170" s="223"/>
      <c r="BU170" s="215"/>
      <c r="BV170" s="226"/>
      <c r="BW170" s="222" t="str">
        <f t="shared" si="29"/>
        <v/>
      </c>
      <c r="BX170" s="223" t="str">
        <f t="shared" si="30"/>
        <v/>
      </c>
      <c r="BY170" s="215"/>
      <c r="BZ170" s="227"/>
      <c r="CA170" s="227"/>
      <c r="CB170" s="228"/>
      <c r="CC170" s="229"/>
      <c r="CD170" s="230" t="str">
        <f t="shared" si="31"/>
        <v/>
      </c>
      <c r="CE170" s="231" t="str">
        <f t="shared" si="32"/>
        <v/>
      </c>
      <c r="CF170" s="232" t="str">
        <f t="shared" si="33"/>
        <v/>
      </c>
      <c r="CG170" s="233" t="str">
        <f t="shared" si="34"/>
        <v/>
      </c>
      <c r="CH170" s="207" t="str">
        <f>IF(OR(G170="",CC170= ""), "", IF(ISERROR(SMALL((CJ170,CN170,CV170), 1)-CC170), "",  SMALL((CJ170,CN170,CV170), 1)-CC170))</f>
        <v/>
      </c>
      <c r="CI170" s="234"/>
      <c r="CJ170" s="235"/>
      <c r="CK170" s="236"/>
      <c r="CL170" s="222" t="str">
        <f t="shared" si="35"/>
        <v/>
      </c>
      <c r="CM170" s="237" t="str">
        <f>IF(OR(G170="", CJ170="",CK170=""), "", IF(ISERROR(SMALL((CN170,CV170), 1)-CK170), "",  SMALL((CN170,CV170), 1)-CK170))</f>
        <v/>
      </c>
      <c r="CN170" s="235"/>
      <c r="CO170" s="236"/>
      <c r="CP170" s="224" t="str">
        <f t="shared" si="36"/>
        <v/>
      </c>
      <c r="CQ170" s="235"/>
      <c r="CR170" s="236"/>
      <c r="CS170" s="222" t="str">
        <f t="shared" si="37"/>
        <v/>
      </c>
      <c r="CT170" s="237" t="str">
        <f t="shared" si="38"/>
        <v/>
      </c>
      <c r="CU170" s="238"/>
      <c r="CV170" s="239"/>
      <c r="CW170" s="240"/>
    </row>
    <row r="171" spans="2:101" ht="16.5" customHeight="1">
      <c r="B171" s="122"/>
      <c r="E171" s="122"/>
      <c r="F171" s="194"/>
      <c r="G171" s="195"/>
      <c r="H171" s="195"/>
      <c r="I171" s="195"/>
      <c r="J171" s="196"/>
      <c r="K171" s="197"/>
      <c r="L171" s="198"/>
      <c r="M171" s="199"/>
      <c r="N171" s="200"/>
      <c r="O171" s="201"/>
      <c r="P171" s="201"/>
      <c r="Q171" s="201"/>
      <c r="R171" s="201"/>
      <c r="S171" s="201"/>
      <c r="T171" s="201"/>
      <c r="U171" s="201"/>
      <c r="V171" s="201"/>
      <c r="W171" s="201"/>
      <c r="X171" s="202"/>
      <c r="Y171" s="203"/>
      <c r="Z171" s="204"/>
      <c r="AA171" s="205"/>
      <c r="AB171" s="206"/>
      <c r="AC171" s="206"/>
      <c r="AD171" s="194"/>
      <c r="AE171" s="201"/>
      <c r="AF171" s="207"/>
      <c r="AG171" s="208"/>
      <c r="AH171" s="209"/>
      <c r="AI171" s="210"/>
      <c r="AJ171" s="197"/>
      <c r="AK171" s="201"/>
      <c r="AL171" s="196"/>
      <c r="AM171" s="201"/>
      <c r="AN171" s="201"/>
      <c r="AO171" s="201"/>
      <c r="AP171" s="211"/>
      <c r="AQ171" s="212"/>
      <c r="AR171" s="201"/>
      <c r="AS171" s="201"/>
      <c r="AT171" s="201"/>
      <c r="AU171" s="201"/>
      <c r="AV171" s="202"/>
      <c r="AW171" s="194"/>
      <c r="AX171" s="201"/>
      <c r="AY171" s="213"/>
      <c r="AZ171" s="214"/>
      <c r="BA171" s="215"/>
      <c r="BB171" s="216"/>
      <c r="BC171" s="217" t="str">
        <f t="shared" si="26"/>
        <v/>
      </c>
      <c r="BD171" s="218"/>
      <c r="BE171" s="219"/>
      <c r="BF171" s="220"/>
      <c r="BG171" s="219"/>
      <c r="BH171" s="219"/>
      <c r="BI171" s="220"/>
      <c r="BJ171" s="218"/>
      <c r="BK171" s="219"/>
      <c r="BL171" s="197"/>
      <c r="BM171" s="215"/>
      <c r="BN171" s="221"/>
      <c r="BO171" s="222" t="str">
        <f t="shared" si="27"/>
        <v/>
      </c>
      <c r="BP171" s="217" t="str">
        <f t="shared" si="28"/>
        <v/>
      </c>
      <c r="BQ171" s="215"/>
      <c r="BR171" s="224"/>
      <c r="BS171" s="225"/>
      <c r="BT171" s="223"/>
      <c r="BU171" s="215"/>
      <c r="BV171" s="226"/>
      <c r="BW171" s="222" t="str">
        <f t="shared" si="29"/>
        <v/>
      </c>
      <c r="BX171" s="223" t="str">
        <f t="shared" si="30"/>
        <v/>
      </c>
      <c r="BY171" s="215"/>
      <c r="BZ171" s="227"/>
      <c r="CA171" s="227"/>
      <c r="CB171" s="228"/>
      <c r="CC171" s="229"/>
      <c r="CD171" s="230" t="str">
        <f t="shared" si="31"/>
        <v/>
      </c>
      <c r="CE171" s="231" t="str">
        <f t="shared" si="32"/>
        <v/>
      </c>
      <c r="CF171" s="232" t="str">
        <f t="shared" si="33"/>
        <v/>
      </c>
      <c r="CG171" s="233" t="str">
        <f t="shared" si="34"/>
        <v/>
      </c>
      <c r="CH171" s="207" t="str">
        <f>IF(OR(G171="",CC171= ""), "", IF(ISERROR(SMALL((CJ171,CN171,CV171), 1)-CC171), "",  SMALL((CJ171,CN171,CV171), 1)-CC171))</f>
        <v/>
      </c>
      <c r="CI171" s="234"/>
      <c r="CJ171" s="235"/>
      <c r="CK171" s="236"/>
      <c r="CL171" s="222" t="str">
        <f t="shared" si="35"/>
        <v/>
      </c>
      <c r="CM171" s="237" t="str">
        <f>IF(OR(G171="", CJ171="",CK171=""), "", IF(ISERROR(SMALL((CN171,CV171), 1)-CK171), "",  SMALL((CN171,CV171), 1)-CK171))</f>
        <v/>
      </c>
      <c r="CN171" s="235"/>
      <c r="CO171" s="236"/>
      <c r="CP171" s="224" t="str">
        <f t="shared" si="36"/>
        <v/>
      </c>
      <c r="CQ171" s="235"/>
      <c r="CR171" s="236"/>
      <c r="CS171" s="222" t="str">
        <f t="shared" si="37"/>
        <v/>
      </c>
      <c r="CT171" s="237" t="str">
        <f t="shared" si="38"/>
        <v/>
      </c>
      <c r="CU171" s="238"/>
      <c r="CV171" s="239"/>
      <c r="CW171" s="240"/>
    </row>
    <row r="172" spans="2:101" ht="16.5" customHeight="1">
      <c r="B172" s="122"/>
      <c r="E172" s="122"/>
      <c r="F172" s="194"/>
      <c r="G172" s="195"/>
      <c r="H172" s="195"/>
      <c r="I172" s="195"/>
      <c r="J172" s="196"/>
      <c r="K172" s="197"/>
      <c r="L172" s="198"/>
      <c r="M172" s="199"/>
      <c r="N172" s="200"/>
      <c r="O172" s="201"/>
      <c r="P172" s="201"/>
      <c r="Q172" s="201"/>
      <c r="R172" s="201"/>
      <c r="S172" s="201"/>
      <c r="T172" s="201"/>
      <c r="U172" s="201"/>
      <c r="V172" s="201"/>
      <c r="W172" s="201"/>
      <c r="X172" s="202"/>
      <c r="Y172" s="203"/>
      <c r="Z172" s="204"/>
      <c r="AA172" s="205"/>
      <c r="AB172" s="206"/>
      <c r="AC172" s="206"/>
      <c r="AD172" s="194"/>
      <c r="AE172" s="201"/>
      <c r="AF172" s="207"/>
      <c r="AG172" s="208"/>
      <c r="AH172" s="209"/>
      <c r="AI172" s="210"/>
      <c r="AJ172" s="197"/>
      <c r="AK172" s="201"/>
      <c r="AL172" s="196"/>
      <c r="AM172" s="201"/>
      <c r="AN172" s="201"/>
      <c r="AO172" s="201"/>
      <c r="AP172" s="211"/>
      <c r="AQ172" s="212"/>
      <c r="AR172" s="201"/>
      <c r="AS172" s="201"/>
      <c r="AT172" s="201"/>
      <c r="AU172" s="201"/>
      <c r="AV172" s="202"/>
      <c r="AW172" s="194"/>
      <c r="AX172" s="201"/>
      <c r="AY172" s="213"/>
      <c r="AZ172" s="214"/>
      <c r="BA172" s="215"/>
      <c r="BB172" s="216"/>
      <c r="BC172" s="217" t="str">
        <f t="shared" si="26"/>
        <v/>
      </c>
      <c r="BD172" s="218"/>
      <c r="BE172" s="219"/>
      <c r="BF172" s="220"/>
      <c r="BG172" s="219"/>
      <c r="BH172" s="219"/>
      <c r="BI172" s="220"/>
      <c r="BJ172" s="218"/>
      <c r="BK172" s="219"/>
      <c r="BL172" s="197"/>
      <c r="BM172" s="215"/>
      <c r="BN172" s="221"/>
      <c r="BO172" s="222" t="str">
        <f t="shared" si="27"/>
        <v/>
      </c>
      <c r="BP172" s="217" t="str">
        <f t="shared" si="28"/>
        <v/>
      </c>
      <c r="BQ172" s="215"/>
      <c r="BR172" s="224"/>
      <c r="BS172" s="225"/>
      <c r="BT172" s="223"/>
      <c r="BU172" s="215"/>
      <c r="BV172" s="226"/>
      <c r="BW172" s="222" t="str">
        <f t="shared" si="29"/>
        <v/>
      </c>
      <c r="BX172" s="223" t="str">
        <f t="shared" si="30"/>
        <v/>
      </c>
      <c r="BY172" s="215"/>
      <c r="BZ172" s="227"/>
      <c r="CA172" s="227"/>
      <c r="CB172" s="228"/>
      <c r="CC172" s="229"/>
      <c r="CD172" s="230" t="str">
        <f t="shared" si="31"/>
        <v/>
      </c>
      <c r="CE172" s="231" t="str">
        <f t="shared" si="32"/>
        <v/>
      </c>
      <c r="CF172" s="232" t="str">
        <f t="shared" si="33"/>
        <v/>
      </c>
      <c r="CG172" s="233" t="str">
        <f t="shared" si="34"/>
        <v/>
      </c>
      <c r="CH172" s="207" t="str">
        <f>IF(OR(G172="",CC172= ""), "", IF(ISERROR(SMALL((CJ172,CN172,CV172), 1)-CC172), "",  SMALL((CJ172,CN172,CV172), 1)-CC172))</f>
        <v/>
      </c>
      <c r="CI172" s="234"/>
      <c r="CJ172" s="235"/>
      <c r="CK172" s="236"/>
      <c r="CL172" s="222" t="str">
        <f t="shared" si="35"/>
        <v/>
      </c>
      <c r="CM172" s="237" t="str">
        <f>IF(OR(G172="", CJ172="",CK172=""), "", IF(ISERROR(SMALL((CN172,CV172), 1)-CK172), "",  SMALL((CN172,CV172), 1)-CK172))</f>
        <v/>
      </c>
      <c r="CN172" s="235"/>
      <c r="CO172" s="236"/>
      <c r="CP172" s="224" t="str">
        <f t="shared" si="36"/>
        <v/>
      </c>
      <c r="CQ172" s="235"/>
      <c r="CR172" s="236"/>
      <c r="CS172" s="222" t="str">
        <f t="shared" si="37"/>
        <v/>
      </c>
      <c r="CT172" s="237" t="str">
        <f t="shared" si="38"/>
        <v/>
      </c>
      <c r="CU172" s="238"/>
      <c r="CV172" s="239"/>
      <c r="CW172" s="240"/>
    </row>
    <row r="173" spans="2:101" ht="16.5" customHeight="1">
      <c r="B173" s="122"/>
      <c r="E173" s="122"/>
      <c r="F173" s="194"/>
      <c r="G173" s="195"/>
      <c r="H173" s="195"/>
      <c r="I173" s="195"/>
      <c r="J173" s="196"/>
      <c r="K173" s="197"/>
      <c r="L173" s="198"/>
      <c r="M173" s="199"/>
      <c r="N173" s="200"/>
      <c r="O173" s="201"/>
      <c r="P173" s="201"/>
      <c r="Q173" s="201"/>
      <c r="R173" s="201"/>
      <c r="S173" s="201"/>
      <c r="T173" s="201"/>
      <c r="U173" s="201"/>
      <c r="V173" s="201"/>
      <c r="W173" s="201"/>
      <c r="X173" s="202"/>
      <c r="Y173" s="203"/>
      <c r="Z173" s="204"/>
      <c r="AA173" s="205"/>
      <c r="AB173" s="206"/>
      <c r="AC173" s="206"/>
      <c r="AD173" s="194"/>
      <c r="AE173" s="201"/>
      <c r="AF173" s="207"/>
      <c r="AG173" s="208"/>
      <c r="AH173" s="209"/>
      <c r="AI173" s="210"/>
      <c r="AJ173" s="197"/>
      <c r="AK173" s="201"/>
      <c r="AL173" s="196"/>
      <c r="AM173" s="201"/>
      <c r="AN173" s="201"/>
      <c r="AO173" s="201"/>
      <c r="AP173" s="211"/>
      <c r="AQ173" s="212"/>
      <c r="AR173" s="201"/>
      <c r="AS173" s="201"/>
      <c r="AT173" s="201"/>
      <c r="AU173" s="201"/>
      <c r="AV173" s="202"/>
      <c r="AW173" s="194"/>
      <c r="AX173" s="201"/>
      <c r="AY173" s="213"/>
      <c r="AZ173" s="214"/>
      <c r="BA173" s="215"/>
      <c r="BB173" s="216"/>
      <c r="BC173" s="217" t="str">
        <f t="shared" si="26"/>
        <v/>
      </c>
      <c r="BD173" s="218"/>
      <c r="BE173" s="219"/>
      <c r="BF173" s="220"/>
      <c r="BG173" s="219"/>
      <c r="BH173" s="219"/>
      <c r="BI173" s="220"/>
      <c r="BJ173" s="218"/>
      <c r="BK173" s="219"/>
      <c r="BL173" s="197"/>
      <c r="BM173" s="215"/>
      <c r="BN173" s="221"/>
      <c r="BO173" s="222" t="str">
        <f t="shared" si="27"/>
        <v/>
      </c>
      <c r="BP173" s="217" t="str">
        <f t="shared" si="28"/>
        <v/>
      </c>
      <c r="BQ173" s="215"/>
      <c r="BR173" s="224"/>
      <c r="BS173" s="225"/>
      <c r="BT173" s="223"/>
      <c r="BU173" s="215"/>
      <c r="BV173" s="226"/>
      <c r="BW173" s="222" t="str">
        <f t="shared" si="29"/>
        <v/>
      </c>
      <c r="BX173" s="223" t="str">
        <f t="shared" si="30"/>
        <v/>
      </c>
      <c r="BY173" s="215"/>
      <c r="BZ173" s="227"/>
      <c r="CA173" s="227"/>
      <c r="CB173" s="228"/>
      <c r="CC173" s="229"/>
      <c r="CD173" s="230" t="str">
        <f t="shared" si="31"/>
        <v/>
      </c>
      <c r="CE173" s="231" t="str">
        <f t="shared" si="32"/>
        <v/>
      </c>
      <c r="CF173" s="232" t="str">
        <f t="shared" si="33"/>
        <v/>
      </c>
      <c r="CG173" s="233" t="str">
        <f t="shared" si="34"/>
        <v/>
      </c>
      <c r="CH173" s="207" t="str">
        <f>IF(OR(G173="",CC173= ""), "", IF(ISERROR(SMALL((CJ173,CN173,CV173), 1)-CC173), "",  SMALL((CJ173,CN173,CV173), 1)-CC173))</f>
        <v/>
      </c>
      <c r="CI173" s="234"/>
      <c r="CJ173" s="235"/>
      <c r="CK173" s="236"/>
      <c r="CL173" s="222" t="str">
        <f t="shared" si="35"/>
        <v/>
      </c>
      <c r="CM173" s="237" t="str">
        <f>IF(OR(G173="", CJ173="",CK173=""), "", IF(ISERROR(SMALL((CN173,CV173), 1)-CK173), "",  SMALL((CN173,CV173), 1)-CK173))</f>
        <v/>
      </c>
      <c r="CN173" s="235"/>
      <c r="CO173" s="236"/>
      <c r="CP173" s="224" t="str">
        <f t="shared" si="36"/>
        <v/>
      </c>
      <c r="CQ173" s="235"/>
      <c r="CR173" s="236"/>
      <c r="CS173" s="222" t="str">
        <f t="shared" si="37"/>
        <v/>
      </c>
      <c r="CT173" s="237" t="str">
        <f t="shared" si="38"/>
        <v/>
      </c>
      <c r="CU173" s="238"/>
      <c r="CV173" s="239"/>
      <c r="CW173" s="240"/>
    </row>
    <row r="174" spans="2:101" ht="16.5" customHeight="1">
      <c r="B174" s="122"/>
      <c r="E174" s="122"/>
      <c r="F174" s="194"/>
      <c r="G174" s="195"/>
      <c r="H174" s="195"/>
      <c r="I174" s="195"/>
      <c r="J174" s="196"/>
      <c r="K174" s="197"/>
      <c r="L174" s="198"/>
      <c r="M174" s="199"/>
      <c r="N174" s="200"/>
      <c r="O174" s="201"/>
      <c r="P174" s="201"/>
      <c r="Q174" s="201"/>
      <c r="R174" s="201"/>
      <c r="S174" s="201"/>
      <c r="T174" s="201"/>
      <c r="U174" s="201"/>
      <c r="V174" s="201"/>
      <c r="W174" s="201"/>
      <c r="X174" s="202"/>
      <c r="Y174" s="203"/>
      <c r="Z174" s="204"/>
      <c r="AA174" s="205"/>
      <c r="AB174" s="206"/>
      <c r="AC174" s="206"/>
      <c r="AD174" s="194"/>
      <c r="AE174" s="201"/>
      <c r="AF174" s="207"/>
      <c r="AG174" s="208"/>
      <c r="AH174" s="209"/>
      <c r="AI174" s="210"/>
      <c r="AJ174" s="197"/>
      <c r="AK174" s="201"/>
      <c r="AL174" s="196"/>
      <c r="AM174" s="201"/>
      <c r="AN174" s="201"/>
      <c r="AO174" s="201"/>
      <c r="AP174" s="211"/>
      <c r="AQ174" s="212"/>
      <c r="AR174" s="201"/>
      <c r="AS174" s="201"/>
      <c r="AT174" s="201"/>
      <c r="AU174" s="201"/>
      <c r="AV174" s="202"/>
      <c r="AW174" s="194"/>
      <c r="AX174" s="201"/>
      <c r="AY174" s="213"/>
      <c r="AZ174" s="214"/>
      <c r="BA174" s="215"/>
      <c r="BB174" s="216"/>
      <c r="BC174" s="217" t="str">
        <f t="shared" si="26"/>
        <v/>
      </c>
      <c r="BD174" s="218"/>
      <c r="BE174" s="219"/>
      <c r="BF174" s="220"/>
      <c r="BG174" s="219"/>
      <c r="BH174" s="219"/>
      <c r="BI174" s="220"/>
      <c r="BJ174" s="218"/>
      <c r="BK174" s="219"/>
      <c r="BL174" s="197"/>
      <c r="BM174" s="215"/>
      <c r="BN174" s="221"/>
      <c r="BO174" s="222" t="str">
        <f t="shared" si="27"/>
        <v/>
      </c>
      <c r="BP174" s="217" t="str">
        <f t="shared" si="28"/>
        <v/>
      </c>
      <c r="BQ174" s="215"/>
      <c r="BR174" s="224"/>
      <c r="BS174" s="225"/>
      <c r="BT174" s="223"/>
      <c r="BU174" s="215"/>
      <c r="BV174" s="226"/>
      <c r="BW174" s="222" t="str">
        <f t="shared" si="29"/>
        <v/>
      </c>
      <c r="BX174" s="223" t="str">
        <f t="shared" si="30"/>
        <v/>
      </c>
      <c r="BY174" s="215"/>
      <c r="BZ174" s="227"/>
      <c r="CA174" s="227"/>
      <c r="CB174" s="228"/>
      <c r="CC174" s="229"/>
      <c r="CD174" s="230" t="str">
        <f t="shared" si="31"/>
        <v/>
      </c>
      <c r="CE174" s="231" t="str">
        <f t="shared" si="32"/>
        <v/>
      </c>
      <c r="CF174" s="232" t="str">
        <f t="shared" si="33"/>
        <v/>
      </c>
      <c r="CG174" s="233" t="str">
        <f t="shared" si="34"/>
        <v/>
      </c>
      <c r="CH174" s="207" t="str">
        <f>IF(OR(G174="",CC174= ""), "", IF(ISERROR(SMALL((CJ174,CN174,CV174), 1)-CC174), "",  SMALL((CJ174,CN174,CV174), 1)-CC174))</f>
        <v/>
      </c>
      <c r="CI174" s="234"/>
      <c r="CJ174" s="235"/>
      <c r="CK174" s="236"/>
      <c r="CL174" s="222" t="str">
        <f t="shared" si="35"/>
        <v/>
      </c>
      <c r="CM174" s="237" t="str">
        <f>IF(OR(G174="", CJ174="",CK174=""), "", IF(ISERROR(SMALL((CN174,CV174), 1)-CK174), "",  SMALL((CN174,CV174), 1)-CK174))</f>
        <v/>
      </c>
      <c r="CN174" s="235"/>
      <c r="CO174" s="236"/>
      <c r="CP174" s="224" t="str">
        <f t="shared" si="36"/>
        <v/>
      </c>
      <c r="CQ174" s="235"/>
      <c r="CR174" s="236"/>
      <c r="CS174" s="222" t="str">
        <f t="shared" si="37"/>
        <v/>
      </c>
      <c r="CT174" s="237" t="str">
        <f t="shared" si="38"/>
        <v/>
      </c>
      <c r="CU174" s="238"/>
      <c r="CV174" s="239"/>
      <c r="CW174" s="240"/>
    </row>
    <row r="175" spans="2:101" ht="16.5" customHeight="1">
      <c r="B175" s="122"/>
      <c r="E175" s="122"/>
      <c r="F175" s="194"/>
      <c r="G175" s="195"/>
      <c r="H175" s="195"/>
      <c r="I175" s="195"/>
      <c r="J175" s="196"/>
      <c r="K175" s="197"/>
      <c r="L175" s="198"/>
      <c r="M175" s="199"/>
      <c r="N175" s="200"/>
      <c r="O175" s="201"/>
      <c r="P175" s="201"/>
      <c r="Q175" s="201"/>
      <c r="R175" s="201"/>
      <c r="S175" s="201"/>
      <c r="T175" s="201"/>
      <c r="U175" s="201"/>
      <c r="V175" s="201"/>
      <c r="W175" s="201"/>
      <c r="X175" s="202"/>
      <c r="Y175" s="203"/>
      <c r="Z175" s="204"/>
      <c r="AA175" s="205"/>
      <c r="AB175" s="206"/>
      <c r="AC175" s="206"/>
      <c r="AD175" s="194"/>
      <c r="AE175" s="201"/>
      <c r="AF175" s="207"/>
      <c r="AG175" s="208"/>
      <c r="AH175" s="209"/>
      <c r="AI175" s="210"/>
      <c r="AJ175" s="197"/>
      <c r="AK175" s="201"/>
      <c r="AL175" s="196"/>
      <c r="AM175" s="201"/>
      <c r="AN175" s="201"/>
      <c r="AO175" s="201"/>
      <c r="AP175" s="211"/>
      <c r="AQ175" s="212"/>
      <c r="AR175" s="201"/>
      <c r="AS175" s="201"/>
      <c r="AT175" s="201"/>
      <c r="AU175" s="201"/>
      <c r="AV175" s="202"/>
      <c r="AW175" s="194"/>
      <c r="AX175" s="201"/>
      <c r="AY175" s="213"/>
      <c r="AZ175" s="214"/>
      <c r="BA175" s="215"/>
      <c r="BB175" s="216"/>
      <c r="BC175" s="217" t="str">
        <f t="shared" si="26"/>
        <v/>
      </c>
      <c r="BD175" s="218"/>
      <c r="BE175" s="219"/>
      <c r="BF175" s="220"/>
      <c r="BG175" s="219"/>
      <c r="BH175" s="219"/>
      <c r="BI175" s="220"/>
      <c r="BJ175" s="218"/>
      <c r="BK175" s="219"/>
      <c r="BL175" s="197"/>
      <c r="BM175" s="215"/>
      <c r="BN175" s="221"/>
      <c r="BO175" s="222" t="str">
        <f t="shared" si="27"/>
        <v/>
      </c>
      <c r="BP175" s="217" t="str">
        <f t="shared" si="28"/>
        <v/>
      </c>
      <c r="BQ175" s="215"/>
      <c r="BR175" s="224"/>
      <c r="BS175" s="225"/>
      <c r="BT175" s="223"/>
      <c r="BU175" s="215"/>
      <c r="BV175" s="226"/>
      <c r="BW175" s="222" t="str">
        <f t="shared" si="29"/>
        <v/>
      </c>
      <c r="BX175" s="223" t="str">
        <f t="shared" si="30"/>
        <v/>
      </c>
      <c r="BY175" s="215"/>
      <c r="BZ175" s="227"/>
      <c r="CA175" s="227"/>
      <c r="CB175" s="228"/>
      <c r="CC175" s="229"/>
      <c r="CD175" s="230" t="str">
        <f t="shared" si="31"/>
        <v/>
      </c>
      <c r="CE175" s="231" t="str">
        <f t="shared" si="32"/>
        <v/>
      </c>
      <c r="CF175" s="232" t="str">
        <f t="shared" si="33"/>
        <v/>
      </c>
      <c r="CG175" s="233" t="str">
        <f t="shared" si="34"/>
        <v/>
      </c>
      <c r="CH175" s="207" t="str">
        <f>IF(OR(G175="",CC175= ""), "", IF(ISERROR(SMALL((CJ175,CN175,CV175), 1)-CC175), "",  SMALL((CJ175,CN175,CV175), 1)-CC175))</f>
        <v/>
      </c>
      <c r="CI175" s="234"/>
      <c r="CJ175" s="235"/>
      <c r="CK175" s="236"/>
      <c r="CL175" s="222" t="str">
        <f t="shared" si="35"/>
        <v/>
      </c>
      <c r="CM175" s="237" t="str">
        <f>IF(OR(G175="", CJ175="",CK175=""), "", IF(ISERROR(SMALL((CN175,CV175), 1)-CK175), "",  SMALL((CN175,CV175), 1)-CK175))</f>
        <v/>
      </c>
      <c r="CN175" s="235"/>
      <c r="CO175" s="236"/>
      <c r="CP175" s="224" t="str">
        <f t="shared" si="36"/>
        <v/>
      </c>
      <c r="CQ175" s="235"/>
      <c r="CR175" s="236"/>
      <c r="CS175" s="222" t="str">
        <f t="shared" si="37"/>
        <v/>
      </c>
      <c r="CT175" s="237" t="str">
        <f t="shared" si="38"/>
        <v/>
      </c>
      <c r="CU175" s="238"/>
      <c r="CV175" s="239"/>
      <c r="CW175" s="240"/>
    </row>
    <row r="176" spans="2:101" ht="16.5" customHeight="1">
      <c r="B176" s="122"/>
      <c r="E176" s="122"/>
      <c r="F176" s="194"/>
      <c r="G176" s="195"/>
      <c r="H176" s="195"/>
      <c r="I176" s="195"/>
      <c r="J176" s="196"/>
      <c r="K176" s="197"/>
      <c r="L176" s="198"/>
      <c r="M176" s="199"/>
      <c r="N176" s="200"/>
      <c r="O176" s="201"/>
      <c r="P176" s="201"/>
      <c r="Q176" s="201"/>
      <c r="R176" s="201"/>
      <c r="S176" s="201"/>
      <c r="T176" s="201"/>
      <c r="U176" s="201"/>
      <c r="V176" s="201"/>
      <c r="W176" s="201"/>
      <c r="X176" s="202"/>
      <c r="Y176" s="203"/>
      <c r="Z176" s="204"/>
      <c r="AA176" s="205"/>
      <c r="AB176" s="206"/>
      <c r="AC176" s="206"/>
      <c r="AD176" s="194"/>
      <c r="AE176" s="201"/>
      <c r="AF176" s="207"/>
      <c r="AG176" s="208"/>
      <c r="AH176" s="209"/>
      <c r="AI176" s="210"/>
      <c r="AJ176" s="197"/>
      <c r="AK176" s="201"/>
      <c r="AL176" s="196"/>
      <c r="AM176" s="201"/>
      <c r="AN176" s="201"/>
      <c r="AO176" s="201"/>
      <c r="AP176" s="211"/>
      <c r="AQ176" s="212"/>
      <c r="AR176" s="201"/>
      <c r="AS176" s="201"/>
      <c r="AT176" s="201"/>
      <c r="AU176" s="201"/>
      <c r="AV176" s="202"/>
      <c r="AW176" s="194"/>
      <c r="AX176" s="201"/>
      <c r="AY176" s="213"/>
      <c r="AZ176" s="214"/>
      <c r="BA176" s="215"/>
      <c r="BB176" s="216"/>
      <c r="BC176" s="217" t="str">
        <f t="shared" si="26"/>
        <v/>
      </c>
      <c r="BD176" s="218"/>
      <c r="BE176" s="219"/>
      <c r="BF176" s="220"/>
      <c r="BG176" s="219"/>
      <c r="BH176" s="219"/>
      <c r="BI176" s="220"/>
      <c r="BJ176" s="218"/>
      <c r="BK176" s="219"/>
      <c r="BL176" s="197"/>
      <c r="BM176" s="215"/>
      <c r="BN176" s="221"/>
      <c r="BO176" s="222" t="str">
        <f t="shared" si="27"/>
        <v/>
      </c>
      <c r="BP176" s="217" t="str">
        <f t="shared" si="28"/>
        <v/>
      </c>
      <c r="BQ176" s="215"/>
      <c r="BR176" s="224"/>
      <c r="BS176" s="225"/>
      <c r="BT176" s="223"/>
      <c r="BU176" s="215"/>
      <c r="BV176" s="226"/>
      <c r="BW176" s="222" t="str">
        <f t="shared" si="29"/>
        <v/>
      </c>
      <c r="BX176" s="223" t="str">
        <f t="shared" si="30"/>
        <v/>
      </c>
      <c r="BY176" s="215"/>
      <c r="BZ176" s="227"/>
      <c r="CA176" s="227"/>
      <c r="CB176" s="228"/>
      <c r="CC176" s="229"/>
      <c r="CD176" s="230" t="str">
        <f t="shared" si="31"/>
        <v/>
      </c>
      <c r="CE176" s="231" t="str">
        <f t="shared" si="32"/>
        <v/>
      </c>
      <c r="CF176" s="232" t="str">
        <f t="shared" si="33"/>
        <v/>
      </c>
      <c r="CG176" s="233" t="str">
        <f t="shared" si="34"/>
        <v/>
      </c>
      <c r="CH176" s="207" t="str">
        <f>IF(OR(G176="",CC176= ""), "", IF(ISERROR(SMALL((CJ176,CN176,CV176), 1)-CC176), "",  SMALL((CJ176,CN176,CV176), 1)-CC176))</f>
        <v/>
      </c>
      <c r="CI176" s="234"/>
      <c r="CJ176" s="235"/>
      <c r="CK176" s="236"/>
      <c r="CL176" s="222" t="str">
        <f t="shared" si="35"/>
        <v/>
      </c>
      <c r="CM176" s="237" t="str">
        <f>IF(OR(G176="", CJ176="",CK176=""), "", IF(ISERROR(SMALL((CN176,CV176), 1)-CK176), "",  SMALL((CN176,CV176), 1)-CK176))</f>
        <v/>
      </c>
      <c r="CN176" s="235"/>
      <c r="CO176" s="236"/>
      <c r="CP176" s="224" t="str">
        <f t="shared" si="36"/>
        <v/>
      </c>
      <c r="CQ176" s="235"/>
      <c r="CR176" s="236"/>
      <c r="CS176" s="222" t="str">
        <f t="shared" si="37"/>
        <v/>
      </c>
      <c r="CT176" s="237" t="str">
        <f t="shared" si="38"/>
        <v/>
      </c>
      <c r="CU176" s="238"/>
      <c r="CV176" s="239"/>
      <c r="CW176" s="240"/>
    </row>
    <row r="177" spans="2:101" ht="16.5" customHeight="1">
      <c r="B177" s="122"/>
      <c r="E177" s="122"/>
      <c r="F177" s="194"/>
      <c r="G177" s="195"/>
      <c r="H177" s="195"/>
      <c r="I177" s="195"/>
      <c r="J177" s="196"/>
      <c r="K177" s="197"/>
      <c r="L177" s="198"/>
      <c r="M177" s="199"/>
      <c r="N177" s="200"/>
      <c r="O177" s="201"/>
      <c r="P177" s="201"/>
      <c r="Q177" s="201"/>
      <c r="R177" s="201"/>
      <c r="S177" s="201"/>
      <c r="T177" s="201"/>
      <c r="U177" s="201"/>
      <c r="V177" s="201"/>
      <c r="W177" s="201"/>
      <c r="X177" s="202"/>
      <c r="Y177" s="203"/>
      <c r="Z177" s="204"/>
      <c r="AA177" s="205"/>
      <c r="AB177" s="206"/>
      <c r="AC177" s="206"/>
      <c r="AD177" s="194"/>
      <c r="AE177" s="201"/>
      <c r="AF177" s="207"/>
      <c r="AG177" s="208"/>
      <c r="AH177" s="209"/>
      <c r="AI177" s="210"/>
      <c r="AJ177" s="197"/>
      <c r="AK177" s="201"/>
      <c r="AL177" s="196"/>
      <c r="AM177" s="201"/>
      <c r="AN177" s="201"/>
      <c r="AO177" s="201"/>
      <c r="AP177" s="211"/>
      <c r="AQ177" s="212"/>
      <c r="AR177" s="201"/>
      <c r="AS177" s="201"/>
      <c r="AT177" s="201"/>
      <c r="AU177" s="201"/>
      <c r="AV177" s="202"/>
      <c r="AW177" s="194"/>
      <c r="AX177" s="201"/>
      <c r="AY177" s="213"/>
      <c r="AZ177" s="214"/>
      <c r="BA177" s="215"/>
      <c r="BB177" s="216"/>
      <c r="BC177" s="217" t="str">
        <f t="shared" si="26"/>
        <v/>
      </c>
      <c r="BD177" s="218"/>
      <c r="BE177" s="219"/>
      <c r="BF177" s="220"/>
      <c r="BG177" s="219"/>
      <c r="BH177" s="219"/>
      <c r="BI177" s="220"/>
      <c r="BJ177" s="218"/>
      <c r="BK177" s="219"/>
      <c r="BL177" s="197"/>
      <c r="BM177" s="215"/>
      <c r="BN177" s="221"/>
      <c r="BO177" s="222" t="str">
        <f t="shared" si="27"/>
        <v/>
      </c>
      <c r="BP177" s="217" t="str">
        <f t="shared" si="28"/>
        <v/>
      </c>
      <c r="BQ177" s="215"/>
      <c r="BR177" s="224"/>
      <c r="BS177" s="225"/>
      <c r="BT177" s="223"/>
      <c r="BU177" s="215"/>
      <c r="BV177" s="226"/>
      <c r="BW177" s="222" t="str">
        <f t="shared" si="29"/>
        <v/>
      </c>
      <c r="BX177" s="223" t="str">
        <f t="shared" si="30"/>
        <v/>
      </c>
      <c r="BY177" s="215"/>
      <c r="BZ177" s="227"/>
      <c r="CA177" s="227"/>
      <c r="CB177" s="228"/>
      <c r="CC177" s="229"/>
      <c r="CD177" s="230" t="str">
        <f t="shared" si="31"/>
        <v/>
      </c>
      <c r="CE177" s="231" t="str">
        <f t="shared" si="32"/>
        <v/>
      </c>
      <c r="CF177" s="232" t="str">
        <f t="shared" si="33"/>
        <v/>
      </c>
      <c r="CG177" s="233" t="str">
        <f t="shared" si="34"/>
        <v/>
      </c>
      <c r="CH177" s="207" t="str">
        <f>IF(OR(G177="",CC177= ""), "", IF(ISERROR(SMALL((CJ177,CN177,CV177), 1)-CC177), "",  SMALL((CJ177,CN177,CV177), 1)-CC177))</f>
        <v/>
      </c>
      <c r="CI177" s="234"/>
      <c r="CJ177" s="235"/>
      <c r="CK177" s="236"/>
      <c r="CL177" s="222" t="str">
        <f t="shared" si="35"/>
        <v/>
      </c>
      <c r="CM177" s="237" t="str">
        <f>IF(OR(G177="", CJ177="",CK177=""), "", IF(ISERROR(SMALL((CN177,CV177), 1)-CK177), "",  SMALL((CN177,CV177), 1)-CK177))</f>
        <v/>
      </c>
      <c r="CN177" s="235"/>
      <c r="CO177" s="236"/>
      <c r="CP177" s="224" t="str">
        <f t="shared" si="36"/>
        <v/>
      </c>
      <c r="CQ177" s="235"/>
      <c r="CR177" s="236"/>
      <c r="CS177" s="222" t="str">
        <f t="shared" si="37"/>
        <v/>
      </c>
      <c r="CT177" s="237" t="str">
        <f t="shared" si="38"/>
        <v/>
      </c>
      <c r="CU177" s="238"/>
      <c r="CV177" s="239"/>
      <c r="CW177" s="240"/>
    </row>
    <row r="178" spans="2:101" ht="16.5" customHeight="1">
      <c r="B178" s="122"/>
      <c r="E178" s="122"/>
      <c r="F178" s="194"/>
      <c r="G178" s="195"/>
      <c r="H178" s="195"/>
      <c r="I178" s="195"/>
      <c r="J178" s="196"/>
      <c r="K178" s="197"/>
      <c r="L178" s="198"/>
      <c r="M178" s="199"/>
      <c r="N178" s="200"/>
      <c r="O178" s="201"/>
      <c r="P178" s="201"/>
      <c r="Q178" s="201"/>
      <c r="R178" s="201"/>
      <c r="S178" s="201"/>
      <c r="T178" s="201"/>
      <c r="U178" s="201"/>
      <c r="V178" s="201"/>
      <c r="W178" s="201"/>
      <c r="X178" s="202"/>
      <c r="Y178" s="203"/>
      <c r="Z178" s="204"/>
      <c r="AA178" s="205"/>
      <c r="AB178" s="206"/>
      <c r="AC178" s="206"/>
      <c r="AD178" s="194"/>
      <c r="AE178" s="201"/>
      <c r="AF178" s="207"/>
      <c r="AG178" s="208"/>
      <c r="AH178" s="209"/>
      <c r="AI178" s="210"/>
      <c r="AJ178" s="197"/>
      <c r="AK178" s="201"/>
      <c r="AL178" s="196"/>
      <c r="AM178" s="201"/>
      <c r="AN178" s="201"/>
      <c r="AO178" s="201"/>
      <c r="AP178" s="211"/>
      <c r="AQ178" s="212"/>
      <c r="AR178" s="201"/>
      <c r="AS178" s="201"/>
      <c r="AT178" s="201"/>
      <c r="AU178" s="201"/>
      <c r="AV178" s="202"/>
      <c r="AW178" s="194"/>
      <c r="AX178" s="201"/>
      <c r="AY178" s="213"/>
      <c r="AZ178" s="214"/>
      <c r="BA178" s="215"/>
      <c r="BB178" s="216"/>
      <c r="BC178" s="217" t="str">
        <f t="shared" si="26"/>
        <v/>
      </c>
      <c r="BD178" s="218"/>
      <c r="BE178" s="219"/>
      <c r="BF178" s="220"/>
      <c r="BG178" s="219"/>
      <c r="BH178" s="219"/>
      <c r="BI178" s="220"/>
      <c r="BJ178" s="218"/>
      <c r="BK178" s="219"/>
      <c r="BL178" s="197"/>
      <c r="BM178" s="215"/>
      <c r="BN178" s="221"/>
      <c r="BO178" s="222" t="str">
        <f t="shared" si="27"/>
        <v/>
      </c>
      <c r="BP178" s="217" t="str">
        <f t="shared" si="28"/>
        <v/>
      </c>
      <c r="BQ178" s="215"/>
      <c r="BR178" s="224"/>
      <c r="BS178" s="225"/>
      <c r="BT178" s="223"/>
      <c r="BU178" s="215"/>
      <c r="BV178" s="226"/>
      <c r="BW178" s="222" t="str">
        <f t="shared" si="29"/>
        <v/>
      </c>
      <c r="BX178" s="223" t="str">
        <f t="shared" si="30"/>
        <v/>
      </c>
      <c r="BY178" s="215"/>
      <c r="BZ178" s="227"/>
      <c r="CA178" s="227"/>
      <c r="CB178" s="228"/>
      <c r="CC178" s="229"/>
      <c r="CD178" s="230" t="str">
        <f t="shared" si="31"/>
        <v/>
      </c>
      <c r="CE178" s="231" t="str">
        <f t="shared" si="32"/>
        <v/>
      </c>
      <c r="CF178" s="232" t="str">
        <f t="shared" si="33"/>
        <v/>
      </c>
      <c r="CG178" s="233" t="str">
        <f t="shared" si="34"/>
        <v/>
      </c>
      <c r="CH178" s="207" t="str">
        <f>IF(OR(G178="",CC178= ""), "", IF(ISERROR(SMALL((CJ178,CN178,CV178), 1)-CC178), "",  SMALL((CJ178,CN178,CV178), 1)-CC178))</f>
        <v/>
      </c>
      <c r="CI178" s="234"/>
      <c r="CJ178" s="235"/>
      <c r="CK178" s="236"/>
      <c r="CL178" s="222" t="str">
        <f t="shared" si="35"/>
        <v/>
      </c>
      <c r="CM178" s="237" t="str">
        <f>IF(OR(G178="", CJ178="",CK178=""), "", IF(ISERROR(SMALL((CN178,CV178), 1)-CK178), "",  SMALL((CN178,CV178), 1)-CK178))</f>
        <v/>
      </c>
      <c r="CN178" s="235"/>
      <c r="CO178" s="236"/>
      <c r="CP178" s="224" t="str">
        <f t="shared" si="36"/>
        <v/>
      </c>
      <c r="CQ178" s="235"/>
      <c r="CR178" s="236"/>
      <c r="CS178" s="222" t="str">
        <f t="shared" si="37"/>
        <v/>
      </c>
      <c r="CT178" s="237" t="str">
        <f t="shared" si="38"/>
        <v/>
      </c>
      <c r="CU178" s="238"/>
      <c r="CV178" s="239"/>
      <c r="CW178" s="240"/>
    </row>
    <row r="179" spans="2:101" ht="16.5" customHeight="1">
      <c r="B179" s="122"/>
      <c r="E179" s="122"/>
      <c r="F179" s="194"/>
      <c r="G179" s="195"/>
      <c r="H179" s="195"/>
      <c r="I179" s="195"/>
      <c r="J179" s="196"/>
      <c r="K179" s="197"/>
      <c r="L179" s="198"/>
      <c r="M179" s="199"/>
      <c r="N179" s="200"/>
      <c r="O179" s="201"/>
      <c r="P179" s="201"/>
      <c r="Q179" s="201"/>
      <c r="R179" s="201"/>
      <c r="S179" s="201"/>
      <c r="T179" s="201"/>
      <c r="U179" s="201"/>
      <c r="V179" s="201"/>
      <c r="W179" s="201"/>
      <c r="X179" s="202"/>
      <c r="Y179" s="203"/>
      <c r="Z179" s="204"/>
      <c r="AA179" s="205"/>
      <c r="AB179" s="206"/>
      <c r="AC179" s="206"/>
      <c r="AD179" s="194"/>
      <c r="AE179" s="201"/>
      <c r="AF179" s="207"/>
      <c r="AG179" s="208"/>
      <c r="AH179" s="209"/>
      <c r="AI179" s="210"/>
      <c r="AJ179" s="197"/>
      <c r="AK179" s="201"/>
      <c r="AL179" s="196"/>
      <c r="AM179" s="201"/>
      <c r="AN179" s="201"/>
      <c r="AO179" s="201"/>
      <c r="AP179" s="211"/>
      <c r="AQ179" s="212"/>
      <c r="AR179" s="201"/>
      <c r="AS179" s="201"/>
      <c r="AT179" s="201"/>
      <c r="AU179" s="201"/>
      <c r="AV179" s="202"/>
      <c r="AW179" s="194"/>
      <c r="AX179" s="201"/>
      <c r="AY179" s="213"/>
      <c r="AZ179" s="214"/>
      <c r="BA179" s="215"/>
      <c r="BB179" s="216"/>
      <c r="BC179" s="217" t="str">
        <f t="shared" si="26"/>
        <v/>
      </c>
      <c r="BD179" s="218"/>
      <c r="BE179" s="219"/>
      <c r="BF179" s="220"/>
      <c r="BG179" s="219"/>
      <c r="BH179" s="219"/>
      <c r="BI179" s="220"/>
      <c r="BJ179" s="218"/>
      <c r="BK179" s="219"/>
      <c r="BL179" s="197"/>
      <c r="BM179" s="215"/>
      <c r="BN179" s="221"/>
      <c r="BO179" s="222" t="str">
        <f t="shared" si="27"/>
        <v/>
      </c>
      <c r="BP179" s="217" t="str">
        <f t="shared" si="28"/>
        <v/>
      </c>
      <c r="BQ179" s="215"/>
      <c r="BR179" s="224"/>
      <c r="BS179" s="225"/>
      <c r="BT179" s="223"/>
      <c r="BU179" s="215"/>
      <c r="BV179" s="226"/>
      <c r="BW179" s="222" t="str">
        <f t="shared" si="29"/>
        <v/>
      </c>
      <c r="BX179" s="223" t="str">
        <f t="shared" si="30"/>
        <v/>
      </c>
      <c r="BY179" s="215"/>
      <c r="BZ179" s="227"/>
      <c r="CA179" s="227"/>
      <c r="CB179" s="228"/>
      <c r="CC179" s="229"/>
      <c r="CD179" s="230" t="str">
        <f t="shared" si="31"/>
        <v/>
      </c>
      <c r="CE179" s="231" t="str">
        <f t="shared" si="32"/>
        <v/>
      </c>
      <c r="CF179" s="232" t="str">
        <f t="shared" si="33"/>
        <v/>
      </c>
      <c r="CG179" s="233" t="str">
        <f t="shared" si="34"/>
        <v/>
      </c>
      <c r="CH179" s="207" t="str">
        <f>IF(OR(G179="",CC179= ""), "", IF(ISERROR(SMALL((CJ179,CN179,CV179), 1)-CC179), "",  SMALL((CJ179,CN179,CV179), 1)-CC179))</f>
        <v/>
      </c>
      <c r="CI179" s="234"/>
      <c r="CJ179" s="235"/>
      <c r="CK179" s="236"/>
      <c r="CL179" s="222" t="str">
        <f t="shared" si="35"/>
        <v/>
      </c>
      <c r="CM179" s="237" t="str">
        <f>IF(OR(G179="", CJ179="",CK179=""), "", IF(ISERROR(SMALL((CN179,CV179), 1)-CK179), "",  SMALL((CN179,CV179), 1)-CK179))</f>
        <v/>
      </c>
      <c r="CN179" s="235"/>
      <c r="CO179" s="236"/>
      <c r="CP179" s="224" t="str">
        <f t="shared" si="36"/>
        <v/>
      </c>
      <c r="CQ179" s="235"/>
      <c r="CR179" s="236"/>
      <c r="CS179" s="222" t="str">
        <f t="shared" si="37"/>
        <v/>
      </c>
      <c r="CT179" s="237" t="str">
        <f t="shared" si="38"/>
        <v/>
      </c>
      <c r="CU179" s="238"/>
      <c r="CV179" s="239"/>
      <c r="CW179" s="240"/>
    </row>
    <row r="180" spans="2:101" ht="16.5" customHeight="1">
      <c r="B180" s="122"/>
      <c r="E180" s="122"/>
      <c r="F180" s="194"/>
      <c r="G180" s="195"/>
      <c r="H180" s="195"/>
      <c r="I180" s="195"/>
      <c r="J180" s="196"/>
      <c r="K180" s="197"/>
      <c r="L180" s="198"/>
      <c r="M180" s="199"/>
      <c r="N180" s="200"/>
      <c r="O180" s="201"/>
      <c r="P180" s="201"/>
      <c r="Q180" s="201"/>
      <c r="R180" s="201"/>
      <c r="S180" s="201"/>
      <c r="T180" s="201"/>
      <c r="U180" s="201"/>
      <c r="V180" s="201"/>
      <c r="W180" s="201"/>
      <c r="X180" s="202"/>
      <c r="Y180" s="203"/>
      <c r="Z180" s="204"/>
      <c r="AA180" s="205"/>
      <c r="AB180" s="206"/>
      <c r="AC180" s="206"/>
      <c r="AD180" s="194"/>
      <c r="AE180" s="201"/>
      <c r="AF180" s="207"/>
      <c r="AG180" s="208"/>
      <c r="AH180" s="209"/>
      <c r="AI180" s="210"/>
      <c r="AJ180" s="197"/>
      <c r="AK180" s="201"/>
      <c r="AL180" s="196"/>
      <c r="AM180" s="201"/>
      <c r="AN180" s="201"/>
      <c r="AO180" s="201"/>
      <c r="AP180" s="211"/>
      <c r="AQ180" s="212"/>
      <c r="AR180" s="201"/>
      <c r="AS180" s="201"/>
      <c r="AT180" s="201"/>
      <c r="AU180" s="201"/>
      <c r="AV180" s="202"/>
      <c r="AW180" s="194"/>
      <c r="AX180" s="201"/>
      <c r="AY180" s="213"/>
      <c r="AZ180" s="214"/>
      <c r="BA180" s="215"/>
      <c r="BB180" s="216"/>
      <c r="BC180" s="217" t="str">
        <f t="shared" si="26"/>
        <v/>
      </c>
      <c r="BD180" s="218"/>
      <c r="BE180" s="219"/>
      <c r="BF180" s="220"/>
      <c r="BG180" s="219"/>
      <c r="BH180" s="219"/>
      <c r="BI180" s="220"/>
      <c r="BJ180" s="218"/>
      <c r="BK180" s="219"/>
      <c r="BL180" s="197"/>
      <c r="BM180" s="215"/>
      <c r="BN180" s="221"/>
      <c r="BO180" s="222" t="str">
        <f t="shared" si="27"/>
        <v/>
      </c>
      <c r="BP180" s="217" t="str">
        <f t="shared" si="28"/>
        <v/>
      </c>
      <c r="BQ180" s="215"/>
      <c r="BR180" s="224"/>
      <c r="BS180" s="225"/>
      <c r="BT180" s="223"/>
      <c r="BU180" s="215"/>
      <c r="BV180" s="226"/>
      <c r="BW180" s="222" t="str">
        <f t="shared" si="29"/>
        <v/>
      </c>
      <c r="BX180" s="223" t="str">
        <f t="shared" si="30"/>
        <v/>
      </c>
      <c r="BY180" s="215"/>
      <c r="BZ180" s="227"/>
      <c r="CA180" s="227"/>
      <c r="CB180" s="228"/>
      <c r="CC180" s="229"/>
      <c r="CD180" s="230" t="str">
        <f t="shared" si="31"/>
        <v/>
      </c>
      <c r="CE180" s="231" t="str">
        <f t="shared" si="32"/>
        <v/>
      </c>
      <c r="CF180" s="232" t="str">
        <f t="shared" si="33"/>
        <v/>
      </c>
      <c r="CG180" s="233" t="str">
        <f t="shared" si="34"/>
        <v/>
      </c>
      <c r="CH180" s="207" t="str">
        <f>IF(OR(G180="",CC180= ""), "", IF(ISERROR(SMALL((CJ180,CN180,CV180), 1)-CC180), "",  SMALL((CJ180,CN180,CV180), 1)-CC180))</f>
        <v/>
      </c>
      <c r="CI180" s="234"/>
      <c r="CJ180" s="235"/>
      <c r="CK180" s="236"/>
      <c r="CL180" s="222" t="str">
        <f t="shared" si="35"/>
        <v/>
      </c>
      <c r="CM180" s="237" t="str">
        <f>IF(OR(G180="", CJ180="",CK180=""), "", IF(ISERROR(SMALL((CN180,CV180), 1)-CK180), "",  SMALL((CN180,CV180), 1)-CK180))</f>
        <v/>
      </c>
      <c r="CN180" s="235"/>
      <c r="CO180" s="236"/>
      <c r="CP180" s="224" t="str">
        <f t="shared" si="36"/>
        <v/>
      </c>
      <c r="CQ180" s="235"/>
      <c r="CR180" s="236"/>
      <c r="CS180" s="222" t="str">
        <f t="shared" si="37"/>
        <v/>
      </c>
      <c r="CT180" s="237" t="str">
        <f t="shared" si="38"/>
        <v/>
      </c>
      <c r="CU180" s="238"/>
      <c r="CV180" s="239"/>
      <c r="CW180" s="240"/>
    </row>
    <row r="181" spans="2:101" ht="16.5" customHeight="1">
      <c r="B181" s="122"/>
      <c r="E181" s="122"/>
      <c r="F181" s="194"/>
      <c r="G181" s="195"/>
      <c r="H181" s="195"/>
      <c r="I181" s="195"/>
      <c r="J181" s="196"/>
      <c r="K181" s="197"/>
      <c r="L181" s="198"/>
      <c r="M181" s="199"/>
      <c r="N181" s="200"/>
      <c r="O181" s="201"/>
      <c r="P181" s="201"/>
      <c r="Q181" s="201"/>
      <c r="R181" s="201"/>
      <c r="S181" s="201"/>
      <c r="T181" s="201"/>
      <c r="U181" s="201"/>
      <c r="V181" s="201"/>
      <c r="W181" s="201"/>
      <c r="X181" s="202"/>
      <c r="Y181" s="203"/>
      <c r="Z181" s="204"/>
      <c r="AA181" s="205"/>
      <c r="AB181" s="206"/>
      <c r="AC181" s="206"/>
      <c r="AD181" s="194"/>
      <c r="AE181" s="201"/>
      <c r="AF181" s="207"/>
      <c r="AG181" s="208"/>
      <c r="AH181" s="209"/>
      <c r="AI181" s="210"/>
      <c r="AJ181" s="197"/>
      <c r="AK181" s="201"/>
      <c r="AL181" s="196"/>
      <c r="AM181" s="201"/>
      <c r="AN181" s="201"/>
      <c r="AO181" s="201"/>
      <c r="AP181" s="211"/>
      <c r="AQ181" s="212"/>
      <c r="AR181" s="201"/>
      <c r="AS181" s="201"/>
      <c r="AT181" s="201"/>
      <c r="AU181" s="201"/>
      <c r="AV181" s="202"/>
      <c r="AW181" s="194"/>
      <c r="AX181" s="201"/>
      <c r="AY181" s="213"/>
      <c r="AZ181" s="214"/>
      <c r="BA181" s="215"/>
      <c r="BB181" s="216"/>
      <c r="BC181" s="217" t="str">
        <f t="shared" si="26"/>
        <v/>
      </c>
      <c r="BD181" s="218"/>
      <c r="BE181" s="219"/>
      <c r="BF181" s="220"/>
      <c r="BG181" s="219"/>
      <c r="BH181" s="219"/>
      <c r="BI181" s="220"/>
      <c r="BJ181" s="218"/>
      <c r="BK181" s="219"/>
      <c r="BL181" s="197"/>
      <c r="BM181" s="215"/>
      <c r="BN181" s="221"/>
      <c r="BO181" s="222" t="str">
        <f t="shared" si="27"/>
        <v/>
      </c>
      <c r="BP181" s="217" t="str">
        <f t="shared" si="28"/>
        <v/>
      </c>
      <c r="BQ181" s="215"/>
      <c r="BR181" s="224"/>
      <c r="BS181" s="225"/>
      <c r="BT181" s="223"/>
      <c r="BU181" s="215"/>
      <c r="BV181" s="226"/>
      <c r="BW181" s="222" t="str">
        <f t="shared" si="29"/>
        <v/>
      </c>
      <c r="BX181" s="223" t="str">
        <f t="shared" si="30"/>
        <v/>
      </c>
      <c r="BY181" s="215"/>
      <c r="BZ181" s="227"/>
      <c r="CA181" s="227"/>
      <c r="CB181" s="228"/>
      <c r="CC181" s="229"/>
      <c r="CD181" s="230" t="str">
        <f t="shared" si="31"/>
        <v/>
      </c>
      <c r="CE181" s="231" t="str">
        <f t="shared" si="32"/>
        <v/>
      </c>
      <c r="CF181" s="232" t="str">
        <f t="shared" si="33"/>
        <v/>
      </c>
      <c r="CG181" s="233" t="str">
        <f t="shared" si="34"/>
        <v/>
      </c>
      <c r="CH181" s="207" t="str">
        <f>IF(OR(G181="",CC181= ""), "", IF(ISERROR(SMALL((CJ181,CN181,CV181), 1)-CC181), "",  SMALL((CJ181,CN181,CV181), 1)-CC181))</f>
        <v/>
      </c>
      <c r="CI181" s="234"/>
      <c r="CJ181" s="235"/>
      <c r="CK181" s="236"/>
      <c r="CL181" s="222" t="str">
        <f t="shared" si="35"/>
        <v/>
      </c>
      <c r="CM181" s="237" t="str">
        <f>IF(OR(G181="", CJ181="",CK181=""), "", IF(ISERROR(SMALL((CN181,CV181), 1)-CK181), "",  SMALL((CN181,CV181), 1)-CK181))</f>
        <v/>
      </c>
      <c r="CN181" s="235"/>
      <c r="CO181" s="236"/>
      <c r="CP181" s="224" t="str">
        <f t="shared" si="36"/>
        <v/>
      </c>
      <c r="CQ181" s="235"/>
      <c r="CR181" s="236"/>
      <c r="CS181" s="222" t="str">
        <f t="shared" si="37"/>
        <v/>
      </c>
      <c r="CT181" s="237" t="str">
        <f t="shared" si="38"/>
        <v/>
      </c>
      <c r="CU181" s="238"/>
      <c r="CV181" s="239"/>
      <c r="CW181" s="240"/>
    </row>
    <row r="182" spans="2:101" ht="16.5" customHeight="1">
      <c r="B182" s="122"/>
      <c r="E182" s="122"/>
      <c r="F182" s="194"/>
      <c r="G182" s="195"/>
      <c r="H182" s="195"/>
      <c r="I182" s="195"/>
      <c r="J182" s="196"/>
      <c r="K182" s="197"/>
      <c r="L182" s="198"/>
      <c r="M182" s="199"/>
      <c r="N182" s="200"/>
      <c r="O182" s="201"/>
      <c r="P182" s="201"/>
      <c r="Q182" s="201"/>
      <c r="R182" s="201"/>
      <c r="S182" s="201"/>
      <c r="T182" s="201"/>
      <c r="U182" s="201"/>
      <c r="V182" s="201"/>
      <c r="W182" s="201"/>
      <c r="X182" s="202"/>
      <c r="Y182" s="203"/>
      <c r="Z182" s="204"/>
      <c r="AA182" s="205"/>
      <c r="AB182" s="206"/>
      <c r="AC182" s="206"/>
      <c r="AD182" s="194"/>
      <c r="AE182" s="201"/>
      <c r="AF182" s="207"/>
      <c r="AG182" s="208"/>
      <c r="AH182" s="209"/>
      <c r="AI182" s="210"/>
      <c r="AJ182" s="197"/>
      <c r="AK182" s="201"/>
      <c r="AL182" s="196"/>
      <c r="AM182" s="201"/>
      <c r="AN182" s="201"/>
      <c r="AO182" s="201"/>
      <c r="AP182" s="211"/>
      <c r="AQ182" s="212"/>
      <c r="AR182" s="201"/>
      <c r="AS182" s="201"/>
      <c r="AT182" s="201"/>
      <c r="AU182" s="201"/>
      <c r="AV182" s="202"/>
      <c r="AW182" s="194"/>
      <c r="AX182" s="201"/>
      <c r="AY182" s="213"/>
      <c r="AZ182" s="214"/>
      <c r="BA182" s="215"/>
      <c r="BB182" s="216"/>
      <c r="BC182" s="217" t="str">
        <f t="shared" si="26"/>
        <v/>
      </c>
      <c r="BD182" s="218"/>
      <c r="BE182" s="219"/>
      <c r="BF182" s="220"/>
      <c r="BG182" s="219"/>
      <c r="BH182" s="219"/>
      <c r="BI182" s="220"/>
      <c r="BJ182" s="218"/>
      <c r="BK182" s="219"/>
      <c r="BL182" s="197"/>
      <c r="BM182" s="215"/>
      <c r="BN182" s="221"/>
      <c r="BO182" s="222" t="str">
        <f t="shared" si="27"/>
        <v/>
      </c>
      <c r="BP182" s="217" t="str">
        <f t="shared" si="28"/>
        <v/>
      </c>
      <c r="BQ182" s="215"/>
      <c r="BR182" s="224"/>
      <c r="BS182" s="225"/>
      <c r="BT182" s="223"/>
      <c r="BU182" s="215"/>
      <c r="BV182" s="226"/>
      <c r="BW182" s="222" t="str">
        <f t="shared" si="29"/>
        <v/>
      </c>
      <c r="BX182" s="223" t="str">
        <f t="shared" si="30"/>
        <v/>
      </c>
      <c r="BY182" s="215"/>
      <c r="BZ182" s="227"/>
      <c r="CA182" s="227"/>
      <c r="CB182" s="228"/>
      <c r="CC182" s="229"/>
      <c r="CD182" s="230" t="str">
        <f t="shared" si="31"/>
        <v/>
      </c>
      <c r="CE182" s="231" t="str">
        <f t="shared" si="32"/>
        <v/>
      </c>
      <c r="CF182" s="232" t="str">
        <f t="shared" si="33"/>
        <v/>
      </c>
      <c r="CG182" s="233" t="str">
        <f t="shared" si="34"/>
        <v/>
      </c>
      <c r="CH182" s="207" t="str">
        <f>IF(OR(G182="",CC182= ""), "", IF(ISERROR(SMALL((CJ182,CN182,CV182), 1)-CC182), "",  SMALL((CJ182,CN182,CV182), 1)-CC182))</f>
        <v/>
      </c>
      <c r="CI182" s="234"/>
      <c r="CJ182" s="235"/>
      <c r="CK182" s="236"/>
      <c r="CL182" s="222" t="str">
        <f t="shared" si="35"/>
        <v/>
      </c>
      <c r="CM182" s="237" t="str">
        <f>IF(OR(G182="", CJ182="",CK182=""), "", IF(ISERROR(SMALL((CN182,CV182), 1)-CK182), "",  SMALL((CN182,CV182), 1)-CK182))</f>
        <v/>
      </c>
      <c r="CN182" s="235"/>
      <c r="CO182" s="236"/>
      <c r="CP182" s="224" t="str">
        <f t="shared" si="36"/>
        <v/>
      </c>
      <c r="CQ182" s="235"/>
      <c r="CR182" s="236"/>
      <c r="CS182" s="222" t="str">
        <f t="shared" si="37"/>
        <v/>
      </c>
      <c r="CT182" s="237" t="str">
        <f t="shared" si="38"/>
        <v/>
      </c>
      <c r="CU182" s="238"/>
      <c r="CV182" s="239"/>
      <c r="CW182" s="240"/>
    </row>
    <row r="183" spans="2:101" ht="16.5" customHeight="1">
      <c r="B183" s="122"/>
      <c r="E183" s="122"/>
      <c r="F183" s="194"/>
      <c r="G183" s="195"/>
      <c r="H183" s="195"/>
      <c r="I183" s="195"/>
      <c r="J183" s="196"/>
      <c r="K183" s="197"/>
      <c r="L183" s="198"/>
      <c r="M183" s="199"/>
      <c r="N183" s="200"/>
      <c r="O183" s="201"/>
      <c r="P183" s="201"/>
      <c r="Q183" s="201"/>
      <c r="R183" s="201"/>
      <c r="S183" s="201"/>
      <c r="T183" s="201"/>
      <c r="U183" s="201"/>
      <c r="V183" s="201"/>
      <c r="W183" s="201"/>
      <c r="X183" s="202"/>
      <c r="Y183" s="203"/>
      <c r="Z183" s="204"/>
      <c r="AA183" s="205"/>
      <c r="AB183" s="206"/>
      <c r="AC183" s="206"/>
      <c r="AD183" s="194"/>
      <c r="AE183" s="201"/>
      <c r="AF183" s="207"/>
      <c r="AG183" s="208"/>
      <c r="AH183" s="209"/>
      <c r="AI183" s="210"/>
      <c r="AJ183" s="197"/>
      <c r="AK183" s="201"/>
      <c r="AL183" s="196"/>
      <c r="AM183" s="201"/>
      <c r="AN183" s="201"/>
      <c r="AO183" s="201"/>
      <c r="AP183" s="211"/>
      <c r="AQ183" s="212"/>
      <c r="AR183" s="201"/>
      <c r="AS183" s="201"/>
      <c r="AT183" s="201"/>
      <c r="AU183" s="201"/>
      <c r="AV183" s="202"/>
      <c r="AW183" s="194"/>
      <c r="AX183" s="201"/>
      <c r="AY183" s="213"/>
      <c r="AZ183" s="214"/>
      <c r="BA183" s="215"/>
      <c r="BB183" s="216"/>
      <c r="BC183" s="217" t="str">
        <f t="shared" si="26"/>
        <v/>
      </c>
      <c r="BD183" s="218"/>
      <c r="BE183" s="219"/>
      <c r="BF183" s="220"/>
      <c r="BG183" s="219"/>
      <c r="BH183" s="219"/>
      <c r="BI183" s="220"/>
      <c r="BJ183" s="218"/>
      <c r="BK183" s="219"/>
      <c r="BL183" s="197"/>
      <c r="BM183" s="215"/>
      <c r="BN183" s="221"/>
      <c r="BO183" s="222" t="str">
        <f t="shared" si="27"/>
        <v/>
      </c>
      <c r="BP183" s="217" t="str">
        <f t="shared" si="28"/>
        <v/>
      </c>
      <c r="BQ183" s="215"/>
      <c r="BR183" s="224"/>
      <c r="BS183" s="225"/>
      <c r="BT183" s="223"/>
      <c r="BU183" s="215"/>
      <c r="BV183" s="226"/>
      <c r="BW183" s="222" t="str">
        <f t="shared" si="29"/>
        <v/>
      </c>
      <c r="BX183" s="223" t="str">
        <f t="shared" si="30"/>
        <v/>
      </c>
      <c r="BY183" s="215"/>
      <c r="BZ183" s="227"/>
      <c r="CA183" s="227"/>
      <c r="CB183" s="228"/>
      <c r="CC183" s="229"/>
      <c r="CD183" s="230" t="str">
        <f t="shared" si="31"/>
        <v/>
      </c>
      <c r="CE183" s="231" t="str">
        <f t="shared" si="32"/>
        <v/>
      </c>
      <c r="CF183" s="232" t="str">
        <f t="shared" si="33"/>
        <v/>
      </c>
      <c r="CG183" s="233" t="str">
        <f t="shared" si="34"/>
        <v/>
      </c>
      <c r="CH183" s="207" t="str">
        <f>IF(OR(G183="",CC183= ""), "", IF(ISERROR(SMALL((CJ183,CN183,CV183), 1)-CC183), "",  SMALL((CJ183,CN183,CV183), 1)-CC183))</f>
        <v/>
      </c>
      <c r="CI183" s="234"/>
      <c r="CJ183" s="235"/>
      <c r="CK183" s="236"/>
      <c r="CL183" s="222" t="str">
        <f t="shared" si="35"/>
        <v/>
      </c>
      <c r="CM183" s="237" t="str">
        <f>IF(OR(G183="", CJ183="",CK183=""), "", IF(ISERROR(SMALL((CN183,CV183), 1)-CK183), "",  SMALL((CN183,CV183), 1)-CK183))</f>
        <v/>
      </c>
      <c r="CN183" s="235"/>
      <c r="CO183" s="236"/>
      <c r="CP183" s="224" t="str">
        <f t="shared" si="36"/>
        <v/>
      </c>
      <c r="CQ183" s="235"/>
      <c r="CR183" s="236"/>
      <c r="CS183" s="222" t="str">
        <f t="shared" si="37"/>
        <v/>
      </c>
      <c r="CT183" s="237" t="str">
        <f t="shared" si="38"/>
        <v/>
      </c>
      <c r="CU183" s="238"/>
      <c r="CV183" s="239"/>
      <c r="CW183" s="240"/>
    </row>
    <row r="184" spans="2:101" ht="16.5" customHeight="1">
      <c r="B184" s="122"/>
      <c r="E184" s="122"/>
      <c r="F184" s="194"/>
      <c r="G184" s="195"/>
      <c r="H184" s="195"/>
      <c r="I184" s="195"/>
      <c r="J184" s="196"/>
      <c r="K184" s="197"/>
      <c r="L184" s="198"/>
      <c r="M184" s="199"/>
      <c r="N184" s="200"/>
      <c r="O184" s="201"/>
      <c r="P184" s="201"/>
      <c r="Q184" s="201"/>
      <c r="R184" s="201"/>
      <c r="S184" s="201"/>
      <c r="T184" s="201"/>
      <c r="U184" s="201"/>
      <c r="V184" s="201"/>
      <c r="W184" s="201"/>
      <c r="X184" s="202"/>
      <c r="Y184" s="203"/>
      <c r="Z184" s="204"/>
      <c r="AA184" s="205"/>
      <c r="AB184" s="206"/>
      <c r="AC184" s="206"/>
      <c r="AD184" s="194"/>
      <c r="AE184" s="201"/>
      <c r="AF184" s="207"/>
      <c r="AG184" s="208"/>
      <c r="AH184" s="209"/>
      <c r="AI184" s="210"/>
      <c r="AJ184" s="197"/>
      <c r="AK184" s="201"/>
      <c r="AL184" s="196"/>
      <c r="AM184" s="201"/>
      <c r="AN184" s="201"/>
      <c r="AO184" s="201"/>
      <c r="AP184" s="211"/>
      <c r="AQ184" s="212"/>
      <c r="AR184" s="201"/>
      <c r="AS184" s="201"/>
      <c r="AT184" s="201"/>
      <c r="AU184" s="201"/>
      <c r="AV184" s="202"/>
      <c r="AW184" s="194"/>
      <c r="AX184" s="201"/>
      <c r="AY184" s="213"/>
      <c r="AZ184" s="214"/>
      <c r="BA184" s="215"/>
      <c r="BB184" s="216"/>
      <c r="BC184" s="217" t="str">
        <f t="shared" si="26"/>
        <v/>
      </c>
      <c r="BD184" s="218"/>
      <c r="BE184" s="219"/>
      <c r="BF184" s="220"/>
      <c r="BG184" s="219"/>
      <c r="BH184" s="219"/>
      <c r="BI184" s="220"/>
      <c r="BJ184" s="218"/>
      <c r="BK184" s="219"/>
      <c r="BL184" s="197"/>
      <c r="BM184" s="215"/>
      <c r="BN184" s="221"/>
      <c r="BO184" s="222" t="str">
        <f t="shared" si="27"/>
        <v/>
      </c>
      <c r="BP184" s="217" t="str">
        <f t="shared" si="28"/>
        <v/>
      </c>
      <c r="BQ184" s="215"/>
      <c r="BR184" s="224"/>
      <c r="BS184" s="225"/>
      <c r="BT184" s="223"/>
      <c r="BU184" s="215"/>
      <c r="BV184" s="226"/>
      <c r="BW184" s="222" t="str">
        <f t="shared" si="29"/>
        <v/>
      </c>
      <c r="BX184" s="223" t="str">
        <f t="shared" si="30"/>
        <v/>
      </c>
      <c r="BY184" s="215"/>
      <c r="BZ184" s="227"/>
      <c r="CA184" s="227"/>
      <c r="CB184" s="228"/>
      <c r="CC184" s="229"/>
      <c r="CD184" s="230" t="str">
        <f t="shared" si="31"/>
        <v/>
      </c>
      <c r="CE184" s="231" t="str">
        <f t="shared" si="32"/>
        <v/>
      </c>
      <c r="CF184" s="232" t="str">
        <f t="shared" si="33"/>
        <v/>
      </c>
      <c r="CG184" s="233" t="str">
        <f t="shared" si="34"/>
        <v/>
      </c>
      <c r="CH184" s="207" t="str">
        <f>IF(OR(G184="",CC184= ""), "", IF(ISERROR(SMALL((CJ184,CN184,CV184), 1)-CC184), "",  SMALL((CJ184,CN184,CV184), 1)-CC184))</f>
        <v/>
      </c>
      <c r="CI184" s="234"/>
      <c r="CJ184" s="235"/>
      <c r="CK184" s="236"/>
      <c r="CL184" s="222" t="str">
        <f t="shared" si="35"/>
        <v/>
      </c>
      <c r="CM184" s="237" t="str">
        <f>IF(OR(G184="", CJ184="",CK184=""), "", IF(ISERROR(SMALL((CN184,CV184), 1)-CK184), "",  SMALL((CN184,CV184), 1)-CK184))</f>
        <v/>
      </c>
      <c r="CN184" s="235"/>
      <c r="CO184" s="236"/>
      <c r="CP184" s="224" t="str">
        <f t="shared" si="36"/>
        <v/>
      </c>
      <c r="CQ184" s="235"/>
      <c r="CR184" s="236"/>
      <c r="CS184" s="222" t="str">
        <f t="shared" si="37"/>
        <v/>
      </c>
      <c r="CT184" s="237" t="str">
        <f t="shared" si="38"/>
        <v/>
      </c>
      <c r="CU184" s="238"/>
      <c r="CV184" s="239"/>
      <c r="CW184" s="240"/>
    </row>
    <row r="185" spans="2:101" ht="16.5" customHeight="1">
      <c r="B185" s="122"/>
      <c r="E185" s="122"/>
      <c r="F185" s="194"/>
      <c r="G185" s="195"/>
      <c r="H185" s="195"/>
      <c r="I185" s="195"/>
      <c r="J185" s="196"/>
      <c r="K185" s="197"/>
      <c r="L185" s="198"/>
      <c r="M185" s="199"/>
      <c r="N185" s="200"/>
      <c r="O185" s="201"/>
      <c r="P185" s="201"/>
      <c r="Q185" s="201"/>
      <c r="R185" s="201"/>
      <c r="S185" s="201"/>
      <c r="T185" s="201"/>
      <c r="U185" s="201"/>
      <c r="V185" s="201"/>
      <c r="W185" s="201"/>
      <c r="X185" s="202"/>
      <c r="Y185" s="203"/>
      <c r="Z185" s="204"/>
      <c r="AA185" s="205"/>
      <c r="AB185" s="206"/>
      <c r="AC185" s="206"/>
      <c r="AD185" s="194"/>
      <c r="AE185" s="201"/>
      <c r="AF185" s="207"/>
      <c r="AG185" s="208"/>
      <c r="AH185" s="209"/>
      <c r="AI185" s="210"/>
      <c r="AJ185" s="197"/>
      <c r="AK185" s="201"/>
      <c r="AL185" s="196"/>
      <c r="AM185" s="201"/>
      <c r="AN185" s="201"/>
      <c r="AO185" s="201"/>
      <c r="AP185" s="211"/>
      <c r="AQ185" s="212"/>
      <c r="AR185" s="201"/>
      <c r="AS185" s="201"/>
      <c r="AT185" s="201"/>
      <c r="AU185" s="201"/>
      <c r="AV185" s="202"/>
      <c r="AW185" s="194"/>
      <c r="AX185" s="201"/>
      <c r="AY185" s="213"/>
      <c r="AZ185" s="214"/>
      <c r="BA185" s="215"/>
      <c r="BB185" s="216"/>
      <c r="BC185" s="217" t="str">
        <f t="shared" si="26"/>
        <v/>
      </c>
      <c r="BD185" s="218"/>
      <c r="BE185" s="219"/>
      <c r="BF185" s="220"/>
      <c r="BG185" s="219"/>
      <c r="BH185" s="219"/>
      <c r="BI185" s="220"/>
      <c r="BJ185" s="218"/>
      <c r="BK185" s="219"/>
      <c r="BL185" s="197"/>
      <c r="BM185" s="215"/>
      <c r="BN185" s="221"/>
      <c r="BO185" s="222" t="str">
        <f t="shared" si="27"/>
        <v/>
      </c>
      <c r="BP185" s="217" t="str">
        <f t="shared" si="28"/>
        <v/>
      </c>
      <c r="BQ185" s="215"/>
      <c r="BR185" s="224"/>
      <c r="BS185" s="225"/>
      <c r="BT185" s="223"/>
      <c r="BU185" s="215"/>
      <c r="BV185" s="226"/>
      <c r="BW185" s="222" t="str">
        <f t="shared" si="29"/>
        <v/>
      </c>
      <c r="BX185" s="223" t="str">
        <f t="shared" si="30"/>
        <v/>
      </c>
      <c r="BY185" s="215"/>
      <c r="BZ185" s="227"/>
      <c r="CA185" s="227"/>
      <c r="CB185" s="228"/>
      <c r="CC185" s="229"/>
      <c r="CD185" s="230" t="str">
        <f t="shared" si="31"/>
        <v/>
      </c>
      <c r="CE185" s="231" t="str">
        <f t="shared" si="32"/>
        <v/>
      </c>
      <c r="CF185" s="232" t="str">
        <f t="shared" si="33"/>
        <v/>
      </c>
      <c r="CG185" s="233" t="str">
        <f t="shared" si="34"/>
        <v/>
      </c>
      <c r="CH185" s="207" t="str">
        <f>IF(OR(G185="",CC185= ""), "", IF(ISERROR(SMALL((CJ185,CN185,CV185), 1)-CC185), "",  SMALL((CJ185,CN185,CV185), 1)-CC185))</f>
        <v/>
      </c>
      <c r="CI185" s="234"/>
      <c r="CJ185" s="235"/>
      <c r="CK185" s="236"/>
      <c r="CL185" s="222" t="str">
        <f t="shared" si="35"/>
        <v/>
      </c>
      <c r="CM185" s="237" t="str">
        <f>IF(OR(G185="", CJ185="",CK185=""), "", IF(ISERROR(SMALL((CN185,CV185), 1)-CK185), "",  SMALL((CN185,CV185), 1)-CK185))</f>
        <v/>
      </c>
      <c r="CN185" s="235"/>
      <c r="CO185" s="236"/>
      <c r="CP185" s="224" t="str">
        <f t="shared" si="36"/>
        <v/>
      </c>
      <c r="CQ185" s="235"/>
      <c r="CR185" s="236"/>
      <c r="CS185" s="222" t="str">
        <f t="shared" si="37"/>
        <v/>
      </c>
      <c r="CT185" s="237" t="str">
        <f t="shared" si="38"/>
        <v/>
      </c>
      <c r="CU185" s="238"/>
      <c r="CV185" s="239"/>
      <c r="CW185" s="240"/>
    </row>
    <row r="186" spans="2:101" ht="16.5" customHeight="1">
      <c r="B186" s="122"/>
      <c r="E186" s="122"/>
      <c r="F186" s="194"/>
      <c r="G186" s="195"/>
      <c r="H186" s="195"/>
      <c r="I186" s="195"/>
      <c r="J186" s="196"/>
      <c r="K186" s="197"/>
      <c r="L186" s="198"/>
      <c r="M186" s="199"/>
      <c r="N186" s="200"/>
      <c r="O186" s="201"/>
      <c r="P186" s="201"/>
      <c r="Q186" s="201"/>
      <c r="R186" s="201"/>
      <c r="S186" s="201"/>
      <c r="T186" s="201"/>
      <c r="U186" s="201"/>
      <c r="V186" s="201"/>
      <c r="W186" s="201"/>
      <c r="X186" s="202"/>
      <c r="Y186" s="203"/>
      <c r="Z186" s="204"/>
      <c r="AA186" s="205"/>
      <c r="AB186" s="206"/>
      <c r="AC186" s="206"/>
      <c r="AD186" s="194"/>
      <c r="AE186" s="201"/>
      <c r="AF186" s="207"/>
      <c r="AG186" s="208"/>
      <c r="AH186" s="209"/>
      <c r="AI186" s="210"/>
      <c r="AJ186" s="197"/>
      <c r="AK186" s="201"/>
      <c r="AL186" s="196"/>
      <c r="AM186" s="201"/>
      <c r="AN186" s="201"/>
      <c r="AO186" s="201"/>
      <c r="AP186" s="211"/>
      <c r="AQ186" s="212"/>
      <c r="AR186" s="201"/>
      <c r="AS186" s="201"/>
      <c r="AT186" s="201"/>
      <c r="AU186" s="201"/>
      <c r="AV186" s="202"/>
      <c r="AW186" s="194"/>
      <c r="AX186" s="201"/>
      <c r="AY186" s="213"/>
      <c r="AZ186" s="214"/>
      <c r="BA186" s="215"/>
      <c r="BB186" s="216"/>
      <c r="BC186" s="217" t="str">
        <f t="shared" si="26"/>
        <v/>
      </c>
      <c r="BD186" s="218"/>
      <c r="BE186" s="219"/>
      <c r="BF186" s="220"/>
      <c r="BG186" s="219"/>
      <c r="BH186" s="219"/>
      <c r="BI186" s="220"/>
      <c r="BJ186" s="218"/>
      <c r="BK186" s="219"/>
      <c r="BL186" s="197"/>
      <c r="BM186" s="215"/>
      <c r="BN186" s="221"/>
      <c r="BO186" s="222" t="str">
        <f t="shared" si="27"/>
        <v/>
      </c>
      <c r="BP186" s="217" t="str">
        <f t="shared" si="28"/>
        <v/>
      </c>
      <c r="BQ186" s="215"/>
      <c r="BR186" s="224"/>
      <c r="BS186" s="225"/>
      <c r="BT186" s="223"/>
      <c r="BU186" s="215"/>
      <c r="BV186" s="226"/>
      <c r="BW186" s="222" t="str">
        <f t="shared" si="29"/>
        <v/>
      </c>
      <c r="BX186" s="223" t="str">
        <f t="shared" si="30"/>
        <v/>
      </c>
      <c r="BY186" s="215"/>
      <c r="BZ186" s="227"/>
      <c r="CA186" s="227"/>
      <c r="CB186" s="228"/>
      <c r="CC186" s="229"/>
      <c r="CD186" s="230" t="str">
        <f t="shared" si="31"/>
        <v/>
      </c>
      <c r="CE186" s="231" t="str">
        <f t="shared" si="32"/>
        <v/>
      </c>
      <c r="CF186" s="232" t="str">
        <f t="shared" si="33"/>
        <v/>
      </c>
      <c r="CG186" s="233" t="str">
        <f t="shared" si="34"/>
        <v/>
      </c>
      <c r="CH186" s="207" t="str">
        <f>IF(OR(G186="",CC186= ""), "", IF(ISERROR(SMALL((CJ186,CN186,CV186), 1)-CC186), "",  SMALL((CJ186,CN186,CV186), 1)-CC186))</f>
        <v/>
      </c>
      <c r="CI186" s="234"/>
      <c r="CJ186" s="235"/>
      <c r="CK186" s="236"/>
      <c r="CL186" s="222" t="str">
        <f t="shared" si="35"/>
        <v/>
      </c>
      <c r="CM186" s="237" t="str">
        <f>IF(OR(G186="", CJ186="",CK186=""), "", IF(ISERROR(SMALL((CN186,CV186), 1)-CK186), "",  SMALL((CN186,CV186), 1)-CK186))</f>
        <v/>
      </c>
      <c r="CN186" s="235"/>
      <c r="CO186" s="236"/>
      <c r="CP186" s="224" t="str">
        <f t="shared" si="36"/>
        <v/>
      </c>
      <c r="CQ186" s="235"/>
      <c r="CR186" s="236"/>
      <c r="CS186" s="222" t="str">
        <f t="shared" si="37"/>
        <v/>
      </c>
      <c r="CT186" s="237" t="str">
        <f t="shared" si="38"/>
        <v/>
      </c>
      <c r="CU186" s="238"/>
      <c r="CV186" s="239"/>
      <c r="CW186" s="240"/>
    </row>
    <row r="187" spans="2:101" ht="16.5" customHeight="1">
      <c r="B187" s="122"/>
      <c r="E187" s="122"/>
      <c r="F187" s="194"/>
      <c r="G187" s="195"/>
      <c r="H187" s="195"/>
      <c r="I187" s="195"/>
      <c r="J187" s="196"/>
      <c r="K187" s="197"/>
      <c r="L187" s="198"/>
      <c r="M187" s="199"/>
      <c r="N187" s="200"/>
      <c r="O187" s="201"/>
      <c r="P187" s="201"/>
      <c r="Q187" s="201"/>
      <c r="R187" s="201"/>
      <c r="S187" s="201"/>
      <c r="T187" s="201"/>
      <c r="U187" s="201"/>
      <c r="V187" s="201"/>
      <c r="W187" s="201"/>
      <c r="X187" s="202"/>
      <c r="Y187" s="203"/>
      <c r="Z187" s="204"/>
      <c r="AA187" s="205"/>
      <c r="AB187" s="206"/>
      <c r="AC187" s="206"/>
      <c r="AD187" s="194"/>
      <c r="AE187" s="201"/>
      <c r="AF187" s="207"/>
      <c r="AG187" s="208"/>
      <c r="AH187" s="209"/>
      <c r="AI187" s="210"/>
      <c r="AJ187" s="197"/>
      <c r="AK187" s="201"/>
      <c r="AL187" s="196"/>
      <c r="AM187" s="201"/>
      <c r="AN187" s="201"/>
      <c r="AO187" s="201"/>
      <c r="AP187" s="211"/>
      <c r="AQ187" s="212"/>
      <c r="AR187" s="201"/>
      <c r="AS187" s="201"/>
      <c r="AT187" s="201"/>
      <c r="AU187" s="201"/>
      <c r="AV187" s="202"/>
      <c r="AW187" s="194"/>
      <c r="AX187" s="201"/>
      <c r="AY187" s="213"/>
      <c r="AZ187" s="214"/>
      <c r="BA187" s="215"/>
      <c r="BB187" s="216"/>
      <c r="BC187" s="217" t="str">
        <f t="shared" si="26"/>
        <v/>
      </c>
      <c r="BD187" s="218"/>
      <c r="BE187" s="219"/>
      <c r="BF187" s="220"/>
      <c r="BG187" s="219"/>
      <c r="BH187" s="219"/>
      <c r="BI187" s="220"/>
      <c r="BJ187" s="218"/>
      <c r="BK187" s="219"/>
      <c r="BL187" s="197"/>
      <c r="BM187" s="215"/>
      <c r="BN187" s="221"/>
      <c r="BO187" s="222" t="str">
        <f t="shared" si="27"/>
        <v/>
      </c>
      <c r="BP187" s="217" t="str">
        <f t="shared" si="28"/>
        <v/>
      </c>
      <c r="BQ187" s="215"/>
      <c r="BR187" s="224"/>
      <c r="BS187" s="225"/>
      <c r="BT187" s="223"/>
      <c r="BU187" s="215"/>
      <c r="BV187" s="226"/>
      <c r="BW187" s="222" t="str">
        <f t="shared" si="29"/>
        <v/>
      </c>
      <c r="BX187" s="223" t="str">
        <f t="shared" si="30"/>
        <v/>
      </c>
      <c r="BY187" s="215"/>
      <c r="BZ187" s="227"/>
      <c r="CA187" s="227"/>
      <c r="CB187" s="228"/>
      <c r="CC187" s="229"/>
      <c r="CD187" s="230" t="str">
        <f t="shared" si="31"/>
        <v/>
      </c>
      <c r="CE187" s="231" t="str">
        <f t="shared" si="32"/>
        <v/>
      </c>
      <c r="CF187" s="232" t="str">
        <f t="shared" si="33"/>
        <v/>
      </c>
      <c r="CG187" s="233" t="str">
        <f t="shared" si="34"/>
        <v/>
      </c>
      <c r="CH187" s="207" t="str">
        <f>IF(OR(G187="",CC187= ""), "", IF(ISERROR(SMALL((CJ187,CN187,CV187), 1)-CC187), "",  SMALL((CJ187,CN187,CV187), 1)-CC187))</f>
        <v/>
      </c>
      <c r="CI187" s="234"/>
      <c r="CJ187" s="235"/>
      <c r="CK187" s="236"/>
      <c r="CL187" s="222" t="str">
        <f t="shared" si="35"/>
        <v/>
      </c>
      <c r="CM187" s="237" t="str">
        <f>IF(OR(G187="", CJ187="",CK187=""), "", IF(ISERROR(SMALL((CN187,CV187), 1)-CK187), "",  SMALL((CN187,CV187), 1)-CK187))</f>
        <v/>
      </c>
      <c r="CN187" s="235"/>
      <c r="CO187" s="236"/>
      <c r="CP187" s="224" t="str">
        <f t="shared" si="36"/>
        <v/>
      </c>
      <c r="CQ187" s="235"/>
      <c r="CR187" s="236"/>
      <c r="CS187" s="222" t="str">
        <f t="shared" si="37"/>
        <v/>
      </c>
      <c r="CT187" s="237" t="str">
        <f t="shared" si="38"/>
        <v/>
      </c>
      <c r="CU187" s="238"/>
      <c r="CV187" s="239"/>
      <c r="CW187" s="240"/>
    </row>
    <row r="188" spans="2:101" ht="16.5" customHeight="1">
      <c r="B188" s="122"/>
      <c r="E188" s="122"/>
      <c r="F188" s="194"/>
      <c r="G188" s="195"/>
      <c r="H188" s="195"/>
      <c r="I188" s="195"/>
      <c r="J188" s="196"/>
      <c r="K188" s="197"/>
      <c r="L188" s="198"/>
      <c r="M188" s="199"/>
      <c r="N188" s="200"/>
      <c r="O188" s="201"/>
      <c r="P188" s="201"/>
      <c r="Q188" s="201"/>
      <c r="R188" s="201"/>
      <c r="S188" s="201"/>
      <c r="T188" s="201"/>
      <c r="U188" s="201"/>
      <c r="V188" s="201"/>
      <c r="W188" s="201"/>
      <c r="X188" s="202"/>
      <c r="Y188" s="203"/>
      <c r="Z188" s="204"/>
      <c r="AA188" s="205"/>
      <c r="AB188" s="206"/>
      <c r="AC188" s="206"/>
      <c r="AD188" s="194"/>
      <c r="AE188" s="201"/>
      <c r="AF188" s="207"/>
      <c r="AG188" s="208"/>
      <c r="AH188" s="209"/>
      <c r="AI188" s="210"/>
      <c r="AJ188" s="197"/>
      <c r="AK188" s="201"/>
      <c r="AL188" s="196"/>
      <c r="AM188" s="201"/>
      <c r="AN188" s="201"/>
      <c r="AO188" s="201"/>
      <c r="AP188" s="211"/>
      <c r="AQ188" s="212"/>
      <c r="AR188" s="201"/>
      <c r="AS188" s="201"/>
      <c r="AT188" s="201"/>
      <c r="AU188" s="201"/>
      <c r="AV188" s="202"/>
      <c r="AW188" s="194"/>
      <c r="AX188" s="201"/>
      <c r="AY188" s="213"/>
      <c r="AZ188" s="214"/>
      <c r="BA188" s="215"/>
      <c r="BB188" s="216"/>
      <c r="BC188" s="217" t="str">
        <f t="shared" si="26"/>
        <v/>
      </c>
      <c r="BD188" s="218"/>
      <c r="BE188" s="219"/>
      <c r="BF188" s="220"/>
      <c r="BG188" s="219"/>
      <c r="BH188" s="219"/>
      <c r="BI188" s="220"/>
      <c r="BJ188" s="218"/>
      <c r="BK188" s="219"/>
      <c r="BL188" s="197"/>
      <c r="BM188" s="215"/>
      <c r="BN188" s="221"/>
      <c r="BO188" s="222" t="str">
        <f t="shared" si="27"/>
        <v/>
      </c>
      <c r="BP188" s="217" t="str">
        <f t="shared" si="28"/>
        <v/>
      </c>
      <c r="BQ188" s="215"/>
      <c r="BR188" s="224"/>
      <c r="BS188" s="225"/>
      <c r="BT188" s="223"/>
      <c r="BU188" s="215"/>
      <c r="BV188" s="226"/>
      <c r="BW188" s="222" t="str">
        <f t="shared" si="29"/>
        <v/>
      </c>
      <c r="BX188" s="223" t="str">
        <f t="shared" si="30"/>
        <v/>
      </c>
      <c r="BY188" s="215"/>
      <c r="BZ188" s="227"/>
      <c r="CA188" s="227"/>
      <c r="CB188" s="228"/>
      <c r="CC188" s="229"/>
      <c r="CD188" s="230" t="str">
        <f t="shared" si="31"/>
        <v/>
      </c>
      <c r="CE188" s="231" t="str">
        <f t="shared" si="32"/>
        <v/>
      </c>
      <c r="CF188" s="232" t="str">
        <f t="shared" si="33"/>
        <v/>
      </c>
      <c r="CG188" s="233" t="str">
        <f t="shared" si="34"/>
        <v/>
      </c>
      <c r="CH188" s="207" t="str">
        <f>IF(OR(G188="",CC188= ""), "", IF(ISERROR(SMALL((CJ188,CN188,CV188), 1)-CC188), "",  SMALL((CJ188,CN188,CV188), 1)-CC188))</f>
        <v/>
      </c>
      <c r="CI188" s="234"/>
      <c r="CJ188" s="235"/>
      <c r="CK188" s="236"/>
      <c r="CL188" s="222" t="str">
        <f t="shared" si="35"/>
        <v/>
      </c>
      <c r="CM188" s="237" t="str">
        <f>IF(OR(G188="", CJ188="",CK188=""), "", IF(ISERROR(SMALL((CN188,CV188), 1)-CK188), "",  SMALL((CN188,CV188), 1)-CK188))</f>
        <v/>
      </c>
      <c r="CN188" s="235"/>
      <c r="CO188" s="236"/>
      <c r="CP188" s="224" t="str">
        <f t="shared" si="36"/>
        <v/>
      </c>
      <c r="CQ188" s="235"/>
      <c r="CR188" s="236"/>
      <c r="CS188" s="222" t="str">
        <f t="shared" si="37"/>
        <v/>
      </c>
      <c r="CT188" s="237" t="str">
        <f t="shared" si="38"/>
        <v/>
      </c>
      <c r="CU188" s="238"/>
      <c r="CV188" s="239"/>
      <c r="CW188" s="240"/>
    </row>
    <row r="189" spans="2:101" ht="16.5" customHeight="1">
      <c r="B189" s="122"/>
      <c r="E189" s="122"/>
      <c r="F189" s="194"/>
      <c r="G189" s="195"/>
      <c r="H189" s="195"/>
      <c r="I189" s="195"/>
      <c r="J189" s="196"/>
      <c r="K189" s="197"/>
      <c r="L189" s="198"/>
      <c r="M189" s="199"/>
      <c r="N189" s="200"/>
      <c r="O189" s="201"/>
      <c r="P189" s="201"/>
      <c r="Q189" s="201"/>
      <c r="R189" s="201"/>
      <c r="S189" s="201"/>
      <c r="T189" s="201"/>
      <c r="U189" s="201"/>
      <c r="V189" s="201"/>
      <c r="W189" s="201"/>
      <c r="X189" s="202"/>
      <c r="Y189" s="203"/>
      <c r="Z189" s="204"/>
      <c r="AA189" s="205"/>
      <c r="AB189" s="206"/>
      <c r="AC189" s="206"/>
      <c r="AD189" s="194"/>
      <c r="AE189" s="201"/>
      <c r="AF189" s="207"/>
      <c r="AG189" s="208"/>
      <c r="AH189" s="209"/>
      <c r="AI189" s="210"/>
      <c r="AJ189" s="197"/>
      <c r="AK189" s="201"/>
      <c r="AL189" s="196"/>
      <c r="AM189" s="201"/>
      <c r="AN189" s="201"/>
      <c r="AO189" s="201"/>
      <c r="AP189" s="211"/>
      <c r="AQ189" s="212"/>
      <c r="AR189" s="201"/>
      <c r="AS189" s="201"/>
      <c r="AT189" s="201"/>
      <c r="AU189" s="201"/>
      <c r="AV189" s="202"/>
      <c r="AW189" s="194"/>
      <c r="AX189" s="201"/>
      <c r="AY189" s="213"/>
      <c r="AZ189" s="214"/>
      <c r="BA189" s="215"/>
      <c r="BB189" s="216"/>
      <c r="BC189" s="217" t="str">
        <f t="shared" si="26"/>
        <v/>
      </c>
      <c r="BD189" s="218"/>
      <c r="BE189" s="219"/>
      <c r="BF189" s="220"/>
      <c r="BG189" s="219"/>
      <c r="BH189" s="219"/>
      <c r="BI189" s="220"/>
      <c r="BJ189" s="218"/>
      <c r="BK189" s="219"/>
      <c r="BL189" s="197"/>
      <c r="BM189" s="215"/>
      <c r="BN189" s="221"/>
      <c r="BO189" s="222" t="str">
        <f t="shared" si="27"/>
        <v/>
      </c>
      <c r="BP189" s="217" t="str">
        <f t="shared" si="28"/>
        <v/>
      </c>
      <c r="BQ189" s="215"/>
      <c r="BR189" s="224"/>
      <c r="BS189" s="225"/>
      <c r="BT189" s="223"/>
      <c r="BU189" s="215"/>
      <c r="BV189" s="226"/>
      <c r="BW189" s="222" t="str">
        <f t="shared" si="29"/>
        <v/>
      </c>
      <c r="BX189" s="223" t="str">
        <f t="shared" si="30"/>
        <v/>
      </c>
      <c r="BY189" s="215"/>
      <c r="BZ189" s="227"/>
      <c r="CA189" s="227"/>
      <c r="CB189" s="228"/>
      <c r="CC189" s="229"/>
      <c r="CD189" s="230" t="str">
        <f t="shared" si="31"/>
        <v/>
      </c>
      <c r="CE189" s="231" t="str">
        <f t="shared" si="32"/>
        <v/>
      </c>
      <c r="CF189" s="232" t="str">
        <f t="shared" si="33"/>
        <v/>
      </c>
      <c r="CG189" s="233" t="str">
        <f t="shared" si="34"/>
        <v/>
      </c>
      <c r="CH189" s="207" t="str">
        <f>IF(OR(G189="",CC189= ""), "", IF(ISERROR(SMALL((CJ189,CN189,CV189), 1)-CC189), "",  SMALL((CJ189,CN189,CV189), 1)-CC189))</f>
        <v/>
      </c>
      <c r="CI189" s="234"/>
      <c r="CJ189" s="235"/>
      <c r="CK189" s="236"/>
      <c r="CL189" s="222" t="str">
        <f t="shared" si="35"/>
        <v/>
      </c>
      <c r="CM189" s="237" t="str">
        <f>IF(OR(G189="", CJ189="",CK189=""), "", IF(ISERROR(SMALL((CN189,CV189), 1)-CK189), "",  SMALL((CN189,CV189), 1)-CK189))</f>
        <v/>
      </c>
      <c r="CN189" s="235"/>
      <c r="CO189" s="236"/>
      <c r="CP189" s="224" t="str">
        <f t="shared" si="36"/>
        <v/>
      </c>
      <c r="CQ189" s="235"/>
      <c r="CR189" s="236"/>
      <c r="CS189" s="222" t="str">
        <f t="shared" si="37"/>
        <v/>
      </c>
      <c r="CT189" s="237" t="str">
        <f t="shared" si="38"/>
        <v/>
      </c>
      <c r="CU189" s="238"/>
      <c r="CV189" s="239"/>
      <c r="CW189" s="240"/>
    </row>
    <row r="190" spans="2:101" ht="16.5" customHeight="1">
      <c r="B190" s="122"/>
      <c r="E190" s="122"/>
      <c r="F190" s="194"/>
      <c r="G190" s="195"/>
      <c r="H190" s="195"/>
      <c r="I190" s="195"/>
      <c r="J190" s="196"/>
      <c r="K190" s="197"/>
      <c r="L190" s="198"/>
      <c r="M190" s="199"/>
      <c r="N190" s="200"/>
      <c r="O190" s="201"/>
      <c r="P190" s="201"/>
      <c r="Q190" s="201"/>
      <c r="R190" s="201"/>
      <c r="S190" s="201"/>
      <c r="T190" s="201"/>
      <c r="U190" s="201"/>
      <c r="V190" s="201"/>
      <c r="W190" s="201"/>
      <c r="X190" s="202"/>
      <c r="Y190" s="203"/>
      <c r="Z190" s="204"/>
      <c r="AA190" s="205"/>
      <c r="AB190" s="206"/>
      <c r="AC190" s="206"/>
      <c r="AD190" s="194"/>
      <c r="AE190" s="201"/>
      <c r="AF190" s="207"/>
      <c r="AG190" s="208"/>
      <c r="AH190" s="209"/>
      <c r="AI190" s="210"/>
      <c r="AJ190" s="197"/>
      <c r="AK190" s="201"/>
      <c r="AL190" s="196"/>
      <c r="AM190" s="201"/>
      <c r="AN190" s="201"/>
      <c r="AO190" s="201"/>
      <c r="AP190" s="211"/>
      <c r="AQ190" s="212"/>
      <c r="AR190" s="201"/>
      <c r="AS190" s="201"/>
      <c r="AT190" s="201"/>
      <c r="AU190" s="201"/>
      <c r="AV190" s="202"/>
      <c r="AW190" s="194"/>
      <c r="AX190" s="201"/>
      <c r="AY190" s="213"/>
      <c r="AZ190" s="214"/>
      <c r="BA190" s="215"/>
      <c r="BB190" s="216"/>
      <c r="BC190" s="217" t="str">
        <f t="shared" si="26"/>
        <v/>
      </c>
      <c r="BD190" s="218"/>
      <c r="BE190" s="219"/>
      <c r="BF190" s="220"/>
      <c r="BG190" s="219"/>
      <c r="BH190" s="219"/>
      <c r="BI190" s="220"/>
      <c r="BJ190" s="218"/>
      <c r="BK190" s="219"/>
      <c r="BL190" s="197"/>
      <c r="BM190" s="215"/>
      <c r="BN190" s="221"/>
      <c r="BO190" s="222" t="str">
        <f t="shared" si="27"/>
        <v/>
      </c>
      <c r="BP190" s="217" t="str">
        <f t="shared" si="28"/>
        <v/>
      </c>
      <c r="BQ190" s="215"/>
      <c r="BR190" s="224"/>
      <c r="BS190" s="225"/>
      <c r="BT190" s="223"/>
      <c r="BU190" s="215"/>
      <c r="BV190" s="226"/>
      <c r="BW190" s="222" t="str">
        <f t="shared" si="29"/>
        <v/>
      </c>
      <c r="BX190" s="223" t="str">
        <f t="shared" si="30"/>
        <v/>
      </c>
      <c r="BY190" s="215"/>
      <c r="BZ190" s="227"/>
      <c r="CA190" s="227"/>
      <c r="CB190" s="228"/>
      <c r="CC190" s="229"/>
      <c r="CD190" s="230" t="str">
        <f t="shared" si="31"/>
        <v/>
      </c>
      <c r="CE190" s="231" t="str">
        <f t="shared" si="32"/>
        <v/>
      </c>
      <c r="CF190" s="232" t="str">
        <f t="shared" si="33"/>
        <v/>
      </c>
      <c r="CG190" s="233" t="str">
        <f t="shared" si="34"/>
        <v/>
      </c>
      <c r="CH190" s="207" t="str">
        <f>IF(OR(G190="",CC190= ""), "", IF(ISERROR(SMALL((CJ190,CN190,CV190), 1)-CC190), "",  SMALL((CJ190,CN190,CV190), 1)-CC190))</f>
        <v/>
      </c>
      <c r="CI190" s="234"/>
      <c r="CJ190" s="235"/>
      <c r="CK190" s="236"/>
      <c r="CL190" s="222" t="str">
        <f t="shared" si="35"/>
        <v/>
      </c>
      <c r="CM190" s="237" t="str">
        <f>IF(OR(G190="", CJ190="",CK190=""), "", IF(ISERROR(SMALL((CN190,CV190), 1)-CK190), "",  SMALL((CN190,CV190), 1)-CK190))</f>
        <v/>
      </c>
      <c r="CN190" s="235"/>
      <c r="CO190" s="236"/>
      <c r="CP190" s="224" t="str">
        <f t="shared" si="36"/>
        <v/>
      </c>
      <c r="CQ190" s="235"/>
      <c r="CR190" s="236"/>
      <c r="CS190" s="222" t="str">
        <f t="shared" si="37"/>
        <v/>
      </c>
      <c r="CT190" s="237" t="str">
        <f t="shared" si="38"/>
        <v/>
      </c>
      <c r="CU190" s="238"/>
      <c r="CV190" s="239"/>
      <c r="CW190" s="240"/>
    </row>
    <row r="191" spans="2:101" ht="16.5" customHeight="1">
      <c r="B191" s="122"/>
      <c r="E191" s="122"/>
      <c r="F191" s="194"/>
      <c r="G191" s="195"/>
      <c r="H191" s="195"/>
      <c r="I191" s="195"/>
      <c r="J191" s="196"/>
      <c r="K191" s="197"/>
      <c r="L191" s="198"/>
      <c r="M191" s="199"/>
      <c r="N191" s="200"/>
      <c r="O191" s="201"/>
      <c r="P191" s="201"/>
      <c r="Q191" s="201"/>
      <c r="R191" s="201"/>
      <c r="S191" s="201"/>
      <c r="T191" s="201"/>
      <c r="U191" s="201"/>
      <c r="V191" s="201"/>
      <c r="W191" s="201"/>
      <c r="X191" s="202"/>
      <c r="Y191" s="203"/>
      <c r="Z191" s="204"/>
      <c r="AA191" s="205"/>
      <c r="AB191" s="206"/>
      <c r="AC191" s="206"/>
      <c r="AD191" s="194"/>
      <c r="AE191" s="201"/>
      <c r="AF191" s="207"/>
      <c r="AG191" s="208"/>
      <c r="AH191" s="209"/>
      <c r="AI191" s="210"/>
      <c r="AJ191" s="197"/>
      <c r="AK191" s="201"/>
      <c r="AL191" s="196"/>
      <c r="AM191" s="201"/>
      <c r="AN191" s="201"/>
      <c r="AO191" s="201"/>
      <c r="AP191" s="211"/>
      <c r="AQ191" s="212"/>
      <c r="AR191" s="201"/>
      <c r="AS191" s="201"/>
      <c r="AT191" s="201"/>
      <c r="AU191" s="201"/>
      <c r="AV191" s="202"/>
      <c r="AW191" s="194"/>
      <c r="AX191" s="201"/>
      <c r="AY191" s="213"/>
      <c r="AZ191" s="214"/>
      <c r="BA191" s="215"/>
      <c r="BB191" s="216"/>
      <c r="BC191" s="217" t="str">
        <f t="shared" si="26"/>
        <v/>
      </c>
      <c r="BD191" s="218"/>
      <c r="BE191" s="219"/>
      <c r="BF191" s="220"/>
      <c r="BG191" s="219"/>
      <c r="BH191" s="219"/>
      <c r="BI191" s="220"/>
      <c r="BJ191" s="218"/>
      <c r="BK191" s="219"/>
      <c r="BL191" s="197"/>
      <c r="BM191" s="215"/>
      <c r="BN191" s="221"/>
      <c r="BO191" s="222" t="str">
        <f t="shared" si="27"/>
        <v/>
      </c>
      <c r="BP191" s="217" t="str">
        <f t="shared" si="28"/>
        <v/>
      </c>
      <c r="BQ191" s="215"/>
      <c r="BR191" s="224"/>
      <c r="BS191" s="225"/>
      <c r="BT191" s="223"/>
      <c r="BU191" s="215"/>
      <c r="BV191" s="226"/>
      <c r="BW191" s="222" t="str">
        <f t="shared" si="29"/>
        <v/>
      </c>
      <c r="BX191" s="223" t="str">
        <f t="shared" si="30"/>
        <v/>
      </c>
      <c r="BY191" s="215"/>
      <c r="BZ191" s="227"/>
      <c r="CA191" s="227"/>
      <c r="CB191" s="228"/>
      <c r="CC191" s="229"/>
      <c r="CD191" s="230" t="str">
        <f t="shared" si="31"/>
        <v/>
      </c>
      <c r="CE191" s="231" t="str">
        <f t="shared" si="32"/>
        <v/>
      </c>
      <c r="CF191" s="232" t="str">
        <f t="shared" si="33"/>
        <v/>
      </c>
      <c r="CG191" s="233" t="str">
        <f t="shared" si="34"/>
        <v/>
      </c>
      <c r="CH191" s="207" t="str">
        <f>IF(OR(G191="",CC191= ""), "", IF(ISERROR(SMALL((CJ191,CN191,CV191), 1)-CC191), "",  SMALL((CJ191,CN191,CV191), 1)-CC191))</f>
        <v/>
      </c>
      <c r="CI191" s="234"/>
      <c r="CJ191" s="235"/>
      <c r="CK191" s="236"/>
      <c r="CL191" s="222" t="str">
        <f t="shared" si="35"/>
        <v/>
      </c>
      <c r="CM191" s="237" t="str">
        <f>IF(OR(G191="", CJ191="",CK191=""), "", IF(ISERROR(SMALL((CN191,CV191), 1)-CK191), "",  SMALL((CN191,CV191), 1)-CK191))</f>
        <v/>
      </c>
      <c r="CN191" s="235"/>
      <c r="CO191" s="236"/>
      <c r="CP191" s="224" t="str">
        <f t="shared" si="36"/>
        <v/>
      </c>
      <c r="CQ191" s="235"/>
      <c r="CR191" s="236"/>
      <c r="CS191" s="222" t="str">
        <f t="shared" si="37"/>
        <v/>
      </c>
      <c r="CT191" s="237" t="str">
        <f t="shared" si="38"/>
        <v/>
      </c>
      <c r="CU191" s="238"/>
      <c r="CV191" s="239"/>
      <c r="CW191" s="240"/>
    </row>
    <row r="192" spans="2:101" ht="16.5" customHeight="1">
      <c r="B192" s="122"/>
      <c r="E192" s="122"/>
      <c r="F192" s="194"/>
      <c r="G192" s="195"/>
      <c r="H192" s="195"/>
      <c r="I192" s="195"/>
      <c r="J192" s="196"/>
      <c r="K192" s="197"/>
      <c r="L192" s="198"/>
      <c r="M192" s="199"/>
      <c r="N192" s="200"/>
      <c r="O192" s="201"/>
      <c r="P192" s="201"/>
      <c r="Q192" s="201"/>
      <c r="R192" s="201"/>
      <c r="S192" s="201"/>
      <c r="T192" s="201"/>
      <c r="U192" s="201"/>
      <c r="V192" s="201"/>
      <c r="W192" s="201"/>
      <c r="X192" s="202"/>
      <c r="Y192" s="203"/>
      <c r="Z192" s="204"/>
      <c r="AA192" s="205"/>
      <c r="AB192" s="206"/>
      <c r="AC192" s="206"/>
      <c r="AD192" s="194"/>
      <c r="AE192" s="201"/>
      <c r="AF192" s="207"/>
      <c r="AG192" s="208"/>
      <c r="AH192" s="209"/>
      <c r="AI192" s="210"/>
      <c r="AJ192" s="197"/>
      <c r="AK192" s="201"/>
      <c r="AL192" s="196"/>
      <c r="AM192" s="201"/>
      <c r="AN192" s="201"/>
      <c r="AO192" s="201"/>
      <c r="AP192" s="211"/>
      <c r="AQ192" s="212"/>
      <c r="AR192" s="201"/>
      <c r="AS192" s="201"/>
      <c r="AT192" s="201"/>
      <c r="AU192" s="201"/>
      <c r="AV192" s="202"/>
      <c r="AW192" s="194"/>
      <c r="AX192" s="201"/>
      <c r="AY192" s="213"/>
      <c r="AZ192" s="214"/>
      <c r="BA192" s="215"/>
      <c r="BB192" s="216"/>
      <c r="BC192" s="217" t="str">
        <f t="shared" si="26"/>
        <v/>
      </c>
      <c r="BD192" s="218"/>
      <c r="BE192" s="219"/>
      <c r="BF192" s="220"/>
      <c r="BG192" s="219"/>
      <c r="BH192" s="219"/>
      <c r="BI192" s="220"/>
      <c r="BJ192" s="218"/>
      <c r="BK192" s="219"/>
      <c r="BL192" s="197"/>
      <c r="BM192" s="215"/>
      <c r="BN192" s="221"/>
      <c r="BO192" s="222" t="str">
        <f t="shared" si="27"/>
        <v/>
      </c>
      <c r="BP192" s="217" t="str">
        <f t="shared" si="28"/>
        <v/>
      </c>
      <c r="BQ192" s="215"/>
      <c r="BR192" s="224"/>
      <c r="BS192" s="225"/>
      <c r="BT192" s="223"/>
      <c r="BU192" s="215"/>
      <c r="BV192" s="226"/>
      <c r="BW192" s="222" t="str">
        <f t="shared" si="29"/>
        <v/>
      </c>
      <c r="BX192" s="223" t="str">
        <f t="shared" si="30"/>
        <v/>
      </c>
      <c r="BY192" s="215"/>
      <c r="BZ192" s="227"/>
      <c r="CA192" s="227"/>
      <c r="CB192" s="228"/>
      <c r="CC192" s="229"/>
      <c r="CD192" s="230" t="str">
        <f t="shared" si="31"/>
        <v/>
      </c>
      <c r="CE192" s="231" t="str">
        <f t="shared" si="32"/>
        <v/>
      </c>
      <c r="CF192" s="232" t="str">
        <f t="shared" si="33"/>
        <v/>
      </c>
      <c r="CG192" s="233" t="str">
        <f t="shared" si="34"/>
        <v/>
      </c>
      <c r="CH192" s="207" t="str">
        <f>IF(OR(G192="",CC192= ""), "", IF(ISERROR(SMALL((CJ192,CN192,CV192), 1)-CC192), "",  SMALL((CJ192,CN192,CV192), 1)-CC192))</f>
        <v/>
      </c>
      <c r="CI192" s="234"/>
      <c r="CJ192" s="235"/>
      <c r="CK192" s="236"/>
      <c r="CL192" s="222" t="str">
        <f t="shared" si="35"/>
        <v/>
      </c>
      <c r="CM192" s="237" t="str">
        <f>IF(OR(G192="", CJ192="",CK192=""), "", IF(ISERROR(SMALL((CN192,CV192), 1)-CK192), "",  SMALL((CN192,CV192), 1)-CK192))</f>
        <v/>
      </c>
      <c r="CN192" s="235"/>
      <c r="CO192" s="236"/>
      <c r="CP192" s="224" t="str">
        <f t="shared" si="36"/>
        <v/>
      </c>
      <c r="CQ192" s="235"/>
      <c r="CR192" s="236"/>
      <c r="CS192" s="222" t="str">
        <f t="shared" si="37"/>
        <v/>
      </c>
      <c r="CT192" s="237" t="str">
        <f t="shared" si="38"/>
        <v/>
      </c>
      <c r="CU192" s="238"/>
      <c r="CV192" s="239"/>
      <c r="CW192" s="240"/>
    </row>
    <row r="193" spans="2:101" ht="16.5" customHeight="1">
      <c r="B193" s="122"/>
      <c r="E193" s="122"/>
      <c r="F193" s="194"/>
      <c r="G193" s="195"/>
      <c r="H193" s="195"/>
      <c r="I193" s="195"/>
      <c r="J193" s="196"/>
      <c r="K193" s="197"/>
      <c r="L193" s="198"/>
      <c r="M193" s="199"/>
      <c r="N193" s="200"/>
      <c r="O193" s="201"/>
      <c r="P193" s="201"/>
      <c r="Q193" s="201"/>
      <c r="R193" s="201"/>
      <c r="S193" s="201"/>
      <c r="T193" s="201"/>
      <c r="U193" s="201"/>
      <c r="V193" s="201"/>
      <c r="W193" s="201"/>
      <c r="X193" s="202"/>
      <c r="Y193" s="203"/>
      <c r="Z193" s="204"/>
      <c r="AA193" s="205"/>
      <c r="AB193" s="206"/>
      <c r="AC193" s="206"/>
      <c r="AD193" s="194"/>
      <c r="AE193" s="201"/>
      <c r="AF193" s="207"/>
      <c r="AG193" s="208"/>
      <c r="AH193" s="209"/>
      <c r="AI193" s="210"/>
      <c r="AJ193" s="197"/>
      <c r="AK193" s="201"/>
      <c r="AL193" s="196"/>
      <c r="AM193" s="201"/>
      <c r="AN193" s="201"/>
      <c r="AO193" s="201"/>
      <c r="AP193" s="211"/>
      <c r="AQ193" s="212"/>
      <c r="AR193" s="201"/>
      <c r="AS193" s="201"/>
      <c r="AT193" s="201"/>
      <c r="AU193" s="201"/>
      <c r="AV193" s="202"/>
      <c r="AW193" s="194"/>
      <c r="AX193" s="201"/>
      <c r="AY193" s="213"/>
      <c r="AZ193" s="214"/>
      <c r="BA193" s="215"/>
      <c r="BB193" s="216"/>
      <c r="BC193" s="217" t="str">
        <f t="shared" si="26"/>
        <v/>
      </c>
      <c r="BD193" s="218"/>
      <c r="BE193" s="219"/>
      <c r="BF193" s="220"/>
      <c r="BG193" s="219"/>
      <c r="BH193" s="219"/>
      <c r="BI193" s="220"/>
      <c r="BJ193" s="218"/>
      <c r="BK193" s="219"/>
      <c r="BL193" s="197"/>
      <c r="BM193" s="215"/>
      <c r="BN193" s="221"/>
      <c r="BO193" s="222" t="str">
        <f t="shared" si="27"/>
        <v/>
      </c>
      <c r="BP193" s="217" t="str">
        <f t="shared" si="28"/>
        <v/>
      </c>
      <c r="BQ193" s="215"/>
      <c r="BR193" s="224"/>
      <c r="BS193" s="225"/>
      <c r="BT193" s="223"/>
      <c r="BU193" s="215"/>
      <c r="BV193" s="226"/>
      <c r="BW193" s="222" t="str">
        <f t="shared" si="29"/>
        <v/>
      </c>
      <c r="BX193" s="223" t="str">
        <f t="shared" si="30"/>
        <v/>
      </c>
      <c r="BY193" s="215"/>
      <c r="BZ193" s="227"/>
      <c r="CA193" s="227"/>
      <c r="CB193" s="228"/>
      <c r="CC193" s="229"/>
      <c r="CD193" s="230" t="str">
        <f t="shared" si="31"/>
        <v/>
      </c>
      <c r="CE193" s="231" t="str">
        <f t="shared" si="32"/>
        <v/>
      </c>
      <c r="CF193" s="232" t="str">
        <f t="shared" si="33"/>
        <v/>
      </c>
      <c r="CG193" s="233" t="str">
        <f t="shared" si="34"/>
        <v/>
      </c>
      <c r="CH193" s="207" t="str">
        <f>IF(OR(G193="",CC193= ""), "", IF(ISERROR(SMALL((CJ193,CN193,CV193), 1)-CC193), "",  SMALL((CJ193,CN193,CV193), 1)-CC193))</f>
        <v/>
      </c>
      <c r="CI193" s="234"/>
      <c r="CJ193" s="235"/>
      <c r="CK193" s="236"/>
      <c r="CL193" s="222" t="str">
        <f t="shared" si="35"/>
        <v/>
      </c>
      <c r="CM193" s="237" t="str">
        <f>IF(OR(G193="", CJ193="",CK193=""), "", IF(ISERROR(SMALL((CN193,CV193), 1)-CK193), "",  SMALL((CN193,CV193), 1)-CK193))</f>
        <v/>
      </c>
      <c r="CN193" s="235"/>
      <c r="CO193" s="236"/>
      <c r="CP193" s="224" t="str">
        <f t="shared" si="36"/>
        <v/>
      </c>
      <c r="CQ193" s="235"/>
      <c r="CR193" s="236"/>
      <c r="CS193" s="222" t="str">
        <f t="shared" si="37"/>
        <v/>
      </c>
      <c r="CT193" s="237" t="str">
        <f t="shared" si="38"/>
        <v/>
      </c>
      <c r="CU193" s="238"/>
      <c r="CV193" s="239"/>
      <c r="CW193" s="240"/>
    </row>
    <row r="194" spans="2:101" ht="16.5" customHeight="1">
      <c r="B194" s="122"/>
      <c r="E194" s="122"/>
      <c r="F194" s="194"/>
      <c r="G194" s="195"/>
      <c r="H194" s="195"/>
      <c r="I194" s="195"/>
      <c r="J194" s="196"/>
      <c r="K194" s="197"/>
      <c r="L194" s="198"/>
      <c r="M194" s="199"/>
      <c r="N194" s="200"/>
      <c r="O194" s="201"/>
      <c r="P194" s="201"/>
      <c r="Q194" s="201"/>
      <c r="R194" s="201"/>
      <c r="S194" s="201"/>
      <c r="T194" s="201"/>
      <c r="U194" s="201"/>
      <c r="V194" s="201"/>
      <c r="W194" s="201"/>
      <c r="X194" s="202"/>
      <c r="Y194" s="203"/>
      <c r="Z194" s="204"/>
      <c r="AA194" s="205"/>
      <c r="AB194" s="206"/>
      <c r="AC194" s="206"/>
      <c r="AD194" s="194"/>
      <c r="AE194" s="201"/>
      <c r="AF194" s="207"/>
      <c r="AG194" s="208"/>
      <c r="AH194" s="209"/>
      <c r="AI194" s="210"/>
      <c r="AJ194" s="197"/>
      <c r="AK194" s="201"/>
      <c r="AL194" s="196"/>
      <c r="AM194" s="201"/>
      <c r="AN194" s="201"/>
      <c r="AO194" s="201"/>
      <c r="AP194" s="211"/>
      <c r="AQ194" s="212"/>
      <c r="AR194" s="201"/>
      <c r="AS194" s="201"/>
      <c r="AT194" s="201"/>
      <c r="AU194" s="201"/>
      <c r="AV194" s="202"/>
      <c r="AW194" s="194"/>
      <c r="AX194" s="201"/>
      <c r="AY194" s="213"/>
      <c r="AZ194" s="214"/>
      <c r="BA194" s="215"/>
      <c r="BB194" s="216"/>
      <c r="BC194" s="217" t="str">
        <f t="shared" si="26"/>
        <v/>
      </c>
      <c r="BD194" s="218"/>
      <c r="BE194" s="219"/>
      <c r="BF194" s="220"/>
      <c r="BG194" s="219"/>
      <c r="BH194" s="219"/>
      <c r="BI194" s="220"/>
      <c r="BJ194" s="218"/>
      <c r="BK194" s="219"/>
      <c r="BL194" s="197"/>
      <c r="BM194" s="215"/>
      <c r="BN194" s="221"/>
      <c r="BO194" s="222" t="str">
        <f t="shared" si="27"/>
        <v/>
      </c>
      <c r="BP194" s="217" t="str">
        <f t="shared" si="28"/>
        <v/>
      </c>
      <c r="BQ194" s="215"/>
      <c r="BR194" s="224"/>
      <c r="BS194" s="225"/>
      <c r="BT194" s="223"/>
      <c r="BU194" s="215"/>
      <c r="BV194" s="226"/>
      <c r="BW194" s="222" t="str">
        <f t="shared" si="29"/>
        <v/>
      </c>
      <c r="BX194" s="223" t="str">
        <f t="shared" si="30"/>
        <v/>
      </c>
      <c r="BY194" s="215"/>
      <c r="BZ194" s="227"/>
      <c r="CA194" s="227"/>
      <c r="CB194" s="228"/>
      <c r="CC194" s="229"/>
      <c r="CD194" s="230" t="str">
        <f t="shared" si="31"/>
        <v/>
      </c>
      <c r="CE194" s="231" t="str">
        <f t="shared" si="32"/>
        <v/>
      </c>
      <c r="CF194" s="232" t="str">
        <f t="shared" si="33"/>
        <v/>
      </c>
      <c r="CG194" s="233" t="str">
        <f t="shared" si="34"/>
        <v/>
      </c>
      <c r="CH194" s="207" t="str">
        <f>IF(OR(G194="",CC194= ""), "", IF(ISERROR(SMALL((CJ194,CN194,CV194), 1)-CC194), "",  SMALL((CJ194,CN194,CV194), 1)-CC194))</f>
        <v/>
      </c>
      <c r="CI194" s="234"/>
      <c r="CJ194" s="235"/>
      <c r="CK194" s="236"/>
      <c r="CL194" s="222" t="str">
        <f t="shared" si="35"/>
        <v/>
      </c>
      <c r="CM194" s="237" t="str">
        <f>IF(OR(G194="", CJ194="",CK194=""), "", IF(ISERROR(SMALL((CN194,CV194), 1)-CK194), "",  SMALL((CN194,CV194), 1)-CK194))</f>
        <v/>
      </c>
      <c r="CN194" s="235"/>
      <c r="CO194" s="236"/>
      <c r="CP194" s="224" t="str">
        <f t="shared" si="36"/>
        <v/>
      </c>
      <c r="CQ194" s="235"/>
      <c r="CR194" s="236"/>
      <c r="CS194" s="222" t="str">
        <f t="shared" si="37"/>
        <v/>
      </c>
      <c r="CT194" s="237" t="str">
        <f t="shared" si="38"/>
        <v/>
      </c>
      <c r="CU194" s="238"/>
      <c r="CV194" s="239"/>
      <c r="CW194" s="240"/>
    </row>
    <row r="195" spans="2:101" ht="16.5" customHeight="1">
      <c r="B195" s="122"/>
      <c r="E195" s="122"/>
      <c r="F195" s="194"/>
      <c r="G195" s="195"/>
      <c r="H195" s="195"/>
      <c r="I195" s="195"/>
      <c r="J195" s="196"/>
      <c r="K195" s="197"/>
      <c r="L195" s="198"/>
      <c r="M195" s="199"/>
      <c r="N195" s="200"/>
      <c r="O195" s="201"/>
      <c r="P195" s="201"/>
      <c r="Q195" s="201"/>
      <c r="R195" s="201"/>
      <c r="S195" s="201"/>
      <c r="T195" s="201"/>
      <c r="U195" s="201"/>
      <c r="V195" s="201"/>
      <c r="W195" s="201"/>
      <c r="X195" s="202"/>
      <c r="Y195" s="203"/>
      <c r="Z195" s="204"/>
      <c r="AA195" s="205"/>
      <c r="AB195" s="206"/>
      <c r="AC195" s="206"/>
      <c r="AD195" s="194"/>
      <c r="AE195" s="201"/>
      <c r="AF195" s="207"/>
      <c r="AG195" s="208"/>
      <c r="AH195" s="209"/>
      <c r="AI195" s="210"/>
      <c r="AJ195" s="197"/>
      <c r="AK195" s="201"/>
      <c r="AL195" s="196"/>
      <c r="AM195" s="201"/>
      <c r="AN195" s="201"/>
      <c r="AO195" s="201"/>
      <c r="AP195" s="211"/>
      <c r="AQ195" s="212"/>
      <c r="AR195" s="201"/>
      <c r="AS195" s="201"/>
      <c r="AT195" s="201"/>
      <c r="AU195" s="201"/>
      <c r="AV195" s="202"/>
      <c r="AW195" s="194"/>
      <c r="AX195" s="201"/>
      <c r="AY195" s="213"/>
      <c r="AZ195" s="214"/>
      <c r="BA195" s="215"/>
      <c r="BB195" s="216"/>
      <c r="BC195" s="217" t="str">
        <f t="shared" si="26"/>
        <v/>
      </c>
      <c r="BD195" s="218"/>
      <c r="BE195" s="219"/>
      <c r="BF195" s="220"/>
      <c r="BG195" s="219"/>
      <c r="BH195" s="219"/>
      <c r="BI195" s="220"/>
      <c r="BJ195" s="218"/>
      <c r="BK195" s="219"/>
      <c r="BL195" s="197"/>
      <c r="BM195" s="215"/>
      <c r="BN195" s="221"/>
      <c r="BO195" s="222" t="str">
        <f t="shared" si="27"/>
        <v/>
      </c>
      <c r="BP195" s="217" t="str">
        <f t="shared" si="28"/>
        <v/>
      </c>
      <c r="BQ195" s="215"/>
      <c r="BR195" s="224"/>
      <c r="BS195" s="225"/>
      <c r="BT195" s="223"/>
      <c r="BU195" s="215"/>
      <c r="BV195" s="226"/>
      <c r="BW195" s="222" t="str">
        <f t="shared" si="29"/>
        <v/>
      </c>
      <c r="BX195" s="223" t="str">
        <f t="shared" si="30"/>
        <v/>
      </c>
      <c r="BY195" s="215"/>
      <c r="BZ195" s="227"/>
      <c r="CA195" s="227"/>
      <c r="CB195" s="228"/>
      <c r="CC195" s="229"/>
      <c r="CD195" s="230" t="str">
        <f t="shared" si="31"/>
        <v/>
      </c>
      <c r="CE195" s="231" t="str">
        <f t="shared" si="32"/>
        <v/>
      </c>
      <c r="CF195" s="232" t="str">
        <f t="shared" si="33"/>
        <v/>
      </c>
      <c r="CG195" s="233" t="str">
        <f t="shared" si="34"/>
        <v/>
      </c>
      <c r="CH195" s="207" t="str">
        <f>IF(OR(G195="",CC195= ""), "", IF(ISERROR(SMALL((CJ195,CN195,CV195), 1)-CC195), "",  SMALL((CJ195,CN195,CV195), 1)-CC195))</f>
        <v/>
      </c>
      <c r="CI195" s="234"/>
      <c r="CJ195" s="235"/>
      <c r="CK195" s="236"/>
      <c r="CL195" s="222" t="str">
        <f t="shared" si="35"/>
        <v/>
      </c>
      <c r="CM195" s="237" t="str">
        <f>IF(OR(G195="", CJ195="",CK195=""), "", IF(ISERROR(SMALL((CN195,CV195), 1)-CK195), "",  SMALL((CN195,CV195), 1)-CK195))</f>
        <v/>
      </c>
      <c r="CN195" s="235"/>
      <c r="CO195" s="236"/>
      <c r="CP195" s="224" t="str">
        <f t="shared" si="36"/>
        <v/>
      </c>
      <c r="CQ195" s="235"/>
      <c r="CR195" s="236"/>
      <c r="CS195" s="222" t="str">
        <f t="shared" si="37"/>
        <v/>
      </c>
      <c r="CT195" s="237" t="str">
        <f t="shared" si="38"/>
        <v/>
      </c>
      <c r="CU195" s="238"/>
      <c r="CV195" s="239"/>
      <c r="CW195" s="240"/>
    </row>
    <row r="196" spans="2:101" ht="16.5" customHeight="1">
      <c r="B196" s="122"/>
      <c r="E196" s="122"/>
      <c r="F196" s="194"/>
      <c r="G196" s="195"/>
      <c r="H196" s="195"/>
      <c r="I196" s="195"/>
      <c r="J196" s="196"/>
      <c r="K196" s="197"/>
      <c r="L196" s="198"/>
      <c r="M196" s="199"/>
      <c r="N196" s="200"/>
      <c r="O196" s="201"/>
      <c r="P196" s="201"/>
      <c r="Q196" s="201"/>
      <c r="R196" s="201"/>
      <c r="S196" s="201"/>
      <c r="T196" s="201"/>
      <c r="U196" s="201"/>
      <c r="V196" s="201"/>
      <c r="W196" s="201"/>
      <c r="X196" s="202"/>
      <c r="Y196" s="203"/>
      <c r="Z196" s="204"/>
      <c r="AA196" s="205"/>
      <c r="AB196" s="206"/>
      <c r="AC196" s="206"/>
      <c r="AD196" s="194"/>
      <c r="AE196" s="201"/>
      <c r="AF196" s="207"/>
      <c r="AG196" s="208"/>
      <c r="AH196" s="209"/>
      <c r="AI196" s="210"/>
      <c r="AJ196" s="197"/>
      <c r="AK196" s="201"/>
      <c r="AL196" s="196"/>
      <c r="AM196" s="201"/>
      <c r="AN196" s="201"/>
      <c r="AO196" s="201"/>
      <c r="AP196" s="211"/>
      <c r="AQ196" s="212"/>
      <c r="AR196" s="201"/>
      <c r="AS196" s="201"/>
      <c r="AT196" s="201"/>
      <c r="AU196" s="201"/>
      <c r="AV196" s="202"/>
      <c r="AW196" s="194"/>
      <c r="AX196" s="201"/>
      <c r="AY196" s="213"/>
      <c r="AZ196" s="214"/>
      <c r="BA196" s="215"/>
      <c r="BB196" s="216"/>
      <c r="BC196" s="217" t="str">
        <f t="shared" si="26"/>
        <v/>
      </c>
      <c r="BD196" s="218"/>
      <c r="BE196" s="219"/>
      <c r="BF196" s="220"/>
      <c r="BG196" s="219"/>
      <c r="BH196" s="219"/>
      <c r="BI196" s="220"/>
      <c r="BJ196" s="218"/>
      <c r="BK196" s="219"/>
      <c r="BL196" s="197"/>
      <c r="BM196" s="215"/>
      <c r="BN196" s="221"/>
      <c r="BO196" s="222" t="str">
        <f t="shared" si="27"/>
        <v/>
      </c>
      <c r="BP196" s="217" t="str">
        <f t="shared" si="28"/>
        <v/>
      </c>
      <c r="BQ196" s="215"/>
      <c r="BR196" s="224"/>
      <c r="BS196" s="225"/>
      <c r="BT196" s="223"/>
      <c r="BU196" s="215"/>
      <c r="BV196" s="226"/>
      <c r="BW196" s="222" t="str">
        <f t="shared" si="29"/>
        <v/>
      </c>
      <c r="BX196" s="223" t="str">
        <f t="shared" si="30"/>
        <v/>
      </c>
      <c r="BY196" s="215"/>
      <c r="BZ196" s="227"/>
      <c r="CA196" s="227"/>
      <c r="CB196" s="228"/>
      <c r="CC196" s="229"/>
      <c r="CD196" s="230" t="str">
        <f t="shared" si="31"/>
        <v/>
      </c>
      <c r="CE196" s="231" t="str">
        <f t="shared" si="32"/>
        <v/>
      </c>
      <c r="CF196" s="232" t="str">
        <f t="shared" si="33"/>
        <v/>
      </c>
      <c r="CG196" s="233" t="str">
        <f t="shared" si="34"/>
        <v/>
      </c>
      <c r="CH196" s="207" t="str">
        <f>IF(OR(G196="",CC196= ""), "", IF(ISERROR(SMALL((CJ196,CN196,CV196), 1)-CC196), "",  SMALL((CJ196,CN196,CV196), 1)-CC196))</f>
        <v/>
      </c>
      <c r="CI196" s="234"/>
      <c r="CJ196" s="235"/>
      <c r="CK196" s="236"/>
      <c r="CL196" s="222" t="str">
        <f t="shared" si="35"/>
        <v/>
      </c>
      <c r="CM196" s="237" t="str">
        <f>IF(OR(G196="", CJ196="",CK196=""), "", IF(ISERROR(SMALL((CN196,CV196), 1)-CK196), "",  SMALL((CN196,CV196), 1)-CK196))</f>
        <v/>
      </c>
      <c r="CN196" s="235"/>
      <c r="CO196" s="236"/>
      <c r="CP196" s="224" t="str">
        <f t="shared" si="36"/>
        <v/>
      </c>
      <c r="CQ196" s="235"/>
      <c r="CR196" s="236"/>
      <c r="CS196" s="222" t="str">
        <f t="shared" si="37"/>
        <v/>
      </c>
      <c r="CT196" s="237" t="str">
        <f t="shared" si="38"/>
        <v/>
      </c>
      <c r="CU196" s="238"/>
      <c r="CV196" s="239"/>
      <c r="CW196" s="240"/>
    </row>
    <row r="197" spans="2:101" ht="16.5" customHeight="1">
      <c r="B197" s="122"/>
      <c r="E197" s="122"/>
      <c r="F197" s="194"/>
      <c r="G197" s="195"/>
      <c r="H197" s="195"/>
      <c r="I197" s="195"/>
      <c r="J197" s="196"/>
      <c r="K197" s="197"/>
      <c r="L197" s="198"/>
      <c r="M197" s="199"/>
      <c r="N197" s="200"/>
      <c r="O197" s="201"/>
      <c r="P197" s="201"/>
      <c r="Q197" s="201"/>
      <c r="R197" s="201"/>
      <c r="S197" s="201"/>
      <c r="T197" s="201"/>
      <c r="U197" s="201"/>
      <c r="V197" s="201"/>
      <c r="W197" s="201"/>
      <c r="X197" s="202"/>
      <c r="Y197" s="203"/>
      <c r="Z197" s="204"/>
      <c r="AA197" s="205"/>
      <c r="AB197" s="206"/>
      <c r="AC197" s="206"/>
      <c r="AD197" s="194"/>
      <c r="AE197" s="201"/>
      <c r="AF197" s="207"/>
      <c r="AG197" s="208"/>
      <c r="AH197" s="209"/>
      <c r="AI197" s="210"/>
      <c r="AJ197" s="197"/>
      <c r="AK197" s="201"/>
      <c r="AL197" s="196"/>
      <c r="AM197" s="201"/>
      <c r="AN197" s="201"/>
      <c r="AO197" s="201"/>
      <c r="AP197" s="211"/>
      <c r="AQ197" s="212"/>
      <c r="AR197" s="201"/>
      <c r="AS197" s="201"/>
      <c r="AT197" s="201"/>
      <c r="AU197" s="201"/>
      <c r="AV197" s="202"/>
      <c r="AW197" s="194"/>
      <c r="AX197" s="201"/>
      <c r="AY197" s="213"/>
      <c r="AZ197" s="214"/>
      <c r="BA197" s="215"/>
      <c r="BB197" s="216"/>
      <c r="BC197" s="217" t="str">
        <f t="shared" si="26"/>
        <v/>
      </c>
      <c r="BD197" s="218"/>
      <c r="BE197" s="219"/>
      <c r="BF197" s="220"/>
      <c r="BG197" s="219"/>
      <c r="BH197" s="219"/>
      <c r="BI197" s="220"/>
      <c r="BJ197" s="218"/>
      <c r="BK197" s="219"/>
      <c r="BL197" s="197"/>
      <c r="BM197" s="215"/>
      <c r="BN197" s="221"/>
      <c r="BO197" s="222" t="str">
        <f t="shared" si="27"/>
        <v/>
      </c>
      <c r="BP197" s="217" t="str">
        <f t="shared" si="28"/>
        <v/>
      </c>
      <c r="BQ197" s="215"/>
      <c r="BR197" s="224"/>
      <c r="BS197" s="225"/>
      <c r="BT197" s="223"/>
      <c r="BU197" s="215"/>
      <c r="BV197" s="226"/>
      <c r="BW197" s="222" t="str">
        <f t="shared" si="29"/>
        <v/>
      </c>
      <c r="BX197" s="223" t="str">
        <f t="shared" si="30"/>
        <v/>
      </c>
      <c r="BY197" s="215"/>
      <c r="BZ197" s="227"/>
      <c r="CA197" s="227"/>
      <c r="CB197" s="228"/>
      <c r="CC197" s="229"/>
      <c r="CD197" s="230" t="str">
        <f t="shared" si="31"/>
        <v/>
      </c>
      <c r="CE197" s="231" t="str">
        <f t="shared" si="32"/>
        <v/>
      </c>
      <c r="CF197" s="232" t="str">
        <f t="shared" si="33"/>
        <v/>
      </c>
      <c r="CG197" s="233" t="str">
        <f t="shared" si="34"/>
        <v/>
      </c>
      <c r="CH197" s="207" t="str">
        <f>IF(OR(G197="",CC197= ""), "", IF(ISERROR(SMALL((CJ197,CN197,CV197), 1)-CC197), "",  SMALL((CJ197,CN197,CV197), 1)-CC197))</f>
        <v/>
      </c>
      <c r="CI197" s="234"/>
      <c r="CJ197" s="235"/>
      <c r="CK197" s="236"/>
      <c r="CL197" s="222" t="str">
        <f t="shared" si="35"/>
        <v/>
      </c>
      <c r="CM197" s="237" t="str">
        <f>IF(OR(G197="", CJ197="",CK197=""), "", IF(ISERROR(SMALL((CN197,CV197), 1)-CK197), "",  SMALL((CN197,CV197), 1)-CK197))</f>
        <v/>
      </c>
      <c r="CN197" s="235"/>
      <c r="CO197" s="236"/>
      <c r="CP197" s="224" t="str">
        <f t="shared" si="36"/>
        <v/>
      </c>
      <c r="CQ197" s="235"/>
      <c r="CR197" s="236"/>
      <c r="CS197" s="222" t="str">
        <f t="shared" si="37"/>
        <v/>
      </c>
      <c r="CT197" s="237" t="str">
        <f t="shared" si="38"/>
        <v/>
      </c>
      <c r="CU197" s="238"/>
      <c r="CV197" s="239"/>
      <c r="CW197" s="240"/>
    </row>
    <row r="198" spans="2:101" ht="16.5" customHeight="1">
      <c r="B198" s="122"/>
      <c r="E198" s="122"/>
      <c r="F198" s="194"/>
      <c r="G198" s="195"/>
      <c r="H198" s="195"/>
      <c r="I198" s="195"/>
      <c r="J198" s="196"/>
      <c r="K198" s="197"/>
      <c r="L198" s="198"/>
      <c r="M198" s="199"/>
      <c r="N198" s="200"/>
      <c r="O198" s="201"/>
      <c r="P198" s="201"/>
      <c r="Q198" s="201"/>
      <c r="R198" s="201"/>
      <c r="S198" s="201"/>
      <c r="T198" s="201"/>
      <c r="U198" s="201"/>
      <c r="V198" s="201"/>
      <c r="W198" s="201"/>
      <c r="X198" s="202"/>
      <c r="Y198" s="203"/>
      <c r="Z198" s="204"/>
      <c r="AA198" s="205"/>
      <c r="AB198" s="206"/>
      <c r="AC198" s="206"/>
      <c r="AD198" s="194"/>
      <c r="AE198" s="201"/>
      <c r="AF198" s="207"/>
      <c r="AG198" s="208"/>
      <c r="AH198" s="209"/>
      <c r="AI198" s="210"/>
      <c r="AJ198" s="197"/>
      <c r="AK198" s="201"/>
      <c r="AL198" s="196"/>
      <c r="AM198" s="201"/>
      <c r="AN198" s="201"/>
      <c r="AO198" s="201"/>
      <c r="AP198" s="211"/>
      <c r="AQ198" s="212"/>
      <c r="AR198" s="201"/>
      <c r="AS198" s="201"/>
      <c r="AT198" s="201"/>
      <c r="AU198" s="201"/>
      <c r="AV198" s="202"/>
      <c r="AW198" s="194"/>
      <c r="AX198" s="201"/>
      <c r="AY198" s="213"/>
      <c r="AZ198" s="214"/>
      <c r="BA198" s="215"/>
      <c r="BB198" s="216"/>
      <c r="BC198" s="217" t="str">
        <f t="shared" si="26"/>
        <v/>
      </c>
      <c r="BD198" s="218"/>
      <c r="BE198" s="219"/>
      <c r="BF198" s="220"/>
      <c r="BG198" s="219"/>
      <c r="BH198" s="219"/>
      <c r="BI198" s="220"/>
      <c r="BJ198" s="218"/>
      <c r="BK198" s="219"/>
      <c r="BL198" s="197"/>
      <c r="BM198" s="215"/>
      <c r="BN198" s="221"/>
      <c r="BO198" s="222" t="str">
        <f t="shared" si="27"/>
        <v/>
      </c>
      <c r="BP198" s="217" t="str">
        <f t="shared" si="28"/>
        <v/>
      </c>
      <c r="BQ198" s="215"/>
      <c r="BR198" s="224"/>
      <c r="BS198" s="225"/>
      <c r="BT198" s="223"/>
      <c r="BU198" s="215"/>
      <c r="BV198" s="226"/>
      <c r="BW198" s="222" t="str">
        <f t="shared" si="29"/>
        <v/>
      </c>
      <c r="BX198" s="223" t="str">
        <f t="shared" si="30"/>
        <v/>
      </c>
      <c r="BY198" s="215"/>
      <c r="BZ198" s="227"/>
      <c r="CA198" s="227"/>
      <c r="CB198" s="228"/>
      <c r="CC198" s="229"/>
      <c r="CD198" s="230" t="str">
        <f t="shared" si="31"/>
        <v/>
      </c>
      <c r="CE198" s="231" t="str">
        <f t="shared" si="32"/>
        <v/>
      </c>
      <c r="CF198" s="232" t="str">
        <f t="shared" si="33"/>
        <v/>
      </c>
      <c r="CG198" s="233" t="str">
        <f t="shared" si="34"/>
        <v/>
      </c>
      <c r="CH198" s="207" t="str">
        <f>IF(OR(G198="",CC198= ""), "", IF(ISERROR(SMALL((CJ198,CN198,CV198), 1)-CC198), "",  SMALL((CJ198,CN198,CV198), 1)-CC198))</f>
        <v/>
      </c>
      <c r="CI198" s="234"/>
      <c r="CJ198" s="235"/>
      <c r="CK198" s="236"/>
      <c r="CL198" s="222" t="str">
        <f t="shared" si="35"/>
        <v/>
      </c>
      <c r="CM198" s="237" t="str">
        <f>IF(OR(G198="", CJ198="",CK198=""), "", IF(ISERROR(SMALL((CN198,CV198), 1)-CK198), "",  SMALL((CN198,CV198), 1)-CK198))</f>
        <v/>
      </c>
      <c r="CN198" s="235"/>
      <c r="CO198" s="236"/>
      <c r="CP198" s="224" t="str">
        <f t="shared" si="36"/>
        <v/>
      </c>
      <c r="CQ198" s="235"/>
      <c r="CR198" s="236"/>
      <c r="CS198" s="222" t="str">
        <f t="shared" si="37"/>
        <v/>
      </c>
      <c r="CT198" s="237" t="str">
        <f t="shared" si="38"/>
        <v/>
      </c>
      <c r="CU198" s="238"/>
      <c r="CV198" s="239"/>
      <c r="CW198" s="240"/>
    </row>
    <row r="199" spans="2:101" ht="16.5" customHeight="1">
      <c r="B199" s="122"/>
      <c r="E199" s="122"/>
      <c r="F199" s="194"/>
      <c r="G199" s="195"/>
      <c r="H199" s="195"/>
      <c r="I199" s="195"/>
      <c r="J199" s="196"/>
      <c r="K199" s="197"/>
      <c r="L199" s="198"/>
      <c r="M199" s="199"/>
      <c r="N199" s="200"/>
      <c r="O199" s="201"/>
      <c r="P199" s="201"/>
      <c r="Q199" s="201"/>
      <c r="R199" s="201"/>
      <c r="S199" s="201"/>
      <c r="T199" s="201"/>
      <c r="U199" s="201"/>
      <c r="V199" s="201"/>
      <c r="W199" s="201"/>
      <c r="X199" s="202"/>
      <c r="Y199" s="203"/>
      <c r="Z199" s="204"/>
      <c r="AA199" s="205"/>
      <c r="AB199" s="206"/>
      <c r="AC199" s="206"/>
      <c r="AD199" s="194"/>
      <c r="AE199" s="201"/>
      <c r="AF199" s="207"/>
      <c r="AG199" s="208"/>
      <c r="AH199" s="209"/>
      <c r="AI199" s="210"/>
      <c r="AJ199" s="197"/>
      <c r="AK199" s="201"/>
      <c r="AL199" s="196"/>
      <c r="AM199" s="201"/>
      <c r="AN199" s="201"/>
      <c r="AO199" s="201"/>
      <c r="AP199" s="211"/>
      <c r="AQ199" s="212"/>
      <c r="AR199" s="201"/>
      <c r="AS199" s="201"/>
      <c r="AT199" s="201"/>
      <c r="AU199" s="201"/>
      <c r="AV199" s="202"/>
      <c r="AW199" s="194"/>
      <c r="AX199" s="201"/>
      <c r="AY199" s="213"/>
      <c r="AZ199" s="214"/>
      <c r="BA199" s="215"/>
      <c r="BB199" s="216"/>
      <c r="BC199" s="217" t="str">
        <f t="shared" si="26"/>
        <v/>
      </c>
      <c r="BD199" s="218"/>
      <c r="BE199" s="219"/>
      <c r="BF199" s="220"/>
      <c r="BG199" s="219"/>
      <c r="BH199" s="219"/>
      <c r="BI199" s="220"/>
      <c r="BJ199" s="218"/>
      <c r="BK199" s="219"/>
      <c r="BL199" s="197"/>
      <c r="BM199" s="215"/>
      <c r="BN199" s="221"/>
      <c r="BO199" s="222" t="str">
        <f t="shared" si="27"/>
        <v/>
      </c>
      <c r="BP199" s="217" t="str">
        <f t="shared" si="28"/>
        <v/>
      </c>
      <c r="BQ199" s="215"/>
      <c r="BR199" s="224"/>
      <c r="BS199" s="225"/>
      <c r="BT199" s="223"/>
      <c r="BU199" s="215"/>
      <c r="BV199" s="226"/>
      <c r="BW199" s="222" t="str">
        <f t="shared" si="29"/>
        <v/>
      </c>
      <c r="BX199" s="223" t="str">
        <f t="shared" si="30"/>
        <v/>
      </c>
      <c r="BY199" s="215"/>
      <c r="BZ199" s="227"/>
      <c r="CA199" s="227"/>
      <c r="CB199" s="228"/>
      <c r="CC199" s="229"/>
      <c r="CD199" s="230" t="str">
        <f t="shared" si="31"/>
        <v/>
      </c>
      <c r="CE199" s="231" t="str">
        <f t="shared" si="32"/>
        <v/>
      </c>
      <c r="CF199" s="232" t="str">
        <f t="shared" si="33"/>
        <v/>
      </c>
      <c r="CG199" s="233" t="str">
        <f t="shared" si="34"/>
        <v/>
      </c>
      <c r="CH199" s="207" t="str">
        <f>IF(OR(G199="",CC199= ""), "", IF(ISERROR(SMALL((CJ199,CN199,CV199), 1)-CC199), "",  SMALL((CJ199,CN199,CV199), 1)-CC199))</f>
        <v/>
      </c>
      <c r="CI199" s="234"/>
      <c r="CJ199" s="235"/>
      <c r="CK199" s="236"/>
      <c r="CL199" s="222" t="str">
        <f t="shared" si="35"/>
        <v/>
      </c>
      <c r="CM199" s="237" t="str">
        <f>IF(OR(G199="", CJ199="",CK199=""), "", IF(ISERROR(SMALL((CN199,CV199), 1)-CK199), "",  SMALL((CN199,CV199), 1)-CK199))</f>
        <v/>
      </c>
      <c r="CN199" s="235"/>
      <c r="CO199" s="236"/>
      <c r="CP199" s="224" t="str">
        <f t="shared" si="36"/>
        <v/>
      </c>
      <c r="CQ199" s="235"/>
      <c r="CR199" s="236"/>
      <c r="CS199" s="222" t="str">
        <f t="shared" si="37"/>
        <v/>
      </c>
      <c r="CT199" s="237" t="str">
        <f t="shared" si="38"/>
        <v/>
      </c>
      <c r="CU199" s="238"/>
      <c r="CV199" s="239"/>
      <c r="CW199" s="240"/>
    </row>
    <row r="200" spans="2:101" ht="16.5" customHeight="1">
      <c r="B200" s="122"/>
      <c r="E200" s="122"/>
      <c r="F200" s="194"/>
      <c r="G200" s="195"/>
      <c r="H200" s="195"/>
      <c r="I200" s="195"/>
      <c r="J200" s="196"/>
      <c r="K200" s="197"/>
      <c r="L200" s="198"/>
      <c r="M200" s="199"/>
      <c r="N200" s="200"/>
      <c r="O200" s="201"/>
      <c r="P200" s="201"/>
      <c r="Q200" s="201"/>
      <c r="R200" s="201"/>
      <c r="S200" s="201"/>
      <c r="T200" s="201"/>
      <c r="U200" s="201"/>
      <c r="V200" s="201"/>
      <c r="W200" s="201"/>
      <c r="X200" s="202"/>
      <c r="Y200" s="203"/>
      <c r="Z200" s="204"/>
      <c r="AA200" s="205"/>
      <c r="AB200" s="206"/>
      <c r="AC200" s="206"/>
      <c r="AD200" s="194"/>
      <c r="AE200" s="201"/>
      <c r="AF200" s="207"/>
      <c r="AG200" s="208"/>
      <c r="AH200" s="209"/>
      <c r="AI200" s="210"/>
      <c r="AJ200" s="197"/>
      <c r="AK200" s="201"/>
      <c r="AL200" s="196"/>
      <c r="AM200" s="201"/>
      <c r="AN200" s="201"/>
      <c r="AO200" s="201"/>
      <c r="AP200" s="211"/>
      <c r="AQ200" s="212"/>
      <c r="AR200" s="201"/>
      <c r="AS200" s="201"/>
      <c r="AT200" s="201"/>
      <c r="AU200" s="201"/>
      <c r="AV200" s="202"/>
      <c r="AW200" s="194"/>
      <c r="AX200" s="201"/>
      <c r="AY200" s="213"/>
      <c r="AZ200" s="214"/>
      <c r="BA200" s="215"/>
      <c r="BB200" s="216"/>
      <c r="BC200" s="217" t="str">
        <f t="shared" si="26"/>
        <v/>
      </c>
      <c r="BD200" s="218"/>
      <c r="BE200" s="219"/>
      <c r="BF200" s="220"/>
      <c r="BG200" s="219"/>
      <c r="BH200" s="219"/>
      <c r="BI200" s="220"/>
      <c r="BJ200" s="218"/>
      <c r="BK200" s="219"/>
      <c r="BL200" s="197"/>
      <c r="BM200" s="215"/>
      <c r="BN200" s="221"/>
      <c r="BO200" s="222" t="str">
        <f t="shared" si="27"/>
        <v/>
      </c>
      <c r="BP200" s="217" t="str">
        <f t="shared" si="28"/>
        <v/>
      </c>
      <c r="BQ200" s="215"/>
      <c r="BR200" s="224"/>
      <c r="BS200" s="225"/>
      <c r="BT200" s="223"/>
      <c r="BU200" s="215"/>
      <c r="BV200" s="226"/>
      <c r="BW200" s="222" t="str">
        <f t="shared" si="29"/>
        <v/>
      </c>
      <c r="BX200" s="223" t="str">
        <f t="shared" si="30"/>
        <v/>
      </c>
      <c r="BY200" s="215"/>
      <c r="BZ200" s="227"/>
      <c r="CA200" s="227"/>
      <c r="CB200" s="228"/>
      <c r="CC200" s="229"/>
      <c r="CD200" s="230" t="str">
        <f t="shared" si="31"/>
        <v/>
      </c>
      <c r="CE200" s="231" t="str">
        <f t="shared" si="32"/>
        <v/>
      </c>
      <c r="CF200" s="232" t="str">
        <f t="shared" si="33"/>
        <v/>
      </c>
      <c r="CG200" s="233" t="str">
        <f t="shared" si="34"/>
        <v/>
      </c>
      <c r="CH200" s="207" t="str">
        <f>IF(OR(G200="",CC200= ""), "", IF(ISERROR(SMALL((CJ200,CN200,CV200), 1)-CC200), "",  SMALL((CJ200,CN200,CV200), 1)-CC200))</f>
        <v/>
      </c>
      <c r="CI200" s="234"/>
      <c r="CJ200" s="235"/>
      <c r="CK200" s="236"/>
      <c r="CL200" s="222" t="str">
        <f t="shared" si="35"/>
        <v/>
      </c>
      <c r="CM200" s="237" t="str">
        <f>IF(OR(G200="", CJ200="",CK200=""), "", IF(ISERROR(SMALL((CN200,CV200), 1)-CK200), "",  SMALL((CN200,CV200), 1)-CK200))</f>
        <v/>
      </c>
      <c r="CN200" s="235"/>
      <c r="CO200" s="236"/>
      <c r="CP200" s="224" t="str">
        <f t="shared" si="36"/>
        <v/>
      </c>
      <c r="CQ200" s="235"/>
      <c r="CR200" s="236"/>
      <c r="CS200" s="222" t="str">
        <f t="shared" si="37"/>
        <v/>
      </c>
      <c r="CT200" s="237" t="str">
        <f t="shared" si="38"/>
        <v/>
      </c>
      <c r="CU200" s="238"/>
      <c r="CV200" s="239"/>
      <c r="CW200" s="240"/>
    </row>
    <row r="201" spans="2:101" ht="16.5" customHeight="1">
      <c r="B201" s="122"/>
      <c r="E201" s="122"/>
      <c r="F201" s="194"/>
      <c r="G201" s="195"/>
      <c r="H201" s="195"/>
      <c r="I201" s="195"/>
      <c r="J201" s="196"/>
      <c r="K201" s="197"/>
      <c r="L201" s="198"/>
      <c r="M201" s="199"/>
      <c r="N201" s="200"/>
      <c r="O201" s="201"/>
      <c r="P201" s="201"/>
      <c r="Q201" s="201"/>
      <c r="R201" s="201"/>
      <c r="S201" s="201"/>
      <c r="T201" s="201"/>
      <c r="U201" s="201"/>
      <c r="V201" s="201"/>
      <c r="W201" s="201"/>
      <c r="X201" s="202"/>
      <c r="Y201" s="203"/>
      <c r="Z201" s="204"/>
      <c r="AA201" s="205"/>
      <c r="AB201" s="206"/>
      <c r="AC201" s="206"/>
      <c r="AD201" s="194"/>
      <c r="AE201" s="201"/>
      <c r="AF201" s="207"/>
      <c r="AG201" s="208"/>
      <c r="AH201" s="209"/>
      <c r="AI201" s="210"/>
      <c r="AJ201" s="197"/>
      <c r="AK201" s="201"/>
      <c r="AL201" s="196"/>
      <c r="AM201" s="201"/>
      <c r="AN201" s="201"/>
      <c r="AO201" s="201"/>
      <c r="AP201" s="211"/>
      <c r="AQ201" s="212"/>
      <c r="AR201" s="201"/>
      <c r="AS201" s="201"/>
      <c r="AT201" s="201"/>
      <c r="AU201" s="201"/>
      <c r="AV201" s="202"/>
      <c r="AW201" s="194"/>
      <c r="AX201" s="201"/>
      <c r="AY201" s="213"/>
      <c r="AZ201" s="214"/>
      <c r="BA201" s="215"/>
      <c r="BB201" s="216"/>
      <c r="BC201" s="217" t="str">
        <f t="shared" ref="BC201:BC264" si="39">IF(OR($H201="", $BM201="", BB201=""), "", IF(ISERROR($BM201-BB201), "", $BM201-BB201))</f>
        <v/>
      </c>
      <c r="BD201" s="218"/>
      <c r="BE201" s="219"/>
      <c r="BF201" s="220"/>
      <c r="BG201" s="219"/>
      <c r="BH201" s="219"/>
      <c r="BI201" s="220"/>
      <c r="BJ201" s="218"/>
      <c r="BK201" s="219"/>
      <c r="BL201" s="197"/>
      <c r="BM201" s="215"/>
      <c r="BN201" s="221"/>
      <c r="BO201" s="222" t="str">
        <f t="shared" ref="BO201:BO264" si="40">IF(OR(G201="", BM201="", BN201=""), "", IF(ISERROR(BN201-BM201+1), "", BN201-BM201+1))</f>
        <v/>
      </c>
      <c r="BP201" s="217" t="str">
        <f t="shared" ref="BP201:BP264" si="41">IF(OR(G201="", BN201="", BY201=""), "", IF(ISERROR(BY201-BN201), "", BY201-BN201))</f>
        <v/>
      </c>
      <c r="BQ201" s="215"/>
      <c r="BR201" s="224"/>
      <c r="BS201" s="225"/>
      <c r="BT201" s="223"/>
      <c r="BU201" s="215"/>
      <c r="BV201" s="226"/>
      <c r="BW201" s="222" t="str">
        <f t="shared" ref="BW201:BW264" si="42">IF(OR(H201="", BU201="", BV201=""), "", IF(ISERROR(BV201-BU201+1), "", BV201-BU201+1))</f>
        <v/>
      </c>
      <c r="BX201" s="223" t="str">
        <f t="shared" ref="BX201:BX264" si="43">IF(OR(H201="", BV201="", CB201=""), "", IF(ISERROR(CB201-BV201), "", CB201-BV201))</f>
        <v/>
      </c>
      <c r="BY201" s="215"/>
      <c r="BZ201" s="227"/>
      <c r="CA201" s="227"/>
      <c r="CB201" s="228"/>
      <c r="CC201" s="229"/>
      <c r="CD201" s="230" t="str">
        <f t="shared" ref="CD201:CD264" si="44">IF(OR($H201="",$BY201="",$CB201=""),"",IF((ISERROR($CB201-$BY201+1)),"",$CB201-$BY201+1))</f>
        <v/>
      </c>
      <c r="CE201" s="231" t="str">
        <f t="shared" ref="CE201:CE264" si="45">IF(OR(CB201="", CC201=""),"", IF(ISERROR(CC201-CB201+1), "",CC201-CB201+1))</f>
        <v/>
      </c>
      <c r="CF201" s="232" t="str">
        <f t="shared" ref="CF201:CF264" si="46">IF(OR(BY201="", CC201=""), "", IF(ISERROR(CC201-BY201+1), "",CC201-BY201+1))</f>
        <v/>
      </c>
      <c r="CG201" s="233" t="str">
        <f t="shared" ref="CG201:CG264" si="47">IF(OR(G201="", CC201="", CV201=""), "", IF(ISERROR(CV201-CC201), "", CV201-CC201))</f>
        <v/>
      </c>
      <c r="CH201" s="207" t="str">
        <f>IF(OR(G201="",CC201= ""), "", IF(ISERROR(SMALL((CJ201,CN201,CV201), 1)-CC201), "",  SMALL((CJ201,CN201,CV201), 1)-CC201))</f>
        <v/>
      </c>
      <c r="CI201" s="234"/>
      <c r="CJ201" s="235"/>
      <c r="CK201" s="236"/>
      <c r="CL201" s="222" t="str">
        <f t="shared" ref="CL201:CL264" si="48">IF(OR(G201="", CJ201="", CK201=""), "",   IF(ISERROR(CK201-CJ201+1), "",CK201-CJ201+1))</f>
        <v/>
      </c>
      <c r="CM201" s="237" t="str">
        <f>IF(OR(G201="", CJ201="",CK201=""), "", IF(ISERROR(SMALL((CN201,CV201), 1)-CK201), "",  SMALL((CN201,CV201), 1)-CK201))</f>
        <v/>
      </c>
      <c r="CN201" s="235"/>
      <c r="CO201" s="236"/>
      <c r="CP201" s="224" t="str">
        <f t="shared" ref="CP201:CP264" si="49">IF(OR(G201="", CN201="", CO201=""), "",   IF(ISERROR(CO201-CN201+1), "",CO201-CN201+1))</f>
        <v/>
      </c>
      <c r="CQ201" s="235"/>
      <c r="CR201" s="236"/>
      <c r="CS201" s="222" t="str">
        <f t="shared" ref="CS201:CS264" si="50">IF(OR(G201="", CQ201="", CR201=""), "",   IF(ISERROR(CR201-CQ201+1), "",CR201-CQ201+1))</f>
        <v/>
      </c>
      <c r="CT201" s="237" t="str">
        <f t="shared" ref="CT201:CT264" si="51">IF(AND(G201="", CK201="",CR201=""), "",IF(CR201="", IF(ISERROR(CV201-CK201), "",  CV201-CK201),  IF(ISERROR(CV201-CR201), "", CV201-CR201)))</f>
        <v/>
      </c>
      <c r="CU201" s="238"/>
      <c r="CV201" s="239"/>
      <c r="CW201" s="240"/>
    </row>
    <row r="202" spans="2:101" ht="16.5" customHeight="1">
      <c r="B202" s="122"/>
      <c r="E202" s="122"/>
      <c r="F202" s="194"/>
      <c r="G202" s="195"/>
      <c r="H202" s="195"/>
      <c r="I202" s="195"/>
      <c r="J202" s="196"/>
      <c r="K202" s="197"/>
      <c r="L202" s="198"/>
      <c r="M202" s="199"/>
      <c r="N202" s="200"/>
      <c r="O202" s="201"/>
      <c r="P202" s="201"/>
      <c r="Q202" s="201"/>
      <c r="R202" s="201"/>
      <c r="S202" s="201"/>
      <c r="T202" s="201"/>
      <c r="U202" s="201"/>
      <c r="V202" s="201"/>
      <c r="W202" s="201"/>
      <c r="X202" s="202"/>
      <c r="Y202" s="203"/>
      <c r="Z202" s="204"/>
      <c r="AA202" s="205"/>
      <c r="AB202" s="206"/>
      <c r="AC202" s="206"/>
      <c r="AD202" s="194"/>
      <c r="AE202" s="201"/>
      <c r="AF202" s="207"/>
      <c r="AG202" s="208"/>
      <c r="AH202" s="209"/>
      <c r="AI202" s="210"/>
      <c r="AJ202" s="197"/>
      <c r="AK202" s="201"/>
      <c r="AL202" s="196"/>
      <c r="AM202" s="201"/>
      <c r="AN202" s="201"/>
      <c r="AO202" s="201"/>
      <c r="AP202" s="211"/>
      <c r="AQ202" s="212"/>
      <c r="AR202" s="201"/>
      <c r="AS202" s="201"/>
      <c r="AT202" s="201"/>
      <c r="AU202" s="201"/>
      <c r="AV202" s="202"/>
      <c r="AW202" s="194"/>
      <c r="AX202" s="201"/>
      <c r="AY202" s="213"/>
      <c r="AZ202" s="214"/>
      <c r="BA202" s="215"/>
      <c r="BB202" s="216"/>
      <c r="BC202" s="217" t="str">
        <f t="shared" si="39"/>
        <v/>
      </c>
      <c r="BD202" s="218"/>
      <c r="BE202" s="219"/>
      <c r="BF202" s="220"/>
      <c r="BG202" s="219"/>
      <c r="BH202" s="219"/>
      <c r="BI202" s="220"/>
      <c r="BJ202" s="218"/>
      <c r="BK202" s="219"/>
      <c r="BL202" s="197"/>
      <c r="BM202" s="215"/>
      <c r="BN202" s="221"/>
      <c r="BO202" s="222" t="str">
        <f t="shared" si="40"/>
        <v/>
      </c>
      <c r="BP202" s="217" t="str">
        <f t="shared" si="41"/>
        <v/>
      </c>
      <c r="BQ202" s="215"/>
      <c r="BR202" s="224"/>
      <c r="BS202" s="225"/>
      <c r="BT202" s="223"/>
      <c r="BU202" s="215"/>
      <c r="BV202" s="226"/>
      <c r="BW202" s="222" t="str">
        <f t="shared" si="42"/>
        <v/>
      </c>
      <c r="BX202" s="223" t="str">
        <f t="shared" si="43"/>
        <v/>
      </c>
      <c r="BY202" s="215"/>
      <c r="BZ202" s="227"/>
      <c r="CA202" s="227"/>
      <c r="CB202" s="228"/>
      <c r="CC202" s="229"/>
      <c r="CD202" s="230" t="str">
        <f t="shared" si="44"/>
        <v/>
      </c>
      <c r="CE202" s="231" t="str">
        <f t="shared" si="45"/>
        <v/>
      </c>
      <c r="CF202" s="232" t="str">
        <f t="shared" si="46"/>
        <v/>
      </c>
      <c r="CG202" s="233" t="str">
        <f t="shared" si="47"/>
        <v/>
      </c>
      <c r="CH202" s="207" t="str">
        <f>IF(OR(G202="",CC202= ""), "", IF(ISERROR(SMALL((CJ202,CN202,CV202), 1)-CC202), "",  SMALL((CJ202,CN202,CV202), 1)-CC202))</f>
        <v/>
      </c>
      <c r="CI202" s="234"/>
      <c r="CJ202" s="235"/>
      <c r="CK202" s="236"/>
      <c r="CL202" s="222" t="str">
        <f t="shared" si="48"/>
        <v/>
      </c>
      <c r="CM202" s="237" t="str">
        <f>IF(OR(G202="", CJ202="",CK202=""), "", IF(ISERROR(SMALL((CN202,CV202), 1)-CK202), "",  SMALL((CN202,CV202), 1)-CK202))</f>
        <v/>
      </c>
      <c r="CN202" s="235"/>
      <c r="CO202" s="236"/>
      <c r="CP202" s="224" t="str">
        <f t="shared" si="49"/>
        <v/>
      </c>
      <c r="CQ202" s="235"/>
      <c r="CR202" s="236"/>
      <c r="CS202" s="222" t="str">
        <f t="shared" si="50"/>
        <v/>
      </c>
      <c r="CT202" s="237" t="str">
        <f t="shared" si="51"/>
        <v/>
      </c>
      <c r="CU202" s="238"/>
      <c r="CV202" s="239"/>
      <c r="CW202" s="240"/>
    </row>
    <row r="203" spans="2:101" ht="16.5" customHeight="1">
      <c r="B203" s="122"/>
      <c r="E203" s="122"/>
      <c r="F203" s="194"/>
      <c r="G203" s="195"/>
      <c r="H203" s="195"/>
      <c r="I203" s="195"/>
      <c r="J203" s="196"/>
      <c r="K203" s="197"/>
      <c r="L203" s="198"/>
      <c r="M203" s="199"/>
      <c r="N203" s="200"/>
      <c r="O203" s="201"/>
      <c r="P203" s="201"/>
      <c r="Q203" s="201"/>
      <c r="R203" s="201"/>
      <c r="S203" s="201"/>
      <c r="T203" s="201"/>
      <c r="U203" s="201"/>
      <c r="V203" s="201"/>
      <c r="W203" s="201"/>
      <c r="X203" s="202"/>
      <c r="Y203" s="203"/>
      <c r="Z203" s="204"/>
      <c r="AA203" s="205"/>
      <c r="AB203" s="206"/>
      <c r="AC203" s="206"/>
      <c r="AD203" s="194"/>
      <c r="AE203" s="201"/>
      <c r="AF203" s="207"/>
      <c r="AG203" s="208"/>
      <c r="AH203" s="209"/>
      <c r="AI203" s="210"/>
      <c r="AJ203" s="197"/>
      <c r="AK203" s="201"/>
      <c r="AL203" s="196"/>
      <c r="AM203" s="201"/>
      <c r="AN203" s="201"/>
      <c r="AO203" s="201"/>
      <c r="AP203" s="211"/>
      <c r="AQ203" s="212"/>
      <c r="AR203" s="201"/>
      <c r="AS203" s="201"/>
      <c r="AT203" s="201"/>
      <c r="AU203" s="201"/>
      <c r="AV203" s="202"/>
      <c r="AW203" s="194"/>
      <c r="AX203" s="201"/>
      <c r="AY203" s="213"/>
      <c r="AZ203" s="214"/>
      <c r="BA203" s="215"/>
      <c r="BB203" s="216"/>
      <c r="BC203" s="217" t="str">
        <f t="shared" si="39"/>
        <v/>
      </c>
      <c r="BD203" s="218"/>
      <c r="BE203" s="219"/>
      <c r="BF203" s="220"/>
      <c r="BG203" s="219"/>
      <c r="BH203" s="219"/>
      <c r="BI203" s="220"/>
      <c r="BJ203" s="218"/>
      <c r="BK203" s="219"/>
      <c r="BL203" s="197"/>
      <c r="BM203" s="215"/>
      <c r="BN203" s="221"/>
      <c r="BO203" s="222" t="str">
        <f t="shared" si="40"/>
        <v/>
      </c>
      <c r="BP203" s="217" t="str">
        <f t="shared" si="41"/>
        <v/>
      </c>
      <c r="BQ203" s="215"/>
      <c r="BR203" s="224"/>
      <c r="BS203" s="225"/>
      <c r="BT203" s="223"/>
      <c r="BU203" s="215"/>
      <c r="BV203" s="226"/>
      <c r="BW203" s="222" t="str">
        <f t="shared" si="42"/>
        <v/>
      </c>
      <c r="BX203" s="223" t="str">
        <f t="shared" si="43"/>
        <v/>
      </c>
      <c r="BY203" s="215"/>
      <c r="BZ203" s="227"/>
      <c r="CA203" s="227"/>
      <c r="CB203" s="228"/>
      <c r="CC203" s="229"/>
      <c r="CD203" s="230" t="str">
        <f t="shared" si="44"/>
        <v/>
      </c>
      <c r="CE203" s="231" t="str">
        <f t="shared" si="45"/>
        <v/>
      </c>
      <c r="CF203" s="232" t="str">
        <f t="shared" si="46"/>
        <v/>
      </c>
      <c r="CG203" s="233" t="str">
        <f t="shared" si="47"/>
        <v/>
      </c>
      <c r="CH203" s="207" t="str">
        <f>IF(OR(G203="",CC203= ""), "", IF(ISERROR(SMALL((CJ203,CN203,CV203), 1)-CC203), "",  SMALL((CJ203,CN203,CV203), 1)-CC203))</f>
        <v/>
      </c>
      <c r="CI203" s="234"/>
      <c r="CJ203" s="235"/>
      <c r="CK203" s="236"/>
      <c r="CL203" s="222" t="str">
        <f t="shared" si="48"/>
        <v/>
      </c>
      <c r="CM203" s="237" t="str">
        <f>IF(OR(G203="", CJ203="",CK203=""), "", IF(ISERROR(SMALL((CN203,CV203), 1)-CK203), "",  SMALL((CN203,CV203), 1)-CK203))</f>
        <v/>
      </c>
      <c r="CN203" s="235"/>
      <c r="CO203" s="236"/>
      <c r="CP203" s="224" t="str">
        <f t="shared" si="49"/>
        <v/>
      </c>
      <c r="CQ203" s="235"/>
      <c r="CR203" s="236"/>
      <c r="CS203" s="222" t="str">
        <f t="shared" si="50"/>
        <v/>
      </c>
      <c r="CT203" s="237" t="str">
        <f t="shared" si="51"/>
        <v/>
      </c>
      <c r="CU203" s="238"/>
      <c r="CV203" s="239"/>
      <c r="CW203" s="240"/>
    </row>
    <row r="204" spans="2:101" ht="16.5" customHeight="1">
      <c r="B204" s="122"/>
      <c r="E204" s="122"/>
      <c r="F204" s="194"/>
      <c r="G204" s="195"/>
      <c r="H204" s="195"/>
      <c r="I204" s="195"/>
      <c r="J204" s="196"/>
      <c r="K204" s="197"/>
      <c r="L204" s="198"/>
      <c r="M204" s="199"/>
      <c r="N204" s="200"/>
      <c r="O204" s="201"/>
      <c r="P204" s="201"/>
      <c r="Q204" s="201"/>
      <c r="R204" s="201"/>
      <c r="S204" s="201"/>
      <c r="T204" s="201"/>
      <c r="U204" s="201"/>
      <c r="V204" s="201"/>
      <c r="W204" s="201"/>
      <c r="X204" s="202"/>
      <c r="Y204" s="203"/>
      <c r="Z204" s="204"/>
      <c r="AA204" s="205"/>
      <c r="AB204" s="206"/>
      <c r="AC204" s="206"/>
      <c r="AD204" s="194"/>
      <c r="AE204" s="201"/>
      <c r="AF204" s="207"/>
      <c r="AG204" s="208"/>
      <c r="AH204" s="209"/>
      <c r="AI204" s="210"/>
      <c r="AJ204" s="197"/>
      <c r="AK204" s="201"/>
      <c r="AL204" s="196"/>
      <c r="AM204" s="201"/>
      <c r="AN204" s="201"/>
      <c r="AO204" s="201"/>
      <c r="AP204" s="211"/>
      <c r="AQ204" s="212"/>
      <c r="AR204" s="201"/>
      <c r="AS204" s="201"/>
      <c r="AT204" s="201"/>
      <c r="AU204" s="201"/>
      <c r="AV204" s="202"/>
      <c r="AW204" s="194"/>
      <c r="AX204" s="201"/>
      <c r="AY204" s="213"/>
      <c r="AZ204" s="214"/>
      <c r="BA204" s="215"/>
      <c r="BB204" s="216"/>
      <c r="BC204" s="217" t="str">
        <f t="shared" si="39"/>
        <v/>
      </c>
      <c r="BD204" s="218"/>
      <c r="BE204" s="219"/>
      <c r="BF204" s="220"/>
      <c r="BG204" s="219"/>
      <c r="BH204" s="219"/>
      <c r="BI204" s="220"/>
      <c r="BJ204" s="218"/>
      <c r="BK204" s="219"/>
      <c r="BL204" s="197"/>
      <c r="BM204" s="215"/>
      <c r="BN204" s="221"/>
      <c r="BO204" s="222" t="str">
        <f t="shared" si="40"/>
        <v/>
      </c>
      <c r="BP204" s="217" t="str">
        <f t="shared" si="41"/>
        <v/>
      </c>
      <c r="BQ204" s="215"/>
      <c r="BR204" s="224"/>
      <c r="BS204" s="225"/>
      <c r="BT204" s="223"/>
      <c r="BU204" s="215"/>
      <c r="BV204" s="226"/>
      <c r="BW204" s="222" t="str">
        <f t="shared" si="42"/>
        <v/>
      </c>
      <c r="BX204" s="223" t="str">
        <f t="shared" si="43"/>
        <v/>
      </c>
      <c r="BY204" s="215"/>
      <c r="BZ204" s="227"/>
      <c r="CA204" s="227"/>
      <c r="CB204" s="228"/>
      <c r="CC204" s="229"/>
      <c r="CD204" s="230" t="str">
        <f t="shared" si="44"/>
        <v/>
      </c>
      <c r="CE204" s="231" t="str">
        <f t="shared" si="45"/>
        <v/>
      </c>
      <c r="CF204" s="232" t="str">
        <f t="shared" si="46"/>
        <v/>
      </c>
      <c r="CG204" s="233" t="str">
        <f t="shared" si="47"/>
        <v/>
      </c>
      <c r="CH204" s="207" t="str">
        <f>IF(OR(G204="",CC204= ""), "", IF(ISERROR(SMALL((CJ204,CN204,CV204), 1)-CC204), "",  SMALL((CJ204,CN204,CV204), 1)-CC204))</f>
        <v/>
      </c>
      <c r="CI204" s="234"/>
      <c r="CJ204" s="235"/>
      <c r="CK204" s="236"/>
      <c r="CL204" s="222" t="str">
        <f t="shared" si="48"/>
        <v/>
      </c>
      <c r="CM204" s="237" t="str">
        <f>IF(OR(G204="", CJ204="",CK204=""), "", IF(ISERROR(SMALL((CN204,CV204), 1)-CK204), "",  SMALL((CN204,CV204), 1)-CK204))</f>
        <v/>
      </c>
      <c r="CN204" s="235"/>
      <c r="CO204" s="236"/>
      <c r="CP204" s="224" t="str">
        <f t="shared" si="49"/>
        <v/>
      </c>
      <c r="CQ204" s="235"/>
      <c r="CR204" s="236"/>
      <c r="CS204" s="222" t="str">
        <f t="shared" si="50"/>
        <v/>
      </c>
      <c r="CT204" s="237" t="str">
        <f t="shared" si="51"/>
        <v/>
      </c>
      <c r="CU204" s="238"/>
      <c r="CV204" s="239"/>
      <c r="CW204" s="240"/>
    </row>
    <row r="205" spans="2:101" ht="16.5" customHeight="1">
      <c r="B205" s="122"/>
      <c r="E205" s="122"/>
      <c r="F205" s="194"/>
      <c r="G205" s="195"/>
      <c r="H205" s="195"/>
      <c r="I205" s="195"/>
      <c r="J205" s="196"/>
      <c r="K205" s="197"/>
      <c r="L205" s="198"/>
      <c r="M205" s="199"/>
      <c r="N205" s="200"/>
      <c r="O205" s="201"/>
      <c r="P205" s="201"/>
      <c r="Q205" s="201"/>
      <c r="R205" s="201"/>
      <c r="S205" s="201"/>
      <c r="T205" s="201"/>
      <c r="U205" s="201"/>
      <c r="V205" s="201"/>
      <c r="W205" s="201"/>
      <c r="X205" s="202"/>
      <c r="Y205" s="203"/>
      <c r="Z205" s="204"/>
      <c r="AA205" s="205"/>
      <c r="AB205" s="206"/>
      <c r="AC205" s="206"/>
      <c r="AD205" s="194"/>
      <c r="AE205" s="201"/>
      <c r="AF205" s="207"/>
      <c r="AG205" s="208"/>
      <c r="AH205" s="209"/>
      <c r="AI205" s="210"/>
      <c r="AJ205" s="197"/>
      <c r="AK205" s="201"/>
      <c r="AL205" s="196"/>
      <c r="AM205" s="201"/>
      <c r="AN205" s="201"/>
      <c r="AO205" s="201"/>
      <c r="AP205" s="211"/>
      <c r="AQ205" s="212"/>
      <c r="AR205" s="201"/>
      <c r="AS205" s="201"/>
      <c r="AT205" s="201"/>
      <c r="AU205" s="201"/>
      <c r="AV205" s="202"/>
      <c r="AW205" s="194"/>
      <c r="AX205" s="201"/>
      <c r="AY205" s="213"/>
      <c r="AZ205" s="214"/>
      <c r="BA205" s="215"/>
      <c r="BB205" s="216"/>
      <c r="BC205" s="217" t="str">
        <f t="shared" si="39"/>
        <v/>
      </c>
      <c r="BD205" s="218"/>
      <c r="BE205" s="219"/>
      <c r="BF205" s="220"/>
      <c r="BG205" s="219"/>
      <c r="BH205" s="219"/>
      <c r="BI205" s="220"/>
      <c r="BJ205" s="218"/>
      <c r="BK205" s="219"/>
      <c r="BL205" s="197"/>
      <c r="BM205" s="215"/>
      <c r="BN205" s="221"/>
      <c r="BO205" s="222" t="str">
        <f t="shared" si="40"/>
        <v/>
      </c>
      <c r="BP205" s="217" t="str">
        <f t="shared" si="41"/>
        <v/>
      </c>
      <c r="BQ205" s="215"/>
      <c r="BR205" s="224"/>
      <c r="BS205" s="225"/>
      <c r="BT205" s="223"/>
      <c r="BU205" s="215"/>
      <c r="BV205" s="226"/>
      <c r="BW205" s="222" t="str">
        <f t="shared" si="42"/>
        <v/>
      </c>
      <c r="BX205" s="223" t="str">
        <f t="shared" si="43"/>
        <v/>
      </c>
      <c r="BY205" s="215"/>
      <c r="BZ205" s="227"/>
      <c r="CA205" s="227"/>
      <c r="CB205" s="228"/>
      <c r="CC205" s="229"/>
      <c r="CD205" s="230" t="str">
        <f t="shared" si="44"/>
        <v/>
      </c>
      <c r="CE205" s="231" t="str">
        <f t="shared" si="45"/>
        <v/>
      </c>
      <c r="CF205" s="232" t="str">
        <f t="shared" si="46"/>
        <v/>
      </c>
      <c r="CG205" s="233" t="str">
        <f t="shared" si="47"/>
        <v/>
      </c>
      <c r="CH205" s="207" t="str">
        <f>IF(OR(G205="",CC205= ""), "", IF(ISERROR(SMALL((CJ205,CN205,CV205), 1)-CC205), "",  SMALL((CJ205,CN205,CV205), 1)-CC205))</f>
        <v/>
      </c>
      <c r="CI205" s="234"/>
      <c r="CJ205" s="235"/>
      <c r="CK205" s="236"/>
      <c r="CL205" s="222" t="str">
        <f t="shared" si="48"/>
        <v/>
      </c>
      <c r="CM205" s="237" t="str">
        <f>IF(OR(G205="", CJ205="",CK205=""), "", IF(ISERROR(SMALL((CN205,CV205), 1)-CK205), "",  SMALL((CN205,CV205), 1)-CK205))</f>
        <v/>
      </c>
      <c r="CN205" s="235"/>
      <c r="CO205" s="236"/>
      <c r="CP205" s="224" t="str">
        <f t="shared" si="49"/>
        <v/>
      </c>
      <c r="CQ205" s="235"/>
      <c r="CR205" s="236"/>
      <c r="CS205" s="222" t="str">
        <f t="shared" si="50"/>
        <v/>
      </c>
      <c r="CT205" s="237" t="str">
        <f t="shared" si="51"/>
        <v/>
      </c>
      <c r="CU205" s="238"/>
      <c r="CV205" s="239"/>
      <c r="CW205" s="240"/>
    </row>
    <row r="206" spans="2:101" ht="16.5" customHeight="1">
      <c r="B206" s="122"/>
      <c r="E206" s="122"/>
      <c r="F206" s="194"/>
      <c r="G206" s="195"/>
      <c r="H206" s="195"/>
      <c r="I206" s="195"/>
      <c r="J206" s="196"/>
      <c r="K206" s="197"/>
      <c r="L206" s="198"/>
      <c r="M206" s="199"/>
      <c r="N206" s="200"/>
      <c r="O206" s="201"/>
      <c r="P206" s="201"/>
      <c r="Q206" s="201"/>
      <c r="R206" s="201"/>
      <c r="S206" s="201"/>
      <c r="T206" s="201"/>
      <c r="U206" s="201"/>
      <c r="V206" s="201"/>
      <c r="W206" s="201"/>
      <c r="X206" s="202"/>
      <c r="Y206" s="203"/>
      <c r="Z206" s="204"/>
      <c r="AA206" s="205"/>
      <c r="AB206" s="206"/>
      <c r="AC206" s="206"/>
      <c r="AD206" s="194"/>
      <c r="AE206" s="201"/>
      <c r="AF206" s="207"/>
      <c r="AG206" s="208"/>
      <c r="AH206" s="209"/>
      <c r="AI206" s="210"/>
      <c r="AJ206" s="197"/>
      <c r="AK206" s="201"/>
      <c r="AL206" s="196"/>
      <c r="AM206" s="201"/>
      <c r="AN206" s="201"/>
      <c r="AO206" s="201"/>
      <c r="AP206" s="211"/>
      <c r="AQ206" s="212"/>
      <c r="AR206" s="201"/>
      <c r="AS206" s="201"/>
      <c r="AT206" s="201"/>
      <c r="AU206" s="201"/>
      <c r="AV206" s="202"/>
      <c r="AW206" s="194"/>
      <c r="AX206" s="201"/>
      <c r="AY206" s="213"/>
      <c r="AZ206" s="214"/>
      <c r="BA206" s="215"/>
      <c r="BB206" s="216"/>
      <c r="BC206" s="217" t="str">
        <f t="shared" si="39"/>
        <v/>
      </c>
      <c r="BD206" s="218"/>
      <c r="BE206" s="219"/>
      <c r="BF206" s="220"/>
      <c r="BG206" s="219"/>
      <c r="BH206" s="219"/>
      <c r="BI206" s="220"/>
      <c r="BJ206" s="218"/>
      <c r="BK206" s="219"/>
      <c r="BL206" s="197"/>
      <c r="BM206" s="215"/>
      <c r="BN206" s="221"/>
      <c r="BO206" s="222" t="str">
        <f t="shared" si="40"/>
        <v/>
      </c>
      <c r="BP206" s="217" t="str">
        <f t="shared" si="41"/>
        <v/>
      </c>
      <c r="BQ206" s="215"/>
      <c r="BR206" s="224"/>
      <c r="BS206" s="225"/>
      <c r="BT206" s="223"/>
      <c r="BU206" s="215"/>
      <c r="BV206" s="226"/>
      <c r="BW206" s="222" t="str">
        <f t="shared" si="42"/>
        <v/>
      </c>
      <c r="BX206" s="223" t="str">
        <f t="shared" si="43"/>
        <v/>
      </c>
      <c r="BY206" s="215"/>
      <c r="BZ206" s="227"/>
      <c r="CA206" s="227"/>
      <c r="CB206" s="228"/>
      <c r="CC206" s="229"/>
      <c r="CD206" s="230" t="str">
        <f t="shared" si="44"/>
        <v/>
      </c>
      <c r="CE206" s="231" t="str">
        <f t="shared" si="45"/>
        <v/>
      </c>
      <c r="CF206" s="232" t="str">
        <f t="shared" si="46"/>
        <v/>
      </c>
      <c r="CG206" s="233" t="str">
        <f t="shared" si="47"/>
        <v/>
      </c>
      <c r="CH206" s="207" t="str">
        <f>IF(OR(G206="",CC206= ""), "", IF(ISERROR(SMALL((CJ206,CN206,CV206), 1)-CC206), "",  SMALL((CJ206,CN206,CV206), 1)-CC206))</f>
        <v/>
      </c>
      <c r="CI206" s="234"/>
      <c r="CJ206" s="235"/>
      <c r="CK206" s="236"/>
      <c r="CL206" s="222" t="str">
        <f t="shared" si="48"/>
        <v/>
      </c>
      <c r="CM206" s="237" t="str">
        <f>IF(OR(G206="", CJ206="",CK206=""), "", IF(ISERROR(SMALL((CN206,CV206), 1)-CK206), "",  SMALL((CN206,CV206), 1)-CK206))</f>
        <v/>
      </c>
      <c r="CN206" s="235"/>
      <c r="CO206" s="236"/>
      <c r="CP206" s="224" t="str">
        <f t="shared" si="49"/>
        <v/>
      </c>
      <c r="CQ206" s="235"/>
      <c r="CR206" s="236"/>
      <c r="CS206" s="222" t="str">
        <f t="shared" si="50"/>
        <v/>
      </c>
      <c r="CT206" s="237" t="str">
        <f t="shared" si="51"/>
        <v/>
      </c>
      <c r="CU206" s="238"/>
      <c r="CV206" s="239"/>
      <c r="CW206" s="240"/>
    </row>
    <row r="207" spans="2:101" ht="16.5" customHeight="1">
      <c r="B207" s="122"/>
      <c r="E207" s="122"/>
      <c r="F207" s="194"/>
      <c r="G207" s="195"/>
      <c r="H207" s="195"/>
      <c r="I207" s="195"/>
      <c r="J207" s="196"/>
      <c r="K207" s="197"/>
      <c r="L207" s="198"/>
      <c r="M207" s="199"/>
      <c r="N207" s="200"/>
      <c r="O207" s="201"/>
      <c r="P207" s="201"/>
      <c r="Q207" s="201"/>
      <c r="R207" s="201"/>
      <c r="S207" s="201"/>
      <c r="T207" s="201"/>
      <c r="U207" s="201"/>
      <c r="V207" s="201"/>
      <c r="W207" s="201"/>
      <c r="X207" s="202"/>
      <c r="Y207" s="203"/>
      <c r="Z207" s="204"/>
      <c r="AA207" s="205"/>
      <c r="AB207" s="206"/>
      <c r="AC207" s="206"/>
      <c r="AD207" s="194"/>
      <c r="AE207" s="201"/>
      <c r="AF207" s="207"/>
      <c r="AG207" s="208"/>
      <c r="AH207" s="209"/>
      <c r="AI207" s="210"/>
      <c r="AJ207" s="197"/>
      <c r="AK207" s="201"/>
      <c r="AL207" s="196"/>
      <c r="AM207" s="201"/>
      <c r="AN207" s="201"/>
      <c r="AO207" s="201"/>
      <c r="AP207" s="211"/>
      <c r="AQ207" s="212"/>
      <c r="AR207" s="201"/>
      <c r="AS207" s="201"/>
      <c r="AT207" s="201"/>
      <c r="AU207" s="201"/>
      <c r="AV207" s="202"/>
      <c r="AW207" s="194"/>
      <c r="AX207" s="201"/>
      <c r="AY207" s="213"/>
      <c r="AZ207" s="214"/>
      <c r="BA207" s="215"/>
      <c r="BB207" s="216"/>
      <c r="BC207" s="217" t="str">
        <f t="shared" si="39"/>
        <v/>
      </c>
      <c r="BD207" s="218"/>
      <c r="BE207" s="219"/>
      <c r="BF207" s="220"/>
      <c r="BG207" s="219"/>
      <c r="BH207" s="219"/>
      <c r="BI207" s="220"/>
      <c r="BJ207" s="218"/>
      <c r="BK207" s="219"/>
      <c r="BL207" s="197"/>
      <c r="BM207" s="215"/>
      <c r="BN207" s="221"/>
      <c r="BO207" s="222" t="str">
        <f t="shared" si="40"/>
        <v/>
      </c>
      <c r="BP207" s="217" t="str">
        <f t="shared" si="41"/>
        <v/>
      </c>
      <c r="BQ207" s="215"/>
      <c r="BR207" s="224"/>
      <c r="BS207" s="225"/>
      <c r="BT207" s="223"/>
      <c r="BU207" s="215"/>
      <c r="BV207" s="226"/>
      <c r="BW207" s="222" t="str">
        <f t="shared" si="42"/>
        <v/>
      </c>
      <c r="BX207" s="223" t="str">
        <f t="shared" si="43"/>
        <v/>
      </c>
      <c r="BY207" s="215"/>
      <c r="BZ207" s="227"/>
      <c r="CA207" s="227"/>
      <c r="CB207" s="228"/>
      <c r="CC207" s="229"/>
      <c r="CD207" s="230" t="str">
        <f t="shared" si="44"/>
        <v/>
      </c>
      <c r="CE207" s="231" t="str">
        <f t="shared" si="45"/>
        <v/>
      </c>
      <c r="CF207" s="232" t="str">
        <f t="shared" si="46"/>
        <v/>
      </c>
      <c r="CG207" s="233" t="str">
        <f t="shared" si="47"/>
        <v/>
      </c>
      <c r="CH207" s="207" t="str">
        <f>IF(OR(G207="",CC207= ""), "", IF(ISERROR(SMALL((CJ207,CN207,CV207), 1)-CC207), "",  SMALL((CJ207,CN207,CV207), 1)-CC207))</f>
        <v/>
      </c>
      <c r="CI207" s="234"/>
      <c r="CJ207" s="235"/>
      <c r="CK207" s="236"/>
      <c r="CL207" s="222" t="str">
        <f t="shared" si="48"/>
        <v/>
      </c>
      <c r="CM207" s="237" t="str">
        <f>IF(OR(G207="", CJ207="",CK207=""), "", IF(ISERROR(SMALL((CN207,CV207), 1)-CK207), "",  SMALL((CN207,CV207), 1)-CK207))</f>
        <v/>
      </c>
      <c r="CN207" s="235"/>
      <c r="CO207" s="236"/>
      <c r="CP207" s="224" t="str">
        <f t="shared" si="49"/>
        <v/>
      </c>
      <c r="CQ207" s="235"/>
      <c r="CR207" s="236"/>
      <c r="CS207" s="222" t="str">
        <f t="shared" si="50"/>
        <v/>
      </c>
      <c r="CT207" s="237" t="str">
        <f t="shared" si="51"/>
        <v/>
      </c>
      <c r="CU207" s="238"/>
      <c r="CV207" s="239"/>
      <c r="CW207" s="240"/>
    </row>
    <row r="208" spans="2:101" ht="16.5" customHeight="1">
      <c r="B208" s="122"/>
      <c r="E208" s="122"/>
      <c r="F208" s="194"/>
      <c r="G208" s="195"/>
      <c r="H208" s="195"/>
      <c r="I208" s="195"/>
      <c r="J208" s="196"/>
      <c r="K208" s="197"/>
      <c r="L208" s="198"/>
      <c r="M208" s="199"/>
      <c r="N208" s="200"/>
      <c r="O208" s="201"/>
      <c r="P208" s="201"/>
      <c r="Q208" s="201"/>
      <c r="R208" s="201"/>
      <c r="S208" s="201"/>
      <c r="T208" s="201"/>
      <c r="U208" s="201"/>
      <c r="V208" s="201"/>
      <c r="W208" s="201"/>
      <c r="X208" s="202"/>
      <c r="Y208" s="203"/>
      <c r="Z208" s="204"/>
      <c r="AA208" s="205"/>
      <c r="AB208" s="206"/>
      <c r="AC208" s="206"/>
      <c r="AD208" s="194"/>
      <c r="AE208" s="201"/>
      <c r="AF208" s="207"/>
      <c r="AG208" s="208"/>
      <c r="AH208" s="209"/>
      <c r="AI208" s="210"/>
      <c r="AJ208" s="197"/>
      <c r="AK208" s="201"/>
      <c r="AL208" s="196"/>
      <c r="AM208" s="201"/>
      <c r="AN208" s="201"/>
      <c r="AO208" s="201"/>
      <c r="AP208" s="211"/>
      <c r="AQ208" s="212"/>
      <c r="AR208" s="201"/>
      <c r="AS208" s="201"/>
      <c r="AT208" s="201"/>
      <c r="AU208" s="201"/>
      <c r="AV208" s="202"/>
      <c r="AW208" s="194"/>
      <c r="AX208" s="201"/>
      <c r="AY208" s="213"/>
      <c r="AZ208" s="214"/>
      <c r="BA208" s="215"/>
      <c r="BB208" s="216"/>
      <c r="BC208" s="217" t="str">
        <f t="shared" si="39"/>
        <v/>
      </c>
      <c r="BD208" s="218"/>
      <c r="BE208" s="219"/>
      <c r="BF208" s="220"/>
      <c r="BG208" s="219"/>
      <c r="BH208" s="219"/>
      <c r="BI208" s="220"/>
      <c r="BJ208" s="218"/>
      <c r="BK208" s="219"/>
      <c r="BL208" s="197"/>
      <c r="BM208" s="215"/>
      <c r="BN208" s="221"/>
      <c r="BO208" s="222" t="str">
        <f t="shared" si="40"/>
        <v/>
      </c>
      <c r="BP208" s="217" t="str">
        <f t="shared" si="41"/>
        <v/>
      </c>
      <c r="BQ208" s="215"/>
      <c r="BR208" s="224"/>
      <c r="BS208" s="225"/>
      <c r="BT208" s="223"/>
      <c r="BU208" s="215"/>
      <c r="BV208" s="226"/>
      <c r="BW208" s="222" t="str">
        <f t="shared" si="42"/>
        <v/>
      </c>
      <c r="BX208" s="223" t="str">
        <f t="shared" si="43"/>
        <v/>
      </c>
      <c r="BY208" s="215"/>
      <c r="BZ208" s="227"/>
      <c r="CA208" s="227"/>
      <c r="CB208" s="228"/>
      <c r="CC208" s="229"/>
      <c r="CD208" s="230" t="str">
        <f t="shared" si="44"/>
        <v/>
      </c>
      <c r="CE208" s="231" t="str">
        <f t="shared" si="45"/>
        <v/>
      </c>
      <c r="CF208" s="232" t="str">
        <f t="shared" si="46"/>
        <v/>
      </c>
      <c r="CG208" s="233" t="str">
        <f t="shared" si="47"/>
        <v/>
      </c>
      <c r="CH208" s="207" t="str">
        <f>IF(OR(G208="",CC208= ""), "", IF(ISERROR(SMALL((CJ208,CN208,CV208), 1)-CC208), "",  SMALL((CJ208,CN208,CV208), 1)-CC208))</f>
        <v/>
      </c>
      <c r="CI208" s="234"/>
      <c r="CJ208" s="235"/>
      <c r="CK208" s="236"/>
      <c r="CL208" s="222" t="str">
        <f t="shared" si="48"/>
        <v/>
      </c>
      <c r="CM208" s="237" t="str">
        <f>IF(OR(G208="", CJ208="",CK208=""), "", IF(ISERROR(SMALL((CN208,CV208), 1)-CK208), "",  SMALL((CN208,CV208), 1)-CK208))</f>
        <v/>
      </c>
      <c r="CN208" s="235"/>
      <c r="CO208" s="236"/>
      <c r="CP208" s="224" t="str">
        <f t="shared" si="49"/>
        <v/>
      </c>
      <c r="CQ208" s="235"/>
      <c r="CR208" s="236"/>
      <c r="CS208" s="222" t="str">
        <f t="shared" si="50"/>
        <v/>
      </c>
      <c r="CT208" s="237" t="str">
        <f t="shared" si="51"/>
        <v/>
      </c>
      <c r="CU208" s="238"/>
      <c r="CV208" s="239"/>
      <c r="CW208" s="240"/>
    </row>
    <row r="209" spans="2:101" ht="16.5" customHeight="1">
      <c r="B209" s="122"/>
      <c r="E209" s="122"/>
      <c r="F209" s="194"/>
      <c r="G209" s="195"/>
      <c r="H209" s="195"/>
      <c r="I209" s="195"/>
      <c r="J209" s="196"/>
      <c r="K209" s="197"/>
      <c r="L209" s="198"/>
      <c r="M209" s="199"/>
      <c r="N209" s="200"/>
      <c r="O209" s="201"/>
      <c r="P209" s="201"/>
      <c r="Q209" s="201"/>
      <c r="R209" s="201"/>
      <c r="S209" s="201"/>
      <c r="T209" s="201"/>
      <c r="U209" s="201"/>
      <c r="V209" s="201"/>
      <c r="W209" s="201"/>
      <c r="X209" s="202"/>
      <c r="Y209" s="203"/>
      <c r="Z209" s="204"/>
      <c r="AA209" s="205"/>
      <c r="AB209" s="206"/>
      <c r="AC209" s="206"/>
      <c r="AD209" s="194"/>
      <c r="AE209" s="201"/>
      <c r="AF209" s="207"/>
      <c r="AG209" s="208"/>
      <c r="AH209" s="209"/>
      <c r="AI209" s="210"/>
      <c r="AJ209" s="197"/>
      <c r="AK209" s="201"/>
      <c r="AL209" s="196"/>
      <c r="AM209" s="201"/>
      <c r="AN209" s="201"/>
      <c r="AO209" s="201"/>
      <c r="AP209" s="211"/>
      <c r="AQ209" s="212"/>
      <c r="AR209" s="201"/>
      <c r="AS209" s="201"/>
      <c r="AT209" s="201"/>
      <c r="AU209" s="201"/>
      <c r="AV209" s="202"/>
      <c r="AW209" s="194"/>
      <c r="AX209" s="201"/>
      <c r="AY209" s="213"/>
      <c r="AZ209" s="214"/>
      <c r="BA209" s="215"/>
      <c r="BB209" s="216"/>
      <c r="BC209" s="217" t="str">
        <f t="shared" si="39"/>
        <v/>
      </c>
      <c r="BD209" s="218"/>
      <c r="BE209" s="219"/>
      <c r="BF209" s="220"/>
      <c r="BG209" s="219"/>
      <c r="BH209" s="219"/>
      <c r="BI209" s="220"/>
      <c r="BJ209" s="218"/>
      <c r="BK209" s="219"/>
      <c r="BL209" s="197"/>
      <c r="BM209" s="215"/>
      <c r="BN209" s="221"/>
      <c r="BO209" s="222" t="str">
        <f t="shared" si="40"/>
        <v/>
      </c>
      <c r="BP209" s="217" t="str">
        <f t="shared" si="41"/>
        <v/>
      </c>
      <c r="BQ209" s="215"/>
      <c r="BR209" s="224"/>
      <c r="BS209" s="225"/>
      <c r="BT209" s="223"/>
      <c r="BU209" s="215"/>
      <c r="BV209" s="226"/>
      <c r="BW209" s="222" t="str">
        <f t="shared" si="42"/>
        <v/>
      </c>
      <c r="BX209" s="223" t="str">
        <f t="shared" si="43"/>
        <v/>
      </c>
      <c r="BY209" s="215"/>
      <c r="BZ209" s="227"/>
      <c r="CA209" s="227"/>
      <c r="CB209" s="228"/>
      <c r="CC209" s="229"/>
      <c r="CD209" s="230" t="str">
        <f t="shared" si="44"/>
        <v/>
      </c>
      <c r="CE209" s="231" t="str">
        <f t="shared" si="45"/>
        <v/>
      </c>
      <c r="CF209" s="232" t="str">
        <f t="shared" si="46"/>
        <v/>
      </c>
      <c r="CG209" s="233" t="str">
        <f t="shared" si="47"/>
        <v/>
      </c>
      <c r="CH209" s="207" t="str">
        <f>IF(OR(G209="",CC209= ""), "", IF(ISERROR(SMALL((CJ209,CN209,CV209), 1)-CC209), "",  SMALL((CJ209,CN209,CV209), 1)-CC209))</f>
        <v/>
      </c>
      <c r="CI209" s="234"/>
      <c r="CJ209" s="235"/>
      <c r="CK209" s="236"/>
      <c r="CL209" s="222" t="str">
        <f t="shared" si="48"/>
        <v/>
      </c>
      <c r="CM209" s="237" t="str">
        <f>IF(OR(G209="", CJ209="",CK209=""), "", IF(ISERROR(SMALL((CN209,CV209), 1)-CK209), "",  SMALL((CN209,CV209), 1)-CK209))</f>
        <v/>
      </c>
      <c r="CN209" s="235"/>
      <c r="CO209" s="236"/>
      <c r="CP209" s="224" t="str">
        <f t="shared" si="49"/>
        <v/>
      </c>
      <c r="CQ209" s="235"/>
      <c r="CR209" s="236"/>
      <c r="CS209" s="222" t="str">
        <f t="shared" si="50"/>
        <v/>
      </c>
      <c r="CT209" s="237" t="str">
        <f t="shared" si="51"/>
        <v/>
      </c>
      <c r="CU209" s="238"/>
      <c r="CV209" s="239"/>
      <c r="CW209" s="240"/>
    </row>
    <row r="210" spans="2:101" ht="16.5" customHeight="1">
      <c r="B210" s="122"/>
      <c r="E210" s="122"/>
      <c r="F210" s="194"/>
      <c r="G210" s="195"/>
      <c r="H210" s="195"/>
      <c r="I210" s="195"/>
      <c r="J210" s="196"/>
      <c r="K210" s="197"/>
      <c r="L210" s="198"/>
      <c r="M210" s="199"/>
      <c r="N210" s="200"/>
      <c r="O210" s="201"/>
      <c r="P210" s="201"/>
      <c r="Q210" s="201"/>
      <c r="R210" s="201"/>
      <c r="S210" s="201"/>
      <c r="T210" s="201"/>
      <c r="U210" s="201"/>
      <c r="V210" s="201"/>
      <c r="W210" s="201"/>
      <c r="X210" s="202"/>
      <c r="Y210" s="203"/>
      <c r="Z210" s="204"/>
      <c r="AA210" s="205"/>
      <c r="AB210" s="206"/>
      <c r="AC210" s="206"/>
      <c r="AD210" s="194"/>
      <c r="AE210" s="201"/>
      <c r="AF210" s="207"/>
      <c r="AG210" s="208"/>
      <c r="AH210" s="209"/>
      <c r="AI210" s="210"/>
      <c r="AJ210" s="197"/>
      <c r="AK210" s="201"/>
      <c r="AL210" s="196"/>
      <c r="AM210" s="201"/>
      <c r="AN210" s="201"/>
      <c r="AO210" s="201"/>
      <c r="AP210" s="211"/>
      <c r="AQ210" s="212"/>
      <c r="AR210" s="201"/>
      <c r="AS210" s="201"/>
      <c r="AT210" s="201"/>
      <c r="AU210" s="201"/>
      <c r="AV210" s="202"/>
      <c r="AW210" s="194"/>
      <c r="AX210" s="201"/>
      <c r="AY210" s="213"/>
      <c r="AZ210" s="214"/>
      <c r="BA210" s="215"/>
      <c r="BB210" s="216"/>
      <c r="BC210" s="217" t="str">
        <f t="shared" si="39"/>
        <v/>
      </c>
      <c r="BD210" s="218"/>
      <c r="BE210" s="219"/>
      <c r="BF210" s="220"/>
      <c r="BG210" s="219"/>
      <c r="BH210" s="219"/>
      <c r="BI210" s="220"/>
      <c r="BJ210" s="218"/>
      <c r="BK210" s="219"/>
      <c r="BL210" s="197"/>
      <c r="BM210" s="215"/>
      <c r="BN210" s="221"/>
      <c r="BO210" s="222" t="str">
        <f t="shared" si="40"/>
        <v/>
      </c>
      <c r="BP210" s="217" t="str">
        <f t="shared" si="41"/>
        <v/>
      </c>
      <c r="BQ210" s="215"/>
      <c r="BR210" s="224"/>
      <c r="BS210" s="225"/>
      <c r="BT210" s="223"/>
      <c r="BU210" s="215"/>
      <c r="BV210" s="226"/>
      <c r="BW210" s="222" t="str">
        <f t="shared" si="42"/>
        <v/>
      </c>
      <c r="BX210" s="223" t="str">
        <f t="shared" si="43"/>
        <v/>
      </c>
      <c r="BY210" s="215"/>
      <c r="BZ210" s="227"/>
      <c r="CA210" s="227"/>
      <c r="CB210" s="228"/>
      <c r="CC210" s="229"/>
      <c r="CD210" s="230" t="str">
        <f t="shared" si="44"/>
        <v/>
      </c>
      <c r="CE210" s="231" t="str">
        <f t="shared" si="45"/>
        <v/>
      </c>
      <c r="CF210" s="232" t="str">
        <f t="shared" si="46"/>
        <v/>
      </c>
      <c r="CG210" s="233" t="str">
        <f t="shared" si="47"/>
        <v/>
      </c>
      <c r="CH210" s="207" t="str">
        <f>IF(OR(G210="",CC210= ""), "", IF(ISERROR(SMALL((CJ210,CN210,CV210), 1)-CC210), "",  SMALL((CJ210,CN210,CV210), 1)-CC210))</f>
        <v/>
      </c>
      <c r="CI210" s="234"/>
      <c r="CJ210" s="235"/>
      <c r="CK210" s="236"/>
      <c r="CL210" s="222" t="str">
        <f t="shared" si="48"/>
        <v/>
      </c>
      <c r="CM210" s="237" t="str">
        <f>IF(OR(G210="", CJ210="",CK210=""), "", IF(ISERROR(SMALL((CN210,CV210), 1)-CK210), "",  SMALL((CN210,CV210), 1)-CK210))</f>
        <v/>
      </c>
      <c r="CN210" s="235"/>
      <c r="CO210" s="236"/>
      <c r="CP210" s="224" t="str">
        <f t="shared" si="49"/>
        <v/>
      </c>
      <c r="CQ210" s="235"/>
      <c r="CR210" s="236"/>
      <c r="CS210" s="222" t="str">
        <f t="shared" si="50"/>
        <v/>
      </c>
      <c r="CT210" s="237" t="str">
        <f t="shared" si="51"/>
        <v/>
      </c>
      <c r="CU210" s="238"/>
      <c r="CV210" s="239"/>
      <c r="CW210" s="240"/>
    </row>
    <row r="211" spans="2:101" ht="16.5" customHeight="1">
      <c r="B211" s="122"/>
      <c r="E211" s="122"/>
      <c r="F211" s="194"/>
      <c r="G211" s="195"/>
      <c r="H211" s="195"/>
      <c r="I211" s="195"/>
      <c r="J211" s="196"/>
      <c r="K211" s="197"/>
      <c r="L211" s="198"/>
      <c r="M211" s="199"/>
      <c r="N211" s="200"/>
      <c r="O211" s="201"/>
      <c r="P211" s="201"/>
      <c r="Q211" s="201"/>
      <c r="R211" s="201"/>
      <c r="S211" s="201"/>
      <c r="T211" s="201"/>
      <c r="U211" s="201"/>
      <c r="V211" s="201"/>
      <c r="W211" s="201"/>
      <c r="X211" s="202"/>
      <c r="Y211" s="203"/>
      <c r="Z211" s="204"/>
      <c r="AA211" s="205"/>
      <c r="AB211" s="206"/>
      <c r="AC211" s="206"/>
      <c r="AD211" s="194"/>
      <c r="AE211" s="201"/>
      <c r="AF211" s="207"/>
      <c r="AG211" s="208"/>
      <c r="AH211" s="209"/>
      <c r="AI211" s="210"/>
      <c r="AJ211" s="197"/>
      <c r="AK211" s="201"/>
      <c r="AL211" s="196"/>
      <c r="AM211" s="201"/>
      <c r="AN211" s="201"/>
      <c r="AO211" s="201"/>
      <c r="AP211" s="211"/>
      <c r="AQ211" s="212"/>
      <c r="AR211" s="201"/>
      <c r="AS211" s="201"/>
      <c r="AT211" s="201"/>
      <c r="AU211" s="201"/>
      <c r="AV211" s="202"/>
      <c r="AW211" s="194"/>
      <c r="AX211" s="201"/>
      <c r="AY211" s="213"/>
      <c r="AZ211" s="214"/>
      <c r="BA211" s="215"/>
      <c r="BB211" s="216"/>
      <c r="BC211" s="217" t="str">
        <f t="shared" si="39"/>
        <v/>
      </c>
      <c r="BD211" s="218"/>
      <c r="BE211" s="219"/>
      <c r="BF211" s="220"/>
      <c r="BG211" s="219"/>
      <c r="BH211" s="219"/>
      <c r="BI211" s="220"/>
      <c r="BJ211" s="218"/>
      <c r="BK211" s="219"/>
      <c r="BL211" s="197"/>
      <c r="BM211" s="215"/>
      <c r="BN211" s="221"/>
      <c r="BO211" s="222" t="str">
        <f t="shared" si="40"/>
        <v/>
      </c>
      <c r="BP211" s="217" t="str">
        <f t="shared" si="41"/>
        <v/>
      </c>
      <c r="BQ211" s="215"/>
      <c r="BR211" s="224"/>
      <c r="BS211" s="225"/>
      <c r="BT211" s="223"/>
      <c r="BU211" s="215"/>
      <c r="BV211" s="226"/>
      <c r="BW211" s="222" t="str">
        <f t="shared" si="42"/>
        <v/>
      </c>
      <c r="BX211" s="223" t="str">
        <f t="shared" si="43"/>
        <v/>
      </c>
      <c r="BY211" s="215"/>
      <c r="BZ211" s="227"/>
      <c r="CA211" s="227"/>
      <c r="CB211" s="228"/>
      <c r="CC211" s="229"/>
      <c r="CD211" s="230" t="str">
        <f t="shared" si="44"/>
        <v/>
      </c>
      <c r="CE211" s="231" t="str">
        <f t="shared" si="45"/>
        <v/>
      </c>
      <c r="CF211" s="232" t="str">
        <f t="shared" si="46"/>
        <v/>
      </c>
      <c r="CG211" s="233" t="str">
        <f t="shared" si="47"/>
        <v/>
      </c>
      <c r="CH211" s="207" t="str">
        <f>IF(OR(G211="",CC211= ""), "", IF(ISERROR(SMALL((CJ211,CN211,CV211), 1)-CC211), "",  SMALL((CJ211,CN211,CV211), 1)-CC211))</f>
        <v/>
      </c>
      <c r="CI211" s="234"/>
      <c r="CJ211" s="235"/>
      <c r="CK211" s="236"/>
      <c r="CL211" s="222" t="str">
        <f t="shared" si="48"/>
        <v/>
      </c>
      <c r="CM211" s="237" t="str">
        <f>IF(OR(G211="", CJ211="",CK211=""), "", IF(ISERROR(SMALL((CN211,CV211), 1)-CK211), "",  SMALL((CN211,CV211), 1)-CK211))</f>
        <v/>
      </c>
      <c r="CN211" s="235"/>
      <c r="CO211" s="236"/>
      <c r="CP211" s="224" t="str">
        <f t="shared" si="49"/>
        <v/>
      </c>
      <c r="CQ211" s="235"/>
      <c r="CR211" s="236"/>
      <c r="CS211" s="222" t="str">
        <f t="shared" si="50"/>
        <v/>
      </c>
      <c r="CT211" s="237" t="str">
        <f t="shared" si="51"/>
        <v/>
      </c>
      <c r="CU211" s="238"/>
      <c r="CV211" s="239"/>
      <c r="CW211" s="240"/>
    </row>
    <row r="212" spans="2:101" ht="16.5" customHeight="1">
      <c r="B212" s="122"/>
      <c r="E212" s="122"/>
      <c r="F212" s="194"/>
      <c r="G212" s="195"/>
      <c r="H212" s="195"/>
      <c r="I212" s="195"/>
      <c r="J212" s="196"/>
      <c r="K212" s="197"/>
      <c r="L212" s="198"/>
      <c r="M212" s="199"/>
      <c r="N212" s="200"/>
      <c r="O212" s="201"/>
      <c r="P212" s="201"/>
      <c r="Q212" s="201"/>
      <c r="R212" s="201"/>
      <c r="S212" s="201"/>
      <c r="T212" s="201"/>
      <c r="U212" s="201"/>
      <c r="V212" s="201"/>
      <c r="W212" s="201"/>
      <c r="X212" s="202"/>
      <c r="Y212" s="203"/>
      <c r="Z212" s="204"/>
      <c r="AA212" s="205"/>
      <c r="AB212" s="206"/>
      <c r="AC212" s="206"/>
      <c r="AD212" s="194"/>
      <c r="AE212" s="201"/>
      <c r="AF212" s="207"/>
      <c r="AG212" s="208"/>
      <c r="AH212" s="209"/>
      <c r="AI212" s="210"/>
      <c r="AJ212" s="197"/>
      <c r="AK212" s="201"/>
      <c r="AL212" s="196"/>
      <c r="AM212" s="201"/>
      <c r="AN212" s="201"/>
      <c r="AO212" s="201"/>
      <c r="AP212" s="211"/>
      <c r="AQ212" s="212"/>
      <c r="AR212" s="201"/>
      <c r="AS212" s="201"/>
      <c r="AT212" s="201"/>
      <c r="AU212" s="201"/>
      <c r="AV212" s="202"/>
      <c r="AW212" s="194"/>
      <c r="AX212" s="201"/>
      <c r="AY212" s="213"/>
      <c r="AZ212" s="214"/>
      <c r="BA212" s="215"/>
      <c r="BB212" s="216"/>
      <c r="BC212" s="217" t="str">
        <f t="shared" si="39"/>
        <v/>
      </c>
      <c r="BD212" s="218"/>
      <c r="BE212" s="219"/>
      <c r="BF212" s="220"/>
      <c r="BG212" s="219"/>
      <c r="BH212" s="219"/>
      <c r="BI212" s="220"/>
      <c r="BJ212" s="218"/>
      <c r="BK212" s="219"/>
      <c r="BL212" s="197"/>
      <c r="BM212" s="215"/>
      <c r="BN212" s="221"/>
      <c r="BO212" s="222" t="str">
        <f t="shared" si="40"/>
        <v/>
      </c>
      <c r="BP212" s="217" t="str">
        <f t="shared" si="41"/>
        <v/>
      </c>
      <c r="BQ212" s="215"/>
      <c r="BR212" s="224"/>
      <c r="BS212" s="225"/>
      <c r="BT212" s="223"/>
      <c r="BU212" s="215"/>
      <c r="BV212" s="226"/>
      <c r="BW212" s="222" t="str">
        <f t="shared" si="42"/>
        <v/>
      </c>
      <c r="BX212" s="223" t="str">
        <f t="shared" si="43"/>
        <v/>
      </c>
      <c r="BY212" s="215"/>
      <c r="BZ212" s="227"/>
      <c r="CA212" s="227"/>
      <c r="CB212" s="228"/>
      <c r="CC212" s="229"/>
      <c r="CD212" s="230" t="str">
        <f t="shared" si="44"/>
        <v/>
      </c>
      <c r="CE212" s="231" t="str">
        <f t="shared" si="45"/>
        <v/>
      </c>
      <c r="CF212" s="232" t="str">
        <f t="shared" si="46"/>
        <v/>
      </c>
      <c r="CG212" s="233" t="str">
        <f t="shared" si="47"/>
        <v/>
      </c>
      <c r="CH212" s="207" t="str">
        <f>IF(OR(G212="",CC212= ""), "", IF(ISERROR(SMALL((CJ212,CN212,CV212), 1)-CC212), "",  SMALL((CJ212,CN212,CV212), 1)-CC212))</f>
        <v/>
      </c>
      <c r="CI212" s="234"/>
      <c r="CJ212" s="235"/>
      <c r="CK212" s="236"/>
      <c r="CL212" s="222" t="str">
        <f t="shared" si="48"/>
        <v/>
      </c>
      <c r="CM212" s="237" t="str">
        <f>IF(OR(G212="", CJ212="",CK212=""), "", IF(ISERROR(SMALL((CN212,CV212), 1)-CK212), "",  SMALL((CN212,CV212), 1)-CK212))</f>
        <v/>
      </c>
      <c r="CN212" s="235"/>
      <c r="CO212" s="236"/>
      <c r="CP212" s="224" t="str">
        <f t="shared" si="49"/>
        <v/>
      </c>
      <c r="CQ212" s="235"/>
      <c r="CR212" s="236"/>
      <c r="CS212" s="222" t="str">
        <f t="shared" si="50"/>
        <v/>
      </c>
      <c r="CT212" s="237" t="str">
        <f t="shared" si="51"/>
        <v/>
      </c>
      <c r="CU212" s="238"/>
      <c r="CV212" s="239"/>
      <c r="CW212" s="240"/>
    </row>
    <row r="213" spans="2:101" ht="16.5" customHeight="1">
      <c r="B213" s="122"/>
      <c r="E213" s="122"/>
      <c r="F213" s="194"/>
      <c r="G213" s="195"/>
      <c r="H213" s="195"/>
      <c r="I213" s="195"/>
      <c r="J213" s="196"/>
      <c r="K213" s="197"/>
      <c r="L213" s="198"/>
      <c r="M213" s="199"/>
      <c r="N213" s="200"/>
      <c r="O213" s="201"/>
      <c r="P213" s="201"/>
      <c r="Q213" s="201"/>
      <c r="R213" s="201"/>
      <c r="S213" s="201"/>
      <c r="T213" s="201"/>
      <c r="U213" s="201"/>
      <c r="V213" s="201"/>
      <c r="W213" s="201"/>
      <c r="X213" s="202"/>
      <c r="Y213" s="203"/>
      <c r="Z213" s="204"/>
      <c r="AA213" s="205"/>
      <c r="AB213" s="206"/>
      <c r="AC213" s="206"/>
      <c r="AD213" s="194"/>
      <c r="AE213" s="201"/>
      <c r="AF213" s="207"/>
      <c r="AG213" s="208"/>
      <c r="AH213" s="209"/>
      <c r="AI213" s="210"/>
      <c r="AJ213" s="197"/>
      <c r="AK213" s="201"/>
      <c r="AL213" s="196"/>
      <c r="AM213" s="201"/>
      <c r="AN213" s="201"/>
      <c r="AO213" s="201"/>
      <c r="AP213" s="211"/>
      <c r="AQ213" s="212"/>
      <c r="AR213" s="201"/>
      <c r="AS213" s="201"/>
      <c r="AT213" s="201"/>
      <c r="AU213" s="201"/>
      <c r="AV213" s="202"/>
      <c r="AW213" s="194"/>
      <c r="AX213" s="201"/>
      <c r="AY213" s="213"/>
      <c r="AZ213" s="214"/>
      <c r="BA213" s="215"/>
      <c r="BB213" s="216"/>
      <c r="BC213" s="217" t="str">
        <f t="shared" si="39"/>
        <v/>
      </c>
      <c r="BD213" s="218"/>
      <c r="BE213" s="219"/>
      <c r="BF213" s="220"/>
      <c r="BG213" s="219"/>
      <c r="BH213" s="219"/>
      <c r="BI213" s="220"/>
      <c r="BJ213" s="218"/>
      <c r="BK213" s="219"/>
      <c r="BL213" s="197"/>
      <c r="BM213" s="215"/>
      <c r="BN213" s="221"/>
      <c r="BO213" s="222" t="str">
        <f t="shared" si="40"/>
        <v/>
      </c>
      <c r="BP213" s="217" t="str">
        <f t="shared" si="41"/>
        <v/>
      </c>
      <c r="BQ213" s="215"/>
      <c r="BR213" s="224"/>
      <c r="BS213" s="225"/>
      <c r="BT213" s="223"/>
      <c r="BU213" s="215"/>
      <c r="BV213" s="226"/>
      <c r="BW213" s="222" t="str">
        <f t="shared" si="42"/>
        <v/>
      </c>
      <c r="BX213" s="223" t="str">
        <f t="shared" si="43"/>
        <v/>
      </c>
      <c r="BY213" s="215"/>
      <c r="BZ213" s="227"/>
      <c r="CA213" s="227"/>
      <c r="CB213" s="228"/>
      <c r="CC213" s="229"/>
      <c r="CD213" s="230" t="str">
        <f t="shared" si="44"/>
        <v/>
      </c>
      <c r="CE213" s="231" t="str">
        <f t="shared" si="45"/>
        <v/>
      </c>
      <c r="CF213" s="232" t="str">
        <f t="shared" si="46"/>
        <v/>
      </c>
      <c r="CG213" s="233" t="str">
        <f t="shared" si="47"/>
        <v/>
      </c>
      <c r="CH213" s="207" t="str">
        <f>IF(OR(G213="",CC213= ""), "", IF(ISERROR(SMALL((CJ213,CN213,CV213), 1)-CC213), "",  SMALL((CJ213,CN213,CV213), 1)-CC213))</f>
        <v/>
      </c>
      <c r="CI213" s="234"/>
      <c r="CJ213" s="235"/>
      <c r="CK213" s="236"/>
      <c r="CL213" s="222" t="str">
        <f t="shared" si="48"/>
        <v/>
      </c>
      <c r="CM213" s="237" t="str">
        <f>IF(OR(G213="", CJ213="",CK213=""), "", IF(ISERROR(SMALL((CN213,CV213), 1)-CK213), "",  SMALL((CN213,CV213), 1)-CK213))</f>
        <v/>
      </c>
      <c r="CN213" s="235"/>
      <c r="CO213" s="236"/>
      <c r="CP213" s="224" t="str">
        <f t="shared" si="49"/>
        <v/>
      </c>
      <c r="CQ213" s="235"/>
      <c r="CR213" s="236"/>
      <c r="CS213" s="222" t="str">
        <f t="shared" si="50"/>
        <v/>
      </c>
      <c r="CT213" s="237" t="str">
        <f t="shared" si="51"/>
        <v/>
      </c>
      <c r="CU213" s="238"/>
      <c r="CV213" s="239"/>
      <c r="CW213" s="240"/>
    </row>
    <row r="214" spans="2:101" ht="16.5" customHeight="1">
      <c r="B214" s="122"/>
      <c r="E214" s="122"/>
      <c r="F214" s="194"/>
      <c r="G214" s="195"/>
      <c r="H214" s="195"/>
      <c r="I214" s="195"/>
      <c r="J214" s="196"/>
      <c r="K214" s="197"/>
      <c r="L214" s="198"/>
      <c r="M214" s="199"/>
      <c r="N214" s="200"/>
      <c r="O214" s="201"/>
      <c r="P214" s="201"/>
      <c r="Q214" s="201"/>
      <c r="R214" s="201"/>
      <c r="S214" s="201"/>
      <c r="T214" s="201"/>
      <c r="U214" s="201"/>
      <c r="V214" s="201"/>
      <c r="W214" s="201"/>
      <c r="X214" s="202"/>
      <c r="Y214" s="203"/>
      <c r="Z214" s="204"/>
      <c r="AA214" s="205"/>
      <c r="AB214" s="206"/>
      <c r="AC214" s="206"/>
      <c r="AD214" s="194"/>
      <c r="AE214" s="201"/>
      <c r="AF214" s="207"/>
      <c r="AG214" s="208"/>
      <c r="AH214" s="209"/>
      <c r="AI214" s="210"/>
      <c r="AJ214" s="197"/>
      <c r="AK214" s="201"/>
      <c r="AL214" s="196"/>
      <c r="AM214" s="201"/>
      <c r="AN214" s="201"/>
      <c r="AO214" s="201"/>
      <c r="AP214" s="211"/>
      <c r="AQ214" s="212"/>
      <c r="AR214" s="201"/>
      <c r="AS214" s="201"/>
      <c r="AT214" s="201"/>
      <c r="AU214" s="201"/>
      <c r="AV214" s="202"/>
      <c r="AW214" s="194"/>
      <c r="AX214" s="201"/>
      <c r="AY214" s="213"/>
      <c r="AZ214" s="214"/>
      <c r="BA214" s="215"/>
      <c r="BB214" s="216"/>
      <c r="BC214" s="217" t="str">
        <f t="shared" si="39"/>
        <v/>
      </c>
      <c r="BD214" s="218"/>
      <c r="BE214" s="219"/>
      <c r="BF214" s="220"/>
      <c r="BG214" s="219"/>
      <c r="BH214" s="219"/>
      <c r="BI214" s="220"/>
      <c r="BJ214" s="218"/>
      <c r="BK214" s="219"/>
      <c r="BL214" s="197"/>
      <c r="BM214" s="215"/>
      <c r="BN214" s="221"/>
      <c r="BO214" s="222" t="str">
        <f t="shared" si="40"/>
        <v/>
      </c>
      <c r="BP214" s="217" t="str">
        <f t="shared" si="41"/>
        <v/>
      </c>
      <c r="BQ214" s="215"/>
      <c r="BR214" s="224"/>
      <c r="BS214" s="225"/>
      <c r="BT214" s="223"/>
      <c r="BU214" s="215"/>
      <c r="BV214" s="226"/>
      <c r="BW214" s="222" t="str">
        <f t="shared" si="42"/>
        <v/>
      </c>
      <c r="BX214" s="223" t="str">
        <f t="shared" si="43"/>
        <v/>
      </c>
      <c r="BY214" s="215"/>
      <c r="BZ214" s="227"/>
      <c r="CA214" s="227"/>
      <c r="CB214" s="228"/>
      <c r="CC214" s="229"/>
      <c r="CD214" s="230" t="str">
        <f t="shared" si="44"/>
        <v/>
      </c>
      <c r="CE214" s="231" t="str">
        <f t="shared" si="45"/>
        <v/>
      </c>
      <c r="CF214" s="232" t="str">
        <f t="shared" si="46"/>
        <v/>
      </c>
      <c r="CG214" s="233" t="str">
        <f t="shared" si="47"/>
        <v/>
      </c>
      <c r="CH214" s="207" t="str">
        <f>IF(OR(G214="",CC214= ""), "", IF(ISERROR(SMALL((CJ214,CN214,CV214), 1)-CC214), "",  SMALL((CJ214,CN214,CV214), 1)-CC214))</f>
        <v/>
      </c>
      <c r="CI214" s="234"/>
      <c r="CJ214" s="235"/>
      <c r="CK214" s="236"/>
      <c r="CL214" s="222" t="str">
        <f t="shared" si="48"/>
        <v/>
      </c>
      <c r="CM214" s="237" t="str">
        <f>IF(OR(G214="", CJ214="",CK214=""), "", IF(ISERROR(SMALL((CN214,CV214), 1)-CK214), "",  SMALL((CN214,CV214), 1)-CK214))</f>
        <v/>
      </c>
      <c r="CN214" s="235"/>
      <c r="CO214" s="236"/>
      <c r="CP214" s="224" t="str">
        <f t="shared" si="49"/>
        <v/>
      </c>
      <c r="CQ214" s="235"/>
      <c r="CR214" s="236"/>
      <c r="CS214" s="222" t="str">
        <f t="shared" si="50"/>
        <v/>
      </c>
      <c r="CT214" s="237" t="str">
        <f t="shared" si="51"/>
        <v/>
      </c>
      <c r="CU214" s="238"/>
      <c r="CV214" s="239"/>
      <c r="CW214" s="240"/>
    </row>
    <row r="215" spans="2:101" ht="16.5" customHeight="1">
      <c r="B215" s="122"/>
      <c r="E215" s="122"/>
      <c r="F215" s="194"/>
      <c r="G215" s="195"/>
      <c r="H215" s="195"/>
      <c r="I215" s="195"/>
      <c r="J215" s="196"/>
      <c r="K215" s="197"/>
      <c r="L215" s="198"/>
      <c r="M215" s="199"/>
      <c r="N215" s="200"/>
      <c r="O215" s="201"/>
      <c r="P215" s="201"/>
      <c r="Q215" s="201"/>
      <c r="R215" s="201"/>
      <c r="S215" s="201"/>
      <c r="T215" s="201"/>
      <c r="U215" s="201"/>
      <c r="V215" s="201"/>
      <c r="W215" s="201"/>
      <c r="X215" s="202"/>
      <c r="Y215" s="203"/>
      <c r="Z215" s="204"/>
      <c r="AA215" s="205"/>
      <c r="AB215" s="206"/>
      <c r="AC215" s="206"/>
      <c r="AD215" s="194"/>
      <c r="AE215" s="201"/>
      <c r="AF215" s="207"/>
      <c r="AG215" s="208"/>
      <c r="AH215" s="209"/>
      <c r="AI215" s="210"/>
      <c r="AJ215" s="197"/>
      <c r="AK215" s="201"/>
      <c r="AL215" s="196"/>
      <c r="AM215" s="201"/>
      <c r="AN215" s="201"/>
      <c r="AO215" s="201"/>
      <c r="AP215" s="211"/>
      <c r="AQ215" s="212"/>
      <c r="AR215" s="201"/>
      <c r="AS215" s="201"/>
      <c r="AT215" s="201"/>
      <c r="AU215" s="201"/>
      <c r="AV215" s="202"/>
      <c r="AW215" s="194"/>
      <c r="AX215" s="201"/>
      <c r="AY215" s="213"/>
      <c r="AZ215" s="214"/>
      <c r="BA215" s="215"/>
      <c r="BB215" s="216"/>
      <c r="BC215" s="217" t="str">
        <f t="shared" si="39"/>
        <v/>
      </c>
      <c r="BD215" s="218"/>
      <c r="BE215" s="219"/>
      <c r="BF215" s="220"/>
      <c r="BG215" s="219"/>
      <c r="BH215" s="219"/>
      <c r="BI215" s="220"/>
      <c r="BJ215" s="218"/>
      <c r="BK215" s="219"/>
      <c r="BL215" s="197"/>
      <c r="BM215" s="215"/>
      <c r="BN215" s="221"/>
      <c r="BO215" s="222" t="str">
        <f t="shared" si="40"/>
        <v/>
      </c>
      <c r="BP215" s="217" t="str">
        <f t="shared" si="41"/>
        <v/>
      </c>
      <c r="BQ215" s="215"/>
      <c r="BR215" s="224"/>
      <c r="BS215" s="225"/>
      <c r="BT215" s="223"/>
      <c r="BU215" s="215"/>
      <c r="BV215" s="226"/>
      <c r="BW215" s="222" t="str">
        <f t="shared" si="42"/>
        <v/>
      </c>
      <c r="BX215" s="223" t="str">
        <f t="shared" si="43"/>
        <v/>
      </c>
      <c r="BY215" s="215"/>
      <c r="BZ215" s="227"/>
      <c r="CA215" s="227"/>
      <c r="CB215" s="228"/>
      <c r="CC215" s="229"/>
      <c r="CD215" s="230" t="str">
        <f t="shared" si="44"/>
        <v/>
      </c>
      <c r="CE215" s="231" t="str">
        <f t="shared" si="45"/>
        <v/>
      </c>
      <c r="CF215" s="232" t="str">
        <f t="shared" si="46"/>
        <v/>
      </c>
      <c r="CG215" s="233" t="str">
        <f t="shared" si="47"/>
        <v/>
      </c>
      <c r="CH215" s="207" t="str">
        <f>IF(OR(G215="",CC215= ""), "", IF(ISERROR(SMALL((CJ215,CN215,CV215), 1)-CC215), "",  SMALL((CJ215,CN215,CV215), 1)-CC215))</f>
        <v/>
      </c>
      <c r="CI215" s="234"/>
      <c r="CJ215" s="235"/>
      <c r="CK215" s="236"/>
      <c r="CL215" s="222" t="str">
        <f t="shared" si="48"/>
        <v/>
      </c>
      <c r="CM215" s="237" t="str">
        <f>IF(OR(G215="", CJ215="",CK215=""), "", IF(ISERROR(SMALL((CN215,CV215), 1)-CK215), "",  SMALL((CN215,CV215), 1)-CK215))</f>
        <v/>
      </c>
      <c r="CN215" s="235"/>
      <c r="CO215" s="236"/>
      <c r="CP215" s="224" t="str">
        <f t="shared" si="49"/>
        <v/>
      </c>
      <c r="CQ215" s="235"/>
      <c r="CR215" s="236"/>
      <c r="CS215" s="222" t="str">
        <f t="shared" si="50"/>
        <v/>
      </c>
      <c r="CT215" s="237" t="str">
        <f t="shared" si="51"/>
        <v/>
      </c>
      <c r="CU215" s="238"/>
      <c r="CV215" s="239"/>
      <c r="CW215" s="240"/>
    </row>
    <row r="216" spans="2:101" ht="16.5" customHeight="1">
      <c r="B216" s="122"/>
      <c r="E216" s="122"/>
      <c r="F216" s="194"/>
      <c r="G216" s="195"/>
      <c r="H216" s="195"/>
      <c r="I216" s="195"/>
      <c r="J216" s="196"/>
      <c r="K216" s="197"/>
      <c r="L216" s="198"/>
      <c r="M216" s="199"/>
      <c r="N216" s="200"/>
      <c r="O216" s="201"/>
      <c r="P216" s="201"/>
      <c r="Q216" s="201"/>
      <c r="R216" s="201"/>
      <c r="S216" s="201"/>
      <c r="T216" s="201"/>
      <c r="U216" s="201"/>
      <c r="V216" s="201"/>
      <c r="W216" s="201"/>
      <c r="X216" s="202"/>
      <c r="Y216" s="203"/>
      <c r="Z216" s="204"/>
      <c r="AA216" s="205"/>
      <c r="AB216" s="206"/>
      <c r="AC216" s="206"/>
      <c r="AD216" s="194"/>
      <c r="AE216" s="201"/>
      <c r="AF216" s="207"/>
      <c r="AG216" s="208"/>
      <c r="AH216" s="209"/>
      <c r="AI216" s="210"/>
      <c r="AJ216" s="197"/>
      <c r="AK216" s="201"/>
      <c r="AL216" s="196"/>
      <c r="AM216" s="201"/>
      <c r="AN216" s="201"/>
      <c r="AO216" s="201"/>
      <c r="AP216" s="211"/>
      <c r="AQ216" s="212"/>
      <c r="AR216" s="201"/>
      <c r="AS216" s="201"/>
      <c r="AT216" s="201"/>
      <c r="AU216" s="201"/>
      <c r="AV216" s="202"/>
      <c r="AW216" s="194"/>
      <c r="AX216" s="201"/>
      <c r="AY216" s="213"/>
      <c r="AZ216" s="214"/>
      <c r="BA216" s="215"/>
      <c r="BB216" s="216"/>
      <c r="BC216" s="217" t="str">
        <f t="shared" si="39"/>
        <v/>
      </c>
      <c r="BD216" s="218"/>
      <c r="BE216" s="219"/>
      <c r="BF216" s="220"/>
      <c r="BG216" s="219"/>
      <c r="BH216" s="219"/>
      <c r="BI216" s="220"/>
      <c r="BJ216" s="218"/>
      <c r="BK216" s="219"/>
      <c r="BL216" s="197"/>
      <c r="BM216" s="215"/>
      <c r="BN216" s="221"/>
      <c r="BO216" s="222" t="str">
        <f t="shared" si="40"/>
        <v/>
      </c>
      <c r="BP216" s="217" t="str">
        <f t="shared" si="41"/>
        <v/>
      </c>
      <c r="BQ216" s="215"/>
      <c r="BR216" s="224"/>
      <c r="BS216" s="225"/>
      <c r="BT216" s="223"/>
      <c r="BU216" s="215"/>
      <c r="BV216" s="226"/>
      <c r="BW216" s="222" t="str">
        <f t="shared" si="42"/>
        <v/>
      </c>
      <c r="BX216" s="223" t="str">
        <f t="shared" si="43"/>
        <v/>
      </c>
      <c r="BY216" s="215"/>
      <c r="BZ216" s="227"/>
      <c r="CA216" s="227"/>
      <c r="CB216" s="228"/>
      <c r="CC216" s="229"/>
      <c r="CD216" s="230" t="str">
        <f t="shared" si="44"/>
        <v/>
      </c>
      <c r="CE216" s="231" t="str">
        <f t="shared" si="45"/>
        <v/>
      </c>
      <c r="CF216" s="232" t="str">
        <f t="shared" si="46"/>
        <v/>
      </c>
      <c r="CG216" s="233" t="str">
        <f t="shared" si="47"/>
        <v/>
      </c>
      <c r="CH216" s="207" t="str">
        <f>IF(OR(G216="",CC216= ""), "", IF(ISERROR(SMALL((CJ216,CN216,CV216), 1)-CC216), "",  SMALL((CJ216,CN216,CV216), 1)-CC216))</f>
        <v/>
      </c>
      <c r="CI216" s="234"/>
      <c r="CJ216" s="235"/>
      <c r="CK216" s="236"/>
      <c r="CL216" s="222" t="str">
        <f t="shared" si="48"/>
        <v/>
      </c>
      <c r="CM216" s="237" t="str">
        <f>IF(OR(G216="", CJ216="",CK216=""), "", IF(ISERROR(SMALL((CN216,CV216), 1)-CK216), "",  SMALL((CN216,CV216), 1)-CK216))</f>
        <v/>
      </c>
      <c r="CN216" s="235"/>
      <c r="CO216" s="236"/>
      <c r="CP216" s="224" t="str">
        <f t="shared" si="49"/>
        <v/>
      </c>
      <c r="CQ216" s="235"/>
      <c r="CR216" s="236"/>
      <c r="CS216" s="222" t="str">
        <f t="shared" si="50"/>
        <v/>
      </c>
      <c r="CT216" s="237" t="str">
        <f t="shared" si="51"/>
        <v/>
      </c>
      <c r="CU216" s="238"/>
      <c r="CV216" s="239"/>
      <c r="CW216" s="240"/>
    </row>
    <row r="217" spans="2:101" ht="16.5" customHeight="1">
      <c r="B217" s="122"/>
      <c r="E217" s="122"/>
      <c r="F217" s="194"/>
      <c r="G217" s="195"/>
      <c r="H217" s="195"/>
      <c r="I217" s="195"/>
      <c r="J217" s="196"/>
      <c r="K217" s="197"/>
      <c r="L217" s="198"/>
      <c r="M217" s="199"/>
      <c r="N217" s="200"/>
      <c r="O217" s="201"/>
      <c r="P217" s="201"/>
      <c r="Q217" s="201"/>
      <c r="R217" s="201"/>
      <c r="S217" s="201"/>
      <c r="T217" s="201"/>
      <c r="U217" s="201"/>
      <c r="V217" s="201"/>
      <c r="W217" s="201"/>
      <c r="X217" s="202"/>
      <c r="Y217" s="203"/>
      <c r="Z217" s="204"/>
      <c r="AA217" s="205"/>
      <c r="AB217" s="206"/>
      <c r="AC217" s="206"/>
      <c r="AD217" s="194"/>
      <c r="AE217" s="201"/>
      <c r="AF217" s="207"/>
      <c r="AG217" s="208"/>
      <c r="AH217" s="209"/>
      <c r="AI217" s="210"/>
      <c r="AJ217" s="197"/>
      <c r="AK217" s="201"/>
      <c r="AL217" s="196"/>
      <c r="AM217" s="201"/>
      <c r="AN217" s="201"/>
      <c r="AO217" s="201"/>
      <c r="AP217" s="211"/>
      <c r="AQ217" s="212"/>
      <c r="AR217" s="201"/>
      <c r="AS217" s="201"/>
      <c r="AT217" s="201"/>
      <c r="AU217" s="201"/>
      <c r="AV217" s="202"/>
      <c r="AW217" s="194"/>
      <c r="AX217" s="201"/>
      <c r="AY217" s="213"/>
      <c r="AZ217" s="214"/>
      <c r="BA217" s="215"/>
      <c r="BB217" s="216"/>
      <c r="BC217" s="217" t="str">
        <f t="shared" si="39"/>
        <v/>
      </c>
      <c r="BD217" s="218"/>
      <c r="BE217" s="219"/>
      <c r="BF217" s="220"/>
      <c r="BG217" s="219"/>
      <c r="BH217" s="219"/>
      <c r="BI217" s="220"/>
      <c r="BJ217" s="218"/>
      <c r="BK217" s="219"/>
      <c r="BL217" s="197"/>
      <c r="BM217" s="215"/>
      <c r="BN217" s="221"/>
      <c r="BO217" s="222" t="str">
        <f t="shared" si="40"/>
        <v/>
      </c>
      <c r="BP217" s="217" t="str">
        <f t="shared" si="41"/>
        <v/>
      </c>
      <c r="BQ217" s="215"/>
      <c r="BR217" s="224"/>
      <c r="BS217" s="225"/>
      <c r="BT217" s="223"/>
      <c r="BU217" s="215"/>
      <c r="BV217" s="226"/>
      <c r="BW217" s="222" t="str">
        <f t="shared" si="42"/>
        <v/>
      </c>
      <c r="BX217" s="223" t="str">
        <f t="shared" si="43"/>
        <v/>
      </c>
      <c r="BY217" s="215"/>
      <c r="BZ217" s="227"/>
      <c r="CA217" s="227"/>
      <c r="CB217" s="228"/>
      <c r="CC217" s="229"/>
      <c r="CD217" s="230" t="str">
        <f t="shared" si="44"/>
        <v/>
      </c>
      <c r="CE217" s="231" t="str">
        <f t="shared" si="45"/>
        <v/>
      </c>
      <c r="CF217" s="232" t="str">
        <f t="shared" si="46"/>
        <v/>
      </c>
      <c r="CG217" s="233" t="str">
        <f t="shared" si="47"/>
        <v/>
      </c>
      <c r="CH217" s="207" t="str">
        <f>IF(OR(G217="",CC217= ""), "", IF(ISERROR(SMALL((CJ217,CN217,CV217), 1)-CC217), "",  SMALL((CJ217,CN217,CV217), 1)-CC217))</f>
        <v/>
      </c>
      <c r="CI217" s="234"/>
      <c r="CJ217" s="235"/>
      <c r="CK217" s="236"/>
      <c r="CL217" s="222" t="str">
        <f t="shared" si="48"/>
        <v/>
      </c>
      <c r="CM217" s="237" t="str">
        <f>IF(OR(G217="", CJ217="",CK217=""), "", IF(ISERROR(SMALL((CN217,CV217), 1)-CK217), "",  SMALL((CN217,CV217), 1)-CK217))</f>
        <v/>
      </c>
      <c r="CN217" s="235"/>
      <c r="CO217" s="236"/>
      <c r="CP217" s="224" t="str">
        <f t="shared" si="49"/>
        <v/>
      </c>
      <c r="CQ217" s="235"/>
      <c r="CR217" s="236"/>
      <c r="CS217" s="222" t="str">
        <f t="shared" si="50"/>
        <v/>
      </c>
      <c r="CT217" s="237" t="str">
        <f t="shared" si="51"/>
        <v/>
      </c>
      <c r="CU217" s="238"/>
      <c r="CV217" s="239"/>
      <c r="CW217" s="240"/>
    </row>
    <row r="218" spans="2:101" ht="16.5" customHeight="1">
      <c r="B218" s="122"/>
      <c r="E218" s="122"/>
      <c r="F218" s="194"/>
      <c r="G218" s="195"/>
      <c r="H218" s="195"/>
      <c r="I218" s="195"/>
      <c r="J218" s="196"/>
      <c r="K218" s="197"/>
      <c r="L218" s="198"/>
      <c r="M218" s="199"/>
      <c r="N218" s="200"/>
      <c r="O218" s="201"/>
      <c r="P218" s="201"/>
      <c r="Q218" s="201"/>
      <c r="R218" s="201"/>
      <c r="S218" s="201"/>
      <c r="T218" s="201"/>
      <c r="U218" s="201"/>
      <c r="V218" s="201"/>
      <c r="W218" s="201"/>
      <c r="X218" s="202"/>
      <c r="Y218" s="203"/>
      <c r="Z218" s="204"/>
      <c r="AA218" s="205"/>
      <c r="AB218" s="206"/>
      <c r="AC218" s="206"/>
      <c r="AD218" s="194"/>
      <c r="AE218" s="201"/>
      <c r="AF218" s="207"/>
      <c r="AG218" s="208"/>
      <c r="AH218" s="209"/>
      <c r="AI218" s="210"/>
      <c r="AJ218" s="197"/>
      <c r="AK218" s="201"/>
      <c r="AL218" s="196"/>
      <c r="AM218" s="201"/>
      <c r="AN218" s="201"/>
      <c r="AO218" s="201"/>
      <c r="AP218" s="211"/>
      <c r="AQ218" s="212"/>
      <c r="AR218" s="201"/>
      <c r="AS218" s="201"/>
      <c r="AT218" s="201"/>
      <c r="AU218" s="201"/>
      <c r="AV218" s="202"/>
      <c r="AW218" s="194"/>
      <c r="AX218" s="201"/>
      <c r="AY218" s="213"/>
      <c r="AZ218" s="214"/>
      <c r="BA218" s="215"/>
      <c r="BB218" s="216"/>
      <c r="BC218" s="217" t="str">
        <f t="shared" si="39"/>
        <v/>
      </c>
      <c r="BD218" s="218"/>
      <c r="BE218" s="219"/>
      <c r="BF218" s="220"/>
      <c r="BG218" s="219"/>
      <c r="BH218" s="219"/>
      <c r="BI218" s="220"/>
      <c r="BJ218" s="218"/>
      <c r="BK218" s="219"/>
      <c r="BL218" s="197"/>
      <c r="BM218" s="215"/>
      <c r="BN218" s="221"/>
      <c r="BO218" s="222" t="str">
        <f t="shared" si="40"/>
        <v/>
      </c>
      <c r="BP218" s="217" t="str">
        <f t="shared" si="41"/>
        <v/>
      </c>
      <c r="BQ218" s="215"/>
      <c r="BR218" s="224"/>
      <c r="BS218" s="225"/>
      <c r="BT218" s="223"/>
      <c r="BU218" s="215"/>
      <c r="BV218" s="226"/>
      <c r="BW218" s="222" t="str">
        <f t="shared" si="42"/>
        <v/>
      </c>
      <c r="BX218" s="223" t="str">
        <f t="shared" si="43"/>
        <v/>
      </c>
      <c r="BY218" s="215"/>
      <c r="BZ218" s="227"/>
      <c r="CA218" s="227"/>
      <c r="CB218" s="228"/>
      <c r="CC218" s="229"/>
      <c r="CD218" s="230" t="str">
        <f t="shared" si="44"/>
        <v/>
      </c>
      <c r="CE218" s="231" t="str">
        <f t="shared" si="45"/>
        <v/>
      </c>
      <c r="CF218" s="232" t="str">
        <f t="shared" si="46"/>
        <v/>
      </c>
      <c r="CG218" s="233" t="str">
        <f t="shared" si="47"/>
        <v/>
      </c>
      <c r="CH218" s="207" t="str">
        <f>IF(OR(G218="",CC218= ""), "", IF(ISERROR(SMALL((CJ218,CN218,CV218), 1)-CC218), "",  SMALL((CJ218,CN218,CV218), 1)-CC218))</f>
        <v/>
      </c>
      <c r="CI218" s="234"/>
      <c r="CJ218" s="235"/>
      <c r="CK218" s="236"/>
      <c r="CL218" s="222" t="str">
        <f t="shared" si="48"/>
        <v/>
      </c>
      <c r="CM218" s="237" t="str">
        <f>IF(OR(G218="", CJ218="",CK218=""), "", IF(ISERROR(SMALL((CN218,CV218), 1)-CK218), "",  SMALL((CN218,CV218), 1)-CK218))</f>
        <v/>
      </c>
      <c r="CN218" s="235"/>
      <c r="CO218" s="236"/>
      <c r="CP218" s="224" t="str">
        <f t="shared" si="49"/>
        <v/>
      </c>
      <c r="CQ218" s="235"/>
      <c r="CR218" s="236"/>
      <c r="CS218" s="222" t="str">
        <f t="shared" si="50"/>
        <v/>
      </c>
      <c r="CT218" s="237" t="str">
        <f t="shared" si="51"/>
        <v/>
      </c>
      <c r="CU218" s="238"/>
      <c r="CV218" s="239"/>
      <c r="CW218" s="240"/>
    </row>
    <row r="219" spans="2:101" ht="16.5" customHeight="1">
      <c r="B219" s="122"/>
      <c r="E219" s="122"/>
      <c r="F219" s="194"/>
      <c r="G219" s="195"/>
      <c r="H219" s="195"/>
      <c r="I219" s="195"/>
      <c r="J219" s="196"/>
      <c r="K219" s="197"/>
      <c r="L219" s="198"/>
      <c r="M219" s="199"/>
      <c r="N219" s="200"/>
      <c r="O219" s="201"/>
      <c r="P219" s="201"/>
      <c r="Q219" s="201"/>
      <c r="R219" s="201"/>
      <c r="S219" s="201"/>
      <c r="T219" s="201"/>
      <c r="U219" s="201"/>
      <c r="V219" s="201"/>
      <c r="W219" s="201"/>
      <c r="X219" s="202"/>
      <c r="Y219" s="203"/>
      <c r="Z219" s="204"/>
      <c r="AA219" s="205"/>
      <c r="AB219" s="206"/>
      <c r="AC219" s="206"/>
      <c r="AD219" s="194"/>
      <c r="AE219" s="201"/>
      <c r="AF219" s="207"/>
      <c r="AG219" s="208"/>
      <c r="AH219" s="209"/>
      <c r="AI219" s="210"/>
      <c r="AJ219" s="197"/>
      <c r="AK219" s="201"/>
      <c r="AL219" s="196"/>
      <c r="AM219" s="201"/>
      <c r="AN219" s="201"/>
      <c r="AO219" s="201"/>
      <c r="AP219" s="211"/>
      <c r="AQ219" s="212"/>
      <c r="AR219" s="201"/>
      <c r="AS219" s="201"/>
      <c r="AT219" s="201"/>
      <c r="AU219" s="201"/>
      <c r="AV219" s="202"/>
      <c r="AW219" s="194"/>
      <c r="AX219" s="201"/>
      <c r="AY219" s="213"/>
      <c r="AZ219" s="214"/>
      <c r="BA219" s="215"/>
      <c r="BB219" s="216"/>
      <c r="BC219" s="217" t="str">
        <f t="shared" si="39"/>
        <v/>
      </c>
      <c r="BD219" s="218"/>
      <c r="BE219" s="219"/>
      <c r="BF219" s="220"/>
      <c r="BG219" s="219"/>
      <c r="BH219" s="219"/>
      <c r="BI219" s="220"/>
      <c r="BJ219" s="218"/>
      <c r="BK219" s="219"/>
      <c r="BL219" s="197"/>
      <c r="BM219" s="215"/>
      <c r="BN219" s="221"/>
      <c r="BO219" s="222" t="str">
        <f t="shared" si="40"/>
        <v/>
      </c>
      <c r="BP219" s="217" t="str">
        <f t="shared" si="41"/>
        <v/>
      </c>
      <c r="BQ219" s="215"/>
      <c r="BR219" s="224"/>
      <c r="BS219" s="225"/>
      <c r="BT219" s="223"/>
      <c r="BU219" s="215"/>
      <c r="BV219" s="226"/>
      <c r="BW219" s="222" t="str">
        <f t="shared" si="42"/>
        <v/>
      </c>
      <c r="BX219" s="223" t="str">
        <f t="shared" si="43"/>
        <v/>
      </c>
      <c r="BY219" s="215"/>
      <c r="BZ219" s="227"/>
      <c r="CA219" s="227"/>
      <c r="CB219" s="228"/>
      <c r="CC219" s="229"/>
      <c r="CD219" s="230" t="str">
        <f t="shared" si="44"/>
        <v/>
      </c>
      <c r="CE219" s="231" t="str">
        <f t="shared" si="45"/>
        <v/>
      </c>
      <c r="CF219" s="232" t="str">
        <f t="shared" si="46"/>
        <v/>
      </c>
      <c r="CG219" s="233" t="str">
        <f t="shared" si="47"/>
        <v/>
      </c>
      <c r="CH219" s="207" t="str">
        <f>IF(OR(G219="",CC219= ""), "", IF(ISERROR(SMALL((CJ219,CN219,CV219), 1)-CC219), "",  SMALL((CJ219,CN219,CV219), 1)-CC219))</f>
        <v/>
      </c>
      <c r="CI219" s="234"/>
      <c r="CJ219" s="235"/>
      <c r="CK219" s="236"/>
      <c r="CL219" s="222" t="str">
        <f t="shared" si="48"/>
        <v/>
      </c>
      <c r="CM219" s="237" t="str">
        <f>IF(OR(G219="", CJ219="",CK219=""), "", IF(ISERROR(SMALL((CN219,CV219), 1)-CK219), "",  SMALL((CN219,CV219), 1)-CK219))</f>
        <v/>
      </c>
      <c r="CN219" s="235"/>
      <c r="CO219" s="236"/>
      <c r="CP219" s="224" t="str">
        <f t="shared" si="49"/>
        <v/>
      </c>
      <c r="CQ219" s="235"/>
      <c r="CR219" s="236"/>
      <c r="CS219" s="222" t="str">
        <f t="shared" si="50"/>
        <v/>
      </c>
      <c r="CT219" s="237" t="str">
        <f t="shared" si="51"/>
        <v/>
      </c>
      <c r="CU219" s="238"/>
      <c r="CV219" s="239"/>
      <c r="CW219" s="240"/>
    </row>
    <row r="220" spans="2:101" ht="16.5" customHeight="1">
      <c r="B220" s="122"/>
      <c r="E220" s="122"/>
      <c r="F220" s="194"/>
      <c r="G220" s="195"/>
      <c r="H220" s="195"/>
      <c r="I220" s="195"/>
      <c r="J220" s="196"/>
      <c r="K220" s="197"/>
      <c r="L220" s="198"/>
      <c r="M220" s="199"/>
      <c r="N220" s="200"/>
      <c r="O220" s="201"/>
      <c r="P220" s="201"/>
      <c r="Q220" s="201"/>
      <c r="R220" s="201"/>
      <c r="S220" s="201"/>
      <c r="T220" s="201"/>
      <c r="U220" s="201"/>
      <c r="V220" s="201"/>
      <c r="W220" s="201"/>
      <c r="X220" s="202"/>
      <c r="Y220" s="203"/>
      <c r="Z220" s="204"/>
      <c r="AA220" s="205"/>
      <c r="AB220" s="206"/>
      <c r="AC220" s="206"/>
      <c r="AD220" s="194"/>
      <c r="AE220" s="201"/>
      <c r="AF220" s="207"/>
      <c r="AG220" s="208"/>
      <c r="AH220" s="209"/>
      <c r="AI220" s="210"/>
      <c r="AJ220" s="197"/>
      <c r="AK220" s="201"/>
      <c r="AL220" s="196"/>
      <c r="AM220" s="201"/>
      <c r="AN220" s="201"/>
      <c r="AO220" s="201"/>
      <c r="AP220" s="211"/>
      <c r="AQ220" s="212"/>
      <c r="AR220" s="201"/>
      <c r="AS220" s="201"/>
      <c r="AT220" s="201"/>
      <c r="AU220" s="201"/>
      <c r="AV220" s="202"/>
      <c r="AW220" s="194"/>
      <c r="AX220" s="201"/>
      <c r="AY220" s="213"/>
      <c r="AZ220" s="214"/>
      <c r="BA220" s="215"/>
      <c r="BB220" s="216"/>
      <c r="BC220" s="217" t="str">
        <f t="shared" si="39"/>
        <v/>
      </c>
      <c r="BD220" s="218"/>
      <c r="BE220" s="219"/>
      <c r="BF220" s="220"/>
      <c r="BG220" s="219"/>
      <c r="BH220" s="219"/>
      <c r="BI220" s="220"/>
      <c r="BJ220" s="218"/>
      <c r="BK220" s="219"/>
      <c r="BL220" s="197"/>
      <c r="BM220" s="215"/>
      <c r="BN220" s="221"/>
      <c r="BO220" s="222" t="str">
        <f t="shared" si="40"/>
        <v/>
      </c>
      <c r="BP220" s="217" t="str">
        <f t="shared" si="41"/>
        <v/>
      </c>
      <c r="BQ220" s="215"/>
      <c r="BR220" s="224"/>
      <c r="BS220" s="225"/>
      <c r="BT220" s="223"/>
      <c r="BU220" s="215"/>
      <c r="BV220" s="226"/>
      <c r="BW220" s="222" t="str">
        <f t="shared" si="42"/>
        <v/>
      </c>
      <c r="BX220" s="223" t="str">
        <f t="shared" si="43"/>
        <v/>
      </c>
      <c r="BY220" s="215"/>
      <c r="BZ220" s="227"/>
      <c r="CA220" s="227"/>
      <c r="CB220" s="228"/>
      <c r="CC220" s="229"/>
      <c r="CD220" s="230" t="str">
        <f t="shared" si="44"/>
        <v/>
      </c>
      <c r="CE220" s="231" t="str">
        <f t="shared" si="45"/>
        <v/>
      </c>
      <c r="CF220" s="232" t="str">
        <f t="shared" si="46"/>
        <v/>
      </c>
      <c r="CG220" s="233" t="str">
        <f t="shared" si="47"/>
        <v/>
      </c>
      <c r="CH220" s="207" t="str">
        <f>IF(OR(G220="",CC220= ""), "", IF(ISERROR(SMALL((CJ220,CN220,CV220), 1)-CC220), "",  SMALL((CJ220,CN220,CV220), 1)-CC220))</f>
        <v/>
      </c>
      <c r="CI220" s="234"/>
      <c r="CJ220" s="235"/>
      <c r="CK220" s="236"/>
      <c r="CL220" s="222" t="str">
        <f t="shared" si="48"/>
        <v/>
      </c>
      <c r="CM220" s="237" t="str">
        <f>IF(OR(G220="", CJ220="",CK220=""), "", IF(ISERROR(SMALL((CN220,CV220), 1)-CK220), "",  SMALL((CN220,CV220), 1)-CK220))</f>
        <v/>
      </c>
      <c r="CN220" s="235"/>
      <c r="CO220" s="236"/>
      <c r="CP220" s="224" t="str">
        <f t="shared" si="49"/>
        <v/>
      </c>
      <c r="CQ220" s="235"/>
      <c r="CR220" s="236"/>
      <c r="CS220" s="222" t="str">
        <f t="shared" si="50"/>
        <v/>
      </c>
      <c r="CT220" s="237" t="str">
        <f t="shared" si="51"/>
        <v/>
      </c>
      <c r="CU220" s="238"/>
      <c r="CV220" s="239"/>
      <c r="CW220" s="240"/>
    </row>
    <row r="221" spans="2:101" ht="16.5" customHeight="1">
      <c r="B221" s="122"/>
      <c r="E221" s="122"/>
      <c r="F221" s="194"/>
      <c r="G221" s="195"/>
      <c r="H221" s="195"/>
      <c r="I221" s="195"/>
      <c r="J221" s="196"/>
      <c r="K221" s="197"/>
      <c r="L221" s="198"/>
      <c r="M221" s="199"/>
      <c r="N221" s="200"/>
      <c r="O221" s="201"/>
      <c r="P221" s="201"/>
      <c r="Q221" s="201"/>
      <c r="R221" s="201"/>
      <c r="S221" s="201"/>
      <c r="T221" s="201"/>
      <c r="U221" s="201"/>
      <c r="V221" s="201"/>
      <c r="W221" s="201"/>
      <c r="X221" s="202"/>
      <c r="Y221" s="203"/>
      <c r="Z221" s="204"/>
      <c r="AA221" s="205"/>
      <c r="AB221" s="206"/>
      <c r="AC221" s="206"/>
      <c r="AD221" s="194"/>
      <c r="AE221" s="201"/>
      <c r="AF221" s="207"/>
      <c r="AG221" s="208"/>
      <c r="AH221" s="209"/>
      <c r="AI221" s="210"/>
      <c r="AJ221" s="197"/>
      <c r="AK221" s="201"/>
      <c r="AL221" s="196"/>
      <c r="AM221" s="201"/>
      <c r="AN221" s="201"/>
      <c r="AO221" s="201"/>
      <c r="AP221" s="211"/>
      <c r="AQ221" s="212"/>
      <c r="AR221" s="201"/>
      <c r="AS221" s="201"/>
      <c r="AT221" s="201"/>
      <c r="AU221" s="201"/>
      <c r="AV221" s="202"/>
      <c r="AW221" s="194"/>
      <c r="AX221" s="201"/>
      <c r="AY221" s="213"/>
      <c r="AZ221" s="214"/>
      <c r="BA221" s="215"/>
      <c r="BB221" s="216"/>
      <c r="BC221" s="217" t="str">
        <f t="shared" si="39"/>
        <v/>
      </c>
      <c r="BD221" s="218"/>
      <c r="BE221" s="219"/>
      <c r="BF221" s="220"/>
      <c r="BG221" s="219"/>
      <c r="BH221" s="219"/>
      <c r="BI221" s="220"/>
      <c r="BJ221" s="218"/>
      <c r="BK221" s="219"/>
      <c r="BL221" s="197"/>
      <c r="BM221" s="215"/>
      <c r="BN221" s="221"/>
      <c r="BO221" s="222" t="str">
        <f t="shared" si="40"/>
        <v/>
      </c>
      <c r="BP221" s="217" t="str">
        <f t="shared" si="41"/>
        <v/>
      </c>
      <c r="BQ221" s="215"/>
      <c r="BR221" s="224"/>
      <c r="BS221" s="225"/>
      <c r="BT221" s="223"/>
      <c r="BU221" s="215"/>
      <c r="BV221" s="226"/>
      <c r="BW221" s="222" t="str">
        <f t="shared" si="42"/>
        <v/>
      </c>
      <c r="BX221" s="223" t="str">
        <f t="shared" si="43"/>
        <v/>
      </c>
      <c r="BY221" s="215"/>
      <c r="BZ221" s="227"/>
      <c r="CA221" s="227"/>
      <c r="CB221" s="228"/>
      <c r="CC221" s="229"/>
      <c r="CD221" s="230" t="str">
        <f t="shared" si="44"/>
        <v/>
      </c>
      <c r="CE221" s="231" t="str">
        <f t="shared" si="45"/>
        <v/>
      </c>
      <c r="CF221" s="232" t="str">
        <f t="shared" si="46"/>
        <v/>
      </c>
      <c r="CG221" s="233" t="str">
        <f t="shared" si="47"/>
        <v/>
      </c>
      <c r="CH221" s="207" t="str">
        <f>IF(OR(G221="",CC221= ""), "", IF(ISERROR(SMALL((CJ221,CN221,CV221), 1)-CC221), "",  SMALL((CJ221,CN221,CV221), 1)-CC221))</f>
        <v/>
      </c>
      <c r="CI221" s="234"/>
      <c r="CJ221" s="235"/>
      <c r="CK221" s="236"/>
      <c r="CL221" s="222" t="str">
        <f t="shared" si="48"/>
        <v/>
      </c>
      <c r="CM221" s="237" t="str">
        <f>IF(OR(G221="", CJ221="",CK221=""), "", IF(ISERROR(SMALL((CN221,CV221), 1)-CK221), "",  SMALL((CN221,CV221), 1)-CK221))</f>
        <v/>
      </c>
      <c r="CN221" s="235"/>
      <c r="CO221" s="236"/>
      <c r="CP221" s="224" t="str">
        <f t="shared" si="49"/>
        <v/>
      </c>
      <c r="CQ221" s="235"/>
      <c r="CR221" s="236"/>
      <c r="CS221" s="222" t="str">
        <f t="shared" si="50"/>
        <v/>
      </c>
      <c r="CT221" s="237" t="str">
        <f t="shared" si="51"/>
        <v/>
      </c>
      <c r="CU221" s="238"/>
      <c r="CV221" s="239"/>
      <c r="CW221" s="240"/>
    </row>
    <row r="222" spans="2:101" ht="16.5" customHeight="1">
      <c r="B222" s="122"/>
      <c r="E222" s="122"/>
      <c r="F222" s="194"/>
      <c r="G222" s="195"/>
      <c r="H222" s="195"/>
      <c r="I222" s="195"/>
      <c r="J222" s="196"/>
      <c r="K222" s="197"/>
      <c r="L222" s="198"/>
      <c r="M222" s="199"/>
      <c r="N222" s="200"/>
      <c r="O222" s="201"/>
      <c r="P222" s="201"/>
      <c r="Q222" s="201"/>
      <c r="R222" s="201"/>
      <c r="S222" s="201"/>
      <c r="T222" s="201"/>
      <c r="U222" s="201"/>
      <c r="V222" s="201"/>
      <c r="W222" s="201"/>
      <c r="X222" s="202"/>
      <c r="Y222" s="203"/>
      <c r="Z222" s="204"/>
      <c r="AA222" s="205"/>
      <c r="AB222" s="206"/>
      <c r="AC222" s="206"/>
      <c r="AD222" s="194"/>
      <c r="AE222" s="201"/>
      <c r="AF222" s="207"/>
      <c r="AG222" s="208"/>
      <c r="AH222" s="209"/>
      <c r="AI222" s="210"/>
      <c r="AJ222" s="197"/>
      <c r="AK222" s="201"/>
      <c r="AL222" s="196"/>
      <c r="AM222" s="201"/>
      <c r="AN222" s="201"/>
      <c r="AO222" s="201"/>
      <c r="AP222" s="211"/>
      <c r="AQ222" s="212"/>
      <c r="AR222" s="201"/>
      <c r="AS222" s="201"/>
      <c r="AT222" s="201"/>
      <c r="AU222" s="201"/>
      <c r="AV222" s="202"/>
      <c r="AW222" s="194"/>
      <c r="AX222" s="201"/>
      <c r="AY222" s="213"/>
      <c r="AZ222" s="214"/>
      <c r="BA222" s="215"/>
      <c r="BB222" s="216"/>
      <c r="BC222" s="217" t="str">
        <f t="shared" si="39"/>
        <v/>
      </c>
      <c r="BD222" s="218"/>
      <c r="BE222" s="219"/>
      <c r="BF222" s="220"/>
      <c r="BG222" s="219"/>
      <c r="BH222" s="219"/>
      <c r="BI222" s="220"/>
      <c r="BJ222" s="218"/>
      <c r="BK222" s="219"/>
      <c r="BL222" s="197"/>
      <c r="BM222" s="215"/>
      <c r="BN222" s="221"/>
      <c r="BO222" s="222" t="str">
        <f t="shared" si="40"/>
        <v/>
      </c>
      <c r="BP222" s="217" t="str">
        <f t="shared" si="41"/>
        <v/>
      </c>
      <c r="BQ222" s="215"/>
      <c r="BR222" s="224"/>
      <c r="BS222" s="225"/>
      <c r="BT222" s="223"/>
      <c r="BU222" s="215"/>
      <c r="BV222" s="226"/>
      <c r="BW222" s="222" t="str">
        <f t="shared" si="42"/>
        <v/>
      </c>
      <c r="BX222" s="223" t="str">
        <f t="shared" si="43"/>
        <v/>
      </c>
      <c r="BY222" s="215"/>
      <c r="BZ222" s="227"/>
      <c r="CA222" s="227"/>
      <c r="CB222" s="228"/>
      <c r="CC222" s="229"/>
      <c r="CD222" s="230" t="str">
        <f t="shared" si="44"/>
        <v/>
      </c>
      <c r="CE222" s="231" t="str">
        <f t="shared" si="45"/>
        <v/>
      </c>
      <c r="CF222" s="232" t="str">
        <f t="shared" si="46"/>
        <v/>
      </c>
      <c r="CG222" s="233" t="str">
        <f t="shared" si="47"/>
        <v/>
      </c>
      <c r="CH222" s="207" t="str">
        <f>IF(OR(G222="",CC222= ""), "", IF(ISERROR(SMALL((CJ222,CN222,CV222), 1)-CC222), "",  SMALL((CJ222,CN222,CV222), 1)-CC222))</f>
        <v/>
      </c>
      <c r="CI222" s="234"/>
      <c r="CJ222" s="235"/>
      <c r="CK222" s="236"/>
      <c r="CL222" s="222" t="str">
        <f t="shared" si="48"/>
        <v/>
      </c>
      <c r="CM222" s="237" t="str">
        <f>IF(OR(G222="", CJ222="",CK222=""), "", IF(ISERROR(SMALL((CN222,CV222), 1)-CK222), "",  SMALL((CN222,CV222), 1)-CK222))</f>
        <v/>
      </c>
      <c r="CN222" s="235"/>
      <c r="CO222" s="236"/>
      <c r="CP222" s="224" t="str">
        <f t="shared" si="49"/>
        <v/>
      </c>
      <c r="CQ222" s="235"/>
      <c r="CR222" s="236"/>
      <c r="CS222" s="222" t="str">
        <f t="shared" si="50"/>
        <v/>
      </c>
      <c r="CT222" s="237" t="str">
        <f t="shared" si="51"/>
        <v/>
      </c>
      <c r="CU222" s="238"/>
      <c r="CV222" s="239"/>
      <c r="CW222" s="240"/>
    </row>
    <row r="223" spans="2:101" ht="16.5" customHeight="1">
      <c r="B223" s="122"/>
      <c r="E223" s="122"/>
      <c r="F223" s="194"/>
      <c r="G223" s="195"/>
      <c r="H223" s="195"/>
      <c r="I223" s="195"/>
      <c r="J223" s="196"/>
      <c r="K223" s="197"/>
      <c r="L223" s="198"/>
      <c r="M223" s="199"/>
      <c r="N223" s="200"/>
      <c r="O223" s="201"/>
      <c r="P223" s="201"/>
      <c r="Q223" s="201"/>
      <c r="R223" s="201"/>
      <c r="S223" s="201"/>
      <c r="T223" s="201"/>
      <c r="U223" s="201"/>
      <c r="V223" s="201"/>
      <c r="W223" s="201"/>
      <c r="X223" s="202"/>
      <c r="Y223" s="203"/>
      <c r="Z223" s="204"/>
      <c r="AA223" s="205"/>
      <c r="AB223" s="206"/>
      <c r="AC223" s="206"/>
      <c r="AD223" s="194"/>
      <c r="AE223" s="201"/>
      <c r="AF223" s="207"/>
      <c r="AG223" s="208"/>
      <c r="AH223" s="209"/>
      <c r="AI223" s="210"/>
      <c r="AJ223" s="197"/>
      <c r="AK223" s="201"/>
      <c r="AL223" s="196"/>
      <c r="AM223" s="201"/>
      <c r="AN223" s="201"/>
      <c r="AO223" s="201"/>
      <c r="AP223" s="211"/>
      <c r="AQ223" s="212"/>
      <c r="AR223" s="201"/>
      <c r="AS223" s="201"/>
      <c r="AT223" s="201"/>
      <c r="AU223" s="201"/>
      <c r="AV223" s="202"/>
      <c r="AW223" s="194"/>
      <c r="AX223" s="201"/>
      <c r="AY223" s="213"/>
      <c r="AZ223" s="214"/>
      <c r="BA223" s="215"/>
      <c r="BB223" s="216"/>
      <c r="BC223" s="217" t="str">
        <f t="shared" si="39"/>
        <v/>
      </c>
      <c r="BD223" s="218"/>
      <c r="BE223" s="219"/>
      <c r="BF223" s="220"/>
      <c r="BG223" s="219"/>
      <c r="BH223" s="219"/>
      <c r="BI223" s="220"/>
      <c r="BJ223" s="218"/>
      <c r="BK223" s="219"/>
      <c r="BL223" s="197"/>
      <c r="BM223" s="215"/>
      <c r="BN223" s="221"/>
      <c r="BO223" s="222" t="str">
        <f t="shared" si="40"/>
        <v/>
      </c>
      <c r="BP223" s="217" t="str">
        <f t="shared" si="41"/>
        <v/>
      </c>
      <c r="BQ223" s="215"/>
      <c r="BR223" s="224"/>
      <c r="BS223" s="225"/>
      <c r="BT223" s="223"/>
      <c r="BU223" s="215"/>
      <c r="BV223" s="226"/>
      <c r="BW223" s="222" t="str">
        <f t="shared" si="42"/>
        <v/>
      </c>
      <c r="BX223" s="223" t="str">
        <f t="shared" si="43"/>
        <v/>
      </c>
      <c r="BY223" s="215"/>
      <c r="BZ223" s="227"/>
      <c r="CA223" s="227"/>
      <c r="CB223" s="228"/>
      <c r="CC223" s="229"/>
      <c r="CD223" s="230" t="str">
        <f t="shared" si="44"/>
        <v/>
      </c>
      <c r="CE223" s="231" t="str">
        <f t="shared" si="45"/>
        <v/>
      </c>
      <c r="CF223" s="232" t="str">
        <f t="shared" si="46"/>
        <v/>
      </c>
      <c r="CG223" s="233" t="str">
        <f t="shared" si="47"/>
        <v/>
      </c>
      <c r="CH223" s="207" t="str">
        <f>IF(OR(G223="",CC223= ""), "", IF(ISERROR(SMALL((CJ223,CN223,CV223), 1)-CC223), "",  SMALL((CJ223,CN223,CV223), 1)-CC223))</f>
        <v/>
      </c>
      <c r="CI223" s="234"/>
      <c r="CJ223" s="235"/>
      <c r="CK223" s="236"/>
      <c r="CL223" s="222" t="str">
        <f t="shared" si="48"/>
        <v/>
      </c>
      <c r="CM223" s="237" t="str">
        <f>IF(OR(G223="", CJ223="",CK223=""), "", IF(ISERROR(SMALL((CN223,CV223), 1)-CK223), "",  SMALL((CN223,CV223), 1)-CK223))</f>
        <v/>
      </c>
      <c r="CN223" s="235"/>
      <c r="CO223" s="236"/>
      <c r="CP223" s="224" t="str">
        <f t="shared" si="49"/>
        <v/>
      </c>
      <c r="CQ223" s="235"/>
      <c r="CR223" s="236"/>
      <c r="CS223" s="222" t="str">
        <f t="shared" si="50"/>
        <v/>
      </c>
      <c r="CT223" s="237" t="str">
        <f t="shared" si="51"/>
        <v/>
      </c>
      <c r="CU223" s="238"/>
      <c r="CV223" s="239"/>
      <c r="CW223" s="240"/>
    </row>
    <row r="224" spans="2:101" ht="16.5" customHeight="1">
      <c r="B224" s="122"/>
      <c r="E224" s="122"/>
      <c r="F224" s="194"/>
      <c r="G224" s="195"/>
      <c r="H224" s="195"/>
      <c r="I224" s="195"/>
      <c r="J224" s="196"/>
      <c r="K224" s="197"/>
      <c r="L224" s="198"/>
      <c r="M224" s="199"/>
      <c r="N224" s="200"/>
      <c r="O224" s="201"/>
      <c r="P224" s="201"/>
      <c r="Q224" s="201"/>
      <c r="R224" s="201"/>
      <c r="S224" s="201"/>
      <c r="T224" s="201"/>
      <c r="U224" s="201"/>
      <c r="V224" s="201"/>
      <c r="W224" s="201"/>
      <c r="X224" s="202"/>
      <c r="Y224" s="203"/>
      <c r="Z224" s="204"/>
      <c r="AA224" s="205"/>
      <c r="AB224" s="206"/>
      <c r="AC224" s="206"/>
      <c r="AD224" s="194"/>
      <c r="AE224" s="201"/>
      <c r="AF224" s="207"/>
      <c r="AG224" s="208"/>
      <c r="AH224" s="209"/>
      <c r="AI224" s="210"/>
      <c r="AJ224" s="197"/>
      <c r="AK224" s="201"/>
      <c r="AL224" s="196"/>
      <c r="AM224" s="201"/>
      <c r="AN224" s="201"/>
      <c r="AO224" s="201"/>
      <c r="AP224" s="211"/>
      <c r="AQ224" s="212"/>
      <c r="AR224" s="201"/>
      <c r="AS224" s="201"/>
      <c r="AT224" s="201"/>
      <c r="AU224" s="201"/>
      <c r="AV224" s="202"/>
      <c r="AW224" s="194"/>
      <c r="AX224" s="201"/>
      <c r="AY224" s="213"/>
      <c r="AZ224" s="214"/>
      <c r="BA224" s="215"/>
      <c r="BB224" s="216"/>
      <c r="BC224" s="217" t="str">
        <f t="shared" si="39"/>
        <v/>
      </c>
      <c r="BD224" s="218"/>
      <c r="BE224" s="219"/>
      <c r="BF224" s="220"/>
      <c r="BG224" s="219"/>
      <c r="BH224" s="219"/>
      <c r="BI224" s="220"/>
      <c r="BJ224" s="218"/>
      <c r="BK224" s="219"/>
      <c r="BL224" s="197"/>
      <c r="BM224" s="215"/>
      <c r="BN224" s="221"/>
      <c r="BO224" s="222" t="str">
        <f t="shared" si="40"/>
        <v/>
      </c>
      <c r="BP224" s="217" t="str">
        <f t="shared" si="41"/>
        <v/>
      </c>
      <c r="BQ224" s="215"/>
      <c r="BR224" s="224"/>
      <c r="BS224" s="225"/>
      <c r="BT224" s="223"/>
      <c r="BU224" s="215"/>
      <c r="BV224" s="226"/>
      <c r="BW224" s="222" t="str">
        <f t="shared" si="42"/>
        <v/>
      </c>
      <c r="BX224" s="223" t="str">
        <f t="shared" si="43"/>
        <v/>
      </c>
      <c r="BY224" s="215"/>
      <c r="BZ224" s="227"/>
      <c r="CA224" s="227"/>
      <c r="CB224" s="228"/>
      <c r="CC224" s="229"/>
      <c r="CD224" s="230" t="str">
        <f t="shared" si="44"/>
        <v/>
      </c>
      <c r="CE224" s="231" t="str">
        <f t="shared" si="45"/>
        <v/>
      </c>
      <c r="CF224" s="232" t="str">
        <f t="shared" si="46"/>
        <v/>
      </c>
      <c r="CG224" s="233" t="str">
        <f t="shared" si="47"/>
        <v/>
      </c>
      <c r="CH224" s="207" t="str">
        <f>IF(OR(G224="",CC224= ""), "", IF(ISERROR(SMALL((CJ224,CN224,CV224), 1)-CC224), "",  SMALL((CJ224,CN224,CV224), 1)-CC224))</f>
        <v/>
      </c>
      <c r="CI224" s="234"/>
      <c r="CJ224" s="235"/>
      <c r="CK224" s="236"/>
      <c r="CL224" s="222" t="str">
        <f t="shared" si="48"/>
        <v/>
      </c>
      <c r="CM224" s="237" t="str">
        <f>IF(OR(G224="", CJ224="",CK224=""), "", IF(ISERROR(SMALL((CN224,CV224), 1)-CK224), "",  SMALL((CN224,CV224), 1)-CK224))</f>
        <v/>
      </c>
      <c r="CN224" s="235"/>
      <c r="CO224" s="236"/>
      <c r="CP224" s="224" t="str">
        <f t="shared" si="49"/>
        <v/>
      </c>
      <c r="CQ224" s="235"/>
      <c r="CR224" s="236"/>
      <c r="CS224" s="222" t="str">
        <f t="shared" si="50"/>
        <v/>
      </c>
      <c r="CT224" s="237" t="str">
        <f t="shared" si="51"/>
        <v/>
      </c>
      <c r="CU224" s="238"/>
      <c r="CV224" s="239"/>
      <c r="CW224" s="240"/>
    </row>
    <row r="225" spans="2:101" ht="16.5" customHeight="1">
      <c r="B225" s="122"/>
      <c r="E225" s="122"/>
      <c r="F225" s="194"/>
      <c r="G225" s="195"/>
      <c r="H225" s="195"/>
      <c r="I225" s="195"/>
      <c r="J225" s="196"/>
      <c r="K225" s="197"/>
      <c r="L225" s="198"/>
      <c r="M225" s="199"/>
      <c r="N225" s="200"/>
      <c r="O225" s="201"/>
      <c r="P225" s="201"/>
      <c r="Q225" s="201"/>
      <c r="R225" s="201"/>
      <c r="S225" s="201"/>
      <c r="T225" s="201"/>
      <c r="U225" s="201"/>
      <c r="V225" s="201"/>
      <c r="W225" s="201"/>
      <c r="X225" s="202"/>
      <c r="Y225" s="203"/>
      <c r="Z225" s="204"/>
      <c r="AA225" s="205"/>
      <c r="AB225" s="206"/>
      <c r="AC225" s="206"/>
      <c r="AD225" s="194"/>
      <c r="AE225" s="201"/>
      <c r="AF225" s="207"/>
      <c r="AG225" s="208"/>
      <c r="AH225" s="209"/>
      <c r="AI225" s="210"/>
      <c r="AJ225" s="197"/>
      <c r="AK225" s="201"/>
      <c r="AL225" s="196"/>
      <c r="AM225" s="201"/>
      <c r="AN225" s="201"/>
      <c r="AO225" s="201"/>
      <c r="AP225" s="211"/>
      <c r="AQ225" s="212"/>
      <c r="AR225" s="201"/>
      <c r="AS225" s="201"/>
      <c r="AT225" s="201"/>
      <c r="AU225" s="201"/>
      <c r="AV225" s="202"/>
      <c r="AW225" s="194"/>
      <c r="AX225" s="201"/>
      <c r="AY225" s="213"/>
      <c r="AZ225" s="214"/>
      <c r="BA225" s="215"/>
      <c r="BB225" s="216"/>
      <c r="BC225" s="217" t="str">
        <f t="shared" si="39"/>
        <v/>
      </c>
      <c r="BD225" s="218"/>
      <c r="BE225" s="219"/>
      <c r="BF225" s="220"/>
      <c r="BG225" s="219"/>
      <c r="BH225" s="219"/>
      <c r="BI225" s="220"/>
      <c r="BJ225" s="218"/>
      <c r="BK225" s="219"/>
      <c r="BL225" s="197"/>
      <c r="BM225" s="215"/>
      <c r="BN225" s="221"/>
      <c r="BO225" s="222" t="str">
        <f t="shared" si="40"/>
        <v/>
      </c>
      <c r="BP225" s="217" t="str">
        <f t="shared" si="41"/>
        <v/>
      </c>
      <c r="BQ225" s="215"/>
      <c r="BR225" s="224"/>
      <c r="BS225" s="225"/>
      <c r="BT225" s="223"/>
      <c r="BU225" s="215"/>
      <c r="BV225" s="226"/>
      <c r="BW225" s="222" t="str">
        <f t="shared" si="42"/>
        <v/>
      </c>
      <c r="BX225" s="223" t="str">
        <f t="shared" si="43"/>
        <v/>
      </c>
      <c r="BY225" s="215"/>
      <c r="BZ225" s="227"/>
      <c r="CA225" s="227"/>
      <c r="CB225" s="228"/>
      <c r="CC225" s="229"/>
      <c r="CD225" s="230" t="str">
        <f t="shared" si="44"/>
        <v/>
      </c>
      <c r="CE225" s="231" t="str">
        <f t="shared" si="45"/>
        <v/>
      </c>
      <c r="CF225" s="232" t="str">
        <f t="shared" si="46"/>
        <v/>
      </c>
      <c r="CG225" s="233" t="str">
        <f t="shared" si="47"/>
        <v/>
      </c>
      <c r="CH225" s="207" t="str">
        <f>IF(OR(G225="",CC225= ""), "", IF(ISERROR(SMALL((CJ225,CN225,CV225), 1)-CC225), "",  SMALL((CJ225,CN225,CV225), 1)-CC225))</f>
        <v/>
      </c>
      <c r="CI225" s="234"/>
      <c r="CJ225" s="235"/>
      <c r="CK225" s="236"/>
      <c r="CL225" s="222" t="str">
        <f t="shared" si="48"/>
        <v/>
      </c>
      <c r="CM225" s="237" t="str">
        <f>IF(OR(G225="", CJ225="",CK225=""), "", IF(ISERROR(SMALL((CN225,CV225), 1)-CK225), "",  SMALL((CN225,CV225), 1)-CK225))</f>
        <v/>
      </c>
      <c r="CN225" s="235"/>
      <c r="CO225" s="236"/>
      <c r="CP225" s="224" t="str">
        <f t="shared" si="49"/>
        <v/>
      </c>
      <c r="CQ225" s="235"/>
      <c r="CR225" s="236"/>
      <c r="CS225" s="222" t="str">
        <f t="shared" si="50"/>
        <v/>
      </c>
      <c r="CT225" s="237" t="str">
        <f t="shared" si="51"/>
        <v/>
      </c>
      <c r="CU225" s="238"/>
      <c r="CV225" s="239"/>
      <c r="CW225" s="240"/>
    </row>
    <row r="226" spans="2:101" ht="16.5" customHeight="1">
      <c r="B226" s="122"/>
      <c r="E226" s="122"/>
      <c r="F226" s="194"/>
      <c r="G226" s="195"/>
      <c r="H226" s="195"/>
      <c r="I226" s="195"/>
      <c r="J226" s="196"/>
      <c r="K226" s="197"/>
      <c r="L226" s="198"/>
      <c r="M226" s="199"/>
      <c r="N226" s="200"/>
      <c r="O226" s="201"/>
      <c r="P226" s="201"/>
      <c r="Q226" s="201"/>
      <c r="R226" s="201"/>
      <c r="S226" s="201"/>
      <c r="T226" s="201"/>
      <c r="U226" s="201"/>
      <c r="V226" s="201"/>
      <c r="W226" s="201"/>
      <c r="X226" s="202"/>
      <c r="Y226" s="203"/>
      <c r="Z226" s="204"/>
      <c r="AA226" s="205"/>
      <c r="AB226" s="206"/>
      <c r="AC226" s="206"/>
      <c r="AD226" s="194"/>
      <c r="AE226" s="201"/>
      <c r="AF226" s="207"/>
      <c r="AG226" s="208"/>
      <c r="AH226" s="209"/>
      <c r="AI226" s="210"/>
      <c r="AJ226" s="197"/>
      <c r="AK226" s="201"/>
      <c r="AL226" s="196"/>
      <c r="AM226" s="201"/>
      <c r="AN226" s="201"/>
      <c r="AO226" s="201"/>
      <c r="AP226" s="211"/>
      <c r="AQ226" s="212"/>
      <c r="AR226" s="201"/>
      <c r="AS226" s="201"/>
      <c r="AT226" s="201"/>
      <c r="AU226" s="201"/>
      <c r="AV226" s="202"/>
      <c r="AW226" s="194"/>
      <c r="AX226" s="201"/>
      <c r="AY226" s="213"/>
      <c r="AZ226" s="214"/>
      <c r="BA226" s="215"/>
      <c r="BB226" s="216"/>
      <c r="BC226" s="217" t="str">
        <f t="shared" si="39"/>
        <v/>
      </c>
      <c r="BD226" s="218"/>
      <c r="BE226" s="219"/>
      <c r="BF226" s="220"/>
      <c r="BG226" s="219"/>
      <c r="BH226" s="219"/>
      <c r="BI226" s="220"/>
      <c r="BJ226" s="218"/>
      <c r="BK226" s="219"/>
      <c r="BL226" s="197"/>
      <c r="BM226" s="215"/>
      <c r="BN226" s="221"/>
      <c r="BO226" s="222" t="str">
        <f t="shared" si="40"/>
        <v/>
      </c>
      <c r="BP226" s="217" t="str">
        <f t="shared" si="41"/>
        <v/>
      </c>
      <c r="BQ226" s="215"/>
      <c r="BR226" s="224"/>
      <c r="BS226" s="225"/>
      <c r="BT226" s="223"/>
      <c r="BU226" s="215"/>
      <c r="BV226" s="226"/>
      <c r="BW226" s="222" t="str">
        <f t="shared" si="42"/>
        <v/>
      </c>
      <c r="BX226" s="223" t="str">
        <f t="shared" si="43"/>
        <v/>
      </c>
      <c r="BY226" s="215"/>
      <c r="BZ226" s="227"/>
      <c r="CA226" s="227"/>
      <c r="CB226" s="228"/>
      <c r="CC226" s="229"/>
      <c r="CD226" s="230" t="str">
        <f t="shared" si="44"/>
        <v/>
      </c>
      <c r="CE226" s="231" t="str">
        <f t="shared" si="45"/>
        <v/>
      </c>
      <c r="CF226" s="232" t="str">
        <f t="shared" si="46"/>
        <v/>
      </c>
      <c r="CG226" s="233" t="str">
        <f t="shared" si="47"/>
        <v/>
      </c>
      <c r="CH226" s="207" t="str">
        <f>IF(OR(G226="",CC226= ""), "", IF(ISERROR(SMALL((CJ226,CN226,CV226), 1)-CC226), "",  SMALL((CJ226,CN226,CV226), 1)-CC226))</f>
        <v/>
      </c>
      <c r="CI226" s="234"/>
      <c r="CJ226" s="235"/>
      <c r="CK226" s="236"/>
      <c r="CL226" s="222" t="str">
        <f t="shared" si="48"/>
        <v/>
      </c>
      <c r="CM226" s="237" t="str">
        <f>IF(OR(G226="", CJ226="",CK226=""), "", IF(ISERROR(SMALL((CN226,CV226), 1)-CK226), "",  SMALL((CN226,CV226), 1)-CK226))</f>
        <v/>
      </c>
      <c r="CN226" s="235"/>
      <c r="CO226" s="236"/>
      <c r="CP226" s="224" t="str">
        <f t="shared" si="49"/>
        <v/>
      </c>
      <c r="CQ226" s="235"/>
      <c r="CR226" s="236"/>
      <c r="CS226" s="222" t="str">
        <f t="shared" si="50"/>
        <v/>
      </c>
      <c r="CT226" s="237" t="str">
        <f t="shared" si="51"/>
        <v/>
      </c>
      <c r="CU226" s="238"/>
      <c r="CV226" s="239"/>
      <c r="CW226" s="240"/>
    </row>
    <row r="227" spans="2:101" ht="16.5" customHeight="1">
      <c r="B227" s="122"/>
      <c r="E227" s="122"/>
      <c r="F227" s="194"/>
      <c r="G227" s="195"/>
      <c r="H227" s="195"/>
      <c r="I227" s="195"/>
      <c r="J227" s="196"/>
      <c r="K227" s="197"/>
      <c r="L227" s="198"/>
      <c r="M227" s="199"/>
      <c r="N227" s="200"/>
      <c r="O227" s="201"/>
      <c r="P227" s="201"/>
      <c r="Q227" s="201"/>
      <c r="R227" s="201"/>
      <c r="S227" s="201"/>
      <c r="T227" s="201"/>
      <c r="U227" s="201"/>
      <c r="V227" s="201"/>
      <c r="W227" s="201"/>
      <c r="X227" s="202"/>
      <c r="Y227" s="203"/>
      <c r="Z227" s="204"/>
      <c r="AA227" s="205"/>
      <c r="AB227" s="206"/>
      <c r="AC227" s="206"/>
      <c r="AD227" s="194"/>
      <c r="AE227" s="201"/>
      <c r="AF227" s="207"/>
      <c r="AG227" s="208"/>
      <c r="AH227" s="209"/>
      <c r="AI227" s="210"/>
      <c r="AJ227" s="197"/>
      <c r="AK227" s="201"/>
      <c r="AL227" s="196"/>
      <c r="AM227" s="201"/>
      <c r="AN227" s="201"/>
      <c r="AO227" s="201"/>
      <c r="AP227" s="211"/>
      <c r="AQ227" s="212"/>
      <c r="AR227" s="201"/>
      <c r="AS227" s="201"/>
      <c r="AT227" s="201"/>
      <c r="AU227" s="201"/>
      <c r="AV227" s="202"/>
      <c r="AW227" s="194"/>
      <c r="AX227" s="201"/>
      <c r="AY227" s="213"/>
      <c r="AZ227" s="214"/>
      <c r="BA227" s="215"/>
      <c r="BB227" s="216"/>
      <c r="BC227" s="217" t="str">
        <f t="shared" si="39"/>
        <v/>
      </c>
      <c r="BD227" s="218"/>
      <c r="BE227" s="219"/>
      <c r="BF227" s="220"/>
      <c r="BG227" s="219"/>
      <c r="BH227" s="219"/>
      <c r="BI227" s="220"/>
      <c r="BJ227" s="218"/>
      <c r="BK227" s="219"/>
      <c r="BL227" s="197"/>
      <c r="BM227" s="215"/>
      <c r="BN227" s="221"/>
      <c r="BO227" s="222" t="str">
        <f t="shared" si="40"/>
        <v/>
      </c>
      <c r="BP227" s="217" t="str">
        <f t="shared" si="41"/>
        <v/>
      </c>
      <c r="BQ227" s="215"/>
      <c r="BR227" s="224"/>
      <c r="BS227" s="225"/>
      <c r="BT227" s="223"/>
      <c r="BU227" s="215"/>
      <c r="BV227" s="226"/>
      <c r="BW227" s="222" t="str">
        <f t="shared" si="42"/>
        <v/>
      </c>
      <c r="BX227" s="223" t="str">
        <f t="shared" si="43"/>
        <v/>
      </c>
      <c r="BY227" s="215"/>
      <c r="BZ227" s="227"/>
      <c r="CA227" s="227"/>
      <c r="CB227" s="228"/>
      <c r="CC227" s="229"/>
      <c r="CD227" s="230" t="str">
        <f t="shared" si="44"/>
        <v/>
      </c>
      <c r="CE227" s="231" t="str">
        <f t="shared" si="45"/>
        <v/>
      </c>
      <c r="CF227" s="232" t="str">
        <f t="shared" si="46"/>
        <v/>
      </c>
      <c r="CG227" s="233" t="str">
        <f t="shared" si="47"/>
        <v/>
      </c>
      <c r="CH227" s="207" t="str">
        <f>IF(OR(G227="",CC227= ""), "", IF(ISERROR(SMALL((CJ227,CN227,CV227), 1)-CC227), "",  SMALL((CJ227,CN227,CV227), 1)-CC227))</f>
        <v/>
      </c>
      <c r="CI227" s="234"/>
      <c r="CJ227" s="235"/>
      <c r="CK227" s="236"/>
      <c r="CL227" s="222" t="str">
        <f t="shared" si="48"/>
        <v/>
      </c>
      <c r="CM227" s="237" t="str">
        <f>IF(OR(G227="", CJ227="",CK227=""), "", IF(ISERROR(SMALL((CN227,CV227), 1)-CK227), "",  SMALL((CN227,CV227), 1)-CK227))</f>
        <v/>
      </c>
      <c r="CN227" s="235"/>
      <c r="CO227" s="236"/>
      <c r="CP227" s="224" t="str">
        <f t="shared" si="49"/>
        <v/>
      </c>
      <c r="CQ227" s="235"/>
      <c r="CR227" s="236"/>
      <c r="CS227" s="222" t="str">
        <f t="shared" si="50"/>
        <v/>
      </c>
      <c r="CT227" s="237" t="str">
        <f t="shared" si="51"/>
        <v/>
      </c>
      <c r="CU227" s="238"/>
      <c r="CV227" s="239"/>
      <c r="CW227" s="240"/>
    </row>
    <row r="228" spans="2:101" ht="16.5" customHeight="1">
      <c r="B228" s="122"/>
      <c r="E228" s="122"/>
      <c r="F228" s="194"/>
      <c r="G228" s="195"/>
      <c r="H228" s="195"/>
      <c r="I228" s="195"/>
      <c r="J228" s="196"/>
      <c r="K228" s="197"/>
      <c r="L228" s="198"/>
      <c r="M228" s="199"/>
      <c r="N228" s="200"/>
      <c r="O228" s="201"/>
      <c r="P228" s="201"/>
      <c r="Q228" s="201"/>
      <c r="R228" s="201"/>
      <c r="S228" s="201"/>
      <c r="T228" s="201"/>
      <c r="U228" s="201"/>
      <c r="V228" s="201"/>
      <c r="W228" s="201"/>
      <c r="X228" s="202"/>
      <c r="Y228" s="203"/>
      <c r="Z228" s="204"/>
      <c r="AA228" s="205"/>
      <c r="AB228" s="206"/>
      <c r="AC228" s="206"/>
      <c r="AD228" s="194"/>
      <c r="AE228" s="201"/>
      <c r="AF228" s="207"/>
      <c r="AG228" s="208"/>
      <c r="AH228" s="209"/>
      <c r="AI228" s="210"/>
      <c r="AJ228" s="197"/>
      <c r="AK228" s="201"/>
      <c r="AL228" s="196"/>
      <c r="AM228" s="201"/>
      <c r="AN228" s="201"/>
      <c r="AO228" s="201"/>
      <c r="AP228" s="211"/>
      <c r="AQ228" s="212"/>
      <c r="AR228" s="201"/>
      <c r="AS228" s="201"/>
      <c r="AT228" s="201"/>
      <c r="AU228" s="201"/>
      <c r="AV228" s="202"/>
      <c r="AW228" s="194"/>
      <c r="AX228" s="201"/>
      <c r="AY228" s="213"/>
      <c r="AZ228" s="214"/>
      <c r="BA228" s="215"/>
      <c r="BB228" s="216"/>
      <c r="BC228" s="217" t="str">
        <f t="shared" si="39"/>
        <v/>
      </c>
      <c r="BD228" s="218"/>
      <c r="BE228" s="219"/>
      <c r="BF228" s="220"/>
      <c r="BG228" s="219"/>
      <c r="BH228" s="219"/>
      <c r="BI228" s="220"/>
      <c r="BJ228" s="218"/>
      <c r="BK228" s="219"/>
      <c r="BL228" s="197"/>
      <c r="BM228" s="215"/>
      <c r="BN228" s="221"/>
      <c r="BO228" s="222" t="str">
        <f t="shared" si="40"/>
        <v/>
      </c>
      <c r="BP228" s="217" t="str">
        <f t="shared" si="41"/>
        <v/>
      </c>
      <c r="BQ228" s="215"/>
      <c r="BR228" s="224"/>
      <c r="BS228" s="225"/>
      <c r="BT228" s="223"/>
      <c r="BU228" s="215"/>
      <c r="BV228" s="226"/>
      <c r="BW228" s="222" t="str">
        <f t="shared" si="42"/>
        <v/>
      </c>
      <c r="BX228" s="223" t="str">
        <f t="shared" si="43"/>
        <v/>
      </c>
      <c r="BY228" s="215"/>
      <c r="BZ228" s="227"/>
      <c r="CA228" s="227"/>
      <c r="CB228" s="228"/>
      <c r="CC228" s="229"/>
      <c r="CD228" s="230" t="str">
        <f t="shared" si="44"/>
        <v/>
      </c>
      <c r="CE228" s="231" t="str">
        <f t="shared" si="45"/>
        <v/>
      </c>
      <c r="CF228" s="232" t="str">
        <f t="shared" si="46"/>
        <v/>
      </c>
      <c r="CG228" s="233" t="str">
        <f t="shared" si="47"/>
        <v/>
      </c>
      <c r="CH228" s="207" t="str">
        <f>IF(OR(G228="",CC228= ""), "", IF(ISERROR(SMALL((CJ228,CN228,CV228), 1)-CC228), "",  SMALL((CJ228,CN228,CV228), 1)-CC228))</f>
        <v/>
      </c>
      <c r="CI228" s="234"/>
      <c r="CJ228" s="235"/>
      <c r="CK228" s="236"/>
      <c r="CL228" s="222" t="str">
        <f t="shared" si="48"/>
        <v/>
      </c>
      <c r="CM228" s="237" t="str">
        <f>IF(OR(G228="", CJ228="",CK228=""), "", IF(ISERROR(SMALL((CN228,CV228), 1)-CK228), "",  SMALL((CN228,CV228), 1)-CK228))</f>
        <v/>
      </c>
      <c r="CN228" s="235"/>
      <c r="CO228" s="236"/>
      <c r="CP228" s="224" t="str">
        <f t="shared" si="49"/>
        <v/>
      </c>
      <c r="CQ228" s="235"/>
      <c r="CR228" s="236"/>
      <c r="CS228" s="222" t="str">
        <f t="shared" si="50"/>
        <v/>
      </c>
      <c r="CT228" s="237" t="str">
        <f t="shared" si="51"/>
        <v/>
      </c>
      <c r="CU228" s="238"/>
      <c r="CV228" s="239"/>
      <c r="CW228" s="240"/>
    </row>
    <row r="229" spans="2:101" ht="16.5" customHeight="1">
      <c r="B229" s="122"/>
      <c r="E229" s="122"/>
      <c r="F229" s="194"/>
      <c r="G229" s="195"/>
      <c r="H229" s="195"/>
      <c r="I229" s="195"/>
      <c r="J229" s="196"/>
      <c r="K229" s="197"/>
      <c r="L229" s="198"/>
      <c r="M229" s="199"/>
      <c r="N229" s="200"/>
      <c r="O229" s="201"/>
      <c r="P229" s="201"/>
      <c r="Q229" s="201"/>
      <c r="R229" s="201"/>
      <c r="S229" s="201"/>
      <c r="T229" s="201"/>
      <c r="U229" s="201"/>
      <c r="V229" s="201"/>
      <c r="W229" s="201"/>
      <c r="X229" s="202"/>
      <c r="Y229" s="203"/>
      <c r="Z229" s="204"/>
      <c r="AA229" s="205"/>
      <c r="AB229" s="206"/>
      <c r="AC229" s="206"/>
      <c r="AD229" s="194"/>
      <c r="AE229" s="201"/>
      <c r="AF229" s="207"/>
      <c r="AG229" s="208"/>
      <c r="AH229" s="209"/>
      <c r="AI229" s="210"/>
      <c r="AJ229" s="197"/>
      <c r="AK229" s="201"/>
      <c r="AL229" s="196"/>
      <c r="AM229" s="201"/>
      <c r="AN229" s="201"/>
      <c r="AO229" s="201"/>
      <c r="AP229" s="211"/>
      <c r="AQ229" s="212"/>
      <c r="AR229" s="201"/>
      <c r="AS229" s="201"/>
      <c r="AT229" s="201"/>
      <c r="AU229" s="201"/>
      <c r="AV229" s="202"/>
      <c r="AW229" s="194"/>
      <c r="AX229" s="201"/>
      <c r="AY229" s="213"/>
      <c r="AZ229" s="214"/>
      <c r="BA229" s="215"/>
      <c r="BB229" s="216"/>
      <c r="BC229" s="217" t="str">
        <f t="shared" si="39"/>
        <v/>
      </c>
      <c r="BD229" s="218"/>
      <c r="BE229" s="219"/>
      <c r="BF229" s="220"/>
      <c r="BG229" s="219"/>
      <c r="BH229" s="219"/>
      <c r="BI229" s="220"/>
      <c r="BJ229" s="218"/>
      <c r="BK229" s="219"/>
      <c r="BL229" s="197"/>
      <c r="BM229" s="215"/>
      <c r="BN229" s="221"/>
      <c r="BO229" s="222" t="str">
        <f t="shared" si="40"/>
        <v/>
      </c>
      <c r="BP229" s="217" t="str">
        <f t="shared" si="41"/>
        <v/>
      </c>
      <c r="BQ229" s="215"/>
      <c r="BR229" s="224"/>
      <c r="BS229" s="225"/>
      <c r="BT229" s="223"/>
      <c r="BU229" s="215"/>
      <c r="BV229" s="226"/>
      <c r="BW229" s="222" t="str">
        <f t="shared" si="42"/>
        <v/>
      </c>
      <c r="BX229" s="223" t="str">
        <f t="shared" si="43"/>
        <v/>
      </c>
      <c r="BY229" s="215"/>
      <c r="BZ229" s="227"/>
      <c r="CA229" s="227"/>
      <c r="CB229" s="228"/>
      <c r="CC229" s="229"/>
      <c r="CD229" s="230" t="str">
        <f t="shared" si="44"/>
        <v/>
      </c>
      <c r="CE229" s="231" t="str">
        <f t="shared" si="45"/>
        <v/>
      </c>
      <c r="CF229" s="232" t="str">
        <f t="shared" si="46"/>
        <v/>
      </c>
      <c r="CG229" s="233" t="str">
        <f t="shared" si="47"/>
        <v/>
      </c>
      <c r="CH229" s="207" t="str">
        <f>IF(OR(G229="",CC229= ""), "", IF(ISERROR(SMALL((CJ229,CN229,CV229), 1)-CC229), "",  SMALL((CJ229,CN229,CV229), 1)-CC229))</f>
        <v/>
      </c>
      <c r="CI229" s="234"/>
      <c r="CJ229" s="235"/>
      <c r="CK229" s="236"/>
      <c r="CL229" s="222" t="str">
        <f t="shared" si="48"/>
        <v/>
      </c>
      <c r="CM229" s="237" t="str">
        <f>IF(OR(G229="", CJ229="",CK229=""), "", IF(ISERROR(SMALL((CN229,CV229), 1)-CK229), "",  SMALL((CN229,CV229), 1)-CK229))</f>
        <v/>
      </c>
      <c r="CN229" s="235"/>
      <c r="CO229" s="236"/>
      <c r="CP229" s="224" t="str">
        <f t="shared" si="49"/>
        <v/>
      </c>
      <c r="CQ229" s="235"/>
      <c r="CR229" s="236"/>
      <c r="CS229" s="222" t="str">
        <f t="shared" si="50"/>
        <v/>
      </c>
      <c r="CT229" s="237" t="str">
        <f t="shared" si="51"/>
        <v/>
      </c>
      <c r="CU229" s="238"/>
      <c r="CV229" s="239"/>
      <c r="CW229" s="240"/>
    </row>
    <row r="230" spans="2:101" ht="16.5" customHeight="1">
      <c r="B230" s="122"/>
      <c r="E230" s="122"/>
      <c r="F230" s="194"/>
      <c r="G230" s="195"/>
      <c r="H230" s="195"/>
      <c r="I230" s="195"/>
      <c r="J230" s="196"/>
      <c r="K230" s="197"/>
      <c r="L230" s="198"/>
      <c r="M230" s="199"/>
      <c r="N230" s="200"/>
      <c r="O230" s="201"/>
      <c r="P230" s="201"/>
      <c r="Q230" s="201"/>
      <c r="R230" s="201"/>
      <c r="S230" s="201"/>
      <c r="T230" s="201"/>
      <c r="U230" s="201"/>
      <c r="V230" s="201"/>
      <c r="W230" s="201"/>
      <c r="X230" s="202"/>
      <c r="Y230" s="203"/>
      <c r="Z230" s="204"/>
      <c r="AA230" s="205"/>
      <c r="AB230" s="206"/>
      <c r="AC230" s="206"/>
      <c r="AD230" s="194"/>
      <c r="AE230" s="201"/>
      <c r="AF230" s="207"/>
      <c r="AG230" s="208"/>
      <c r="AH230" s="209"/>
      <c r="AI230" s="210"/>
      <c r="AJ230" s="197"/>
      <c r="AK230" s="201"/>
      <c r="AL230" s="196"/>
      <c r="AM230" s="201"/>
      <c r="AN230" s="201"/>
      <c r="AO230" s="201"/>
      <c r="AP230" s="211"/>
      <c r="AQ230" s="212"/>
      <c r="AR230" s="201"/>
      <c r="AS230" s="201"/>
      <c r="AT230" s="201"/>
      <c r="AU230" s="201"/>
      <c r="AV230" s="202"/>
      <c r="AW230" s="194"/>
      <c r="AX230" s="201"/>
      <c r="AY230" s="213"/>
      <c r="AZ230" s="214"/>
      <c r="BA230" s="215"/>
      <c r="BB230" s="216"/>
      <c r="BC230" s="217" t="str">
        <f t="shared" si="39"/>
        <v/>
      </c>
      <c r="BD230" s="218"/>
      <c r="BE230" s="219"/>
      <c r="BF230" s="220"/>
      <c r="BG230" s="219"/>
      <c r="BH230" s="219"/>
      <c r="BI230" s="220"/>
      <c r="BJ230" s="218"/>
      <c r="BK230" s="219"/>
      <c r="BL230" s="197"/>
      <c r="BM230" s="215"/>
      <c r="BN230" s="221"/>
      <c r="BO230" s="222" t="str">
        <f t="shared" si="40"/>
        <v/>
      </c>
      <c r="BP230" s="217" t="str">
        <f t="shared" si="41"/>
        <v/>
      </c>
      <c r="BQ230" s="215"/>
      <c r="BR230" s="224"/>
      <c r="BS230" s="225"/>
      <c r="BT230" s="223"/>
      <c r="BU230" s="215"/>
      <c r="BV230" s="226"/>
      <c r="BW230" s="222" t="str">
        <f t="shared" si="42"/>
        <v/>
      </c>
      <c r="BX230" s="223" t="str">
        <f t="shared" si="43"/>
        <v/>
      </c>
      <c r="BY230" s="215"/>
      <c r="BZ230" s="227"/>
      <c r="CA230" s="227"/>
      <c r="CB230" s="228"/>
      <c r="CC230" s="229"/>
      <c r="CD230" s="230" t="str">
        <f t="shared" si="44"/>
        <v/>
      </c>
      <c r="CE230" s="231" t="str">
        <f t="shared" si="45"/>
        <v/>
      </c>
      <c r="CF230" s="232" t="str">
        <f t="shared" si="46"/>
        <v/>
      </c>
      <c r="CG230" s="233" t="str">
        <f t="shared" si="47"/>
        <v/>
      </c>
      <c r="CH230" s="207" t="str">
        <f>IF(OR(G230="",CC230= ""), "", IF(ISERROR(SMALL((CJ230,CN230,CV230), 1)-CC230), "",  SMALL((CJ230,CN230,CV230), 1)-CC230))</f>
        <v/>
      </c>
      <c r="CI230" s="234"/>
      <c r="CJ230" s="235"/>
      <c r="CK230" s="236"/>
      <c r="CL230" s="222" t="str">
        <f t="shared" si="48"/>
        <v/>
      </c>
      <c r="CM230" s="237" t="str">
        <f>IF(OR(G230="", CJ230="",CK230=""), "", IF(ISERROR(SMALL((CN230,CV230), 1)-CK230), "",  SMALL((CN230,CV230), 1)-CK230))</f>
        <v/>
      </c>
      <c r="CN230" s="235"/>
      <c r="CO230" s="236"/>
      <c r="CP230" s="224" t="str">
        <f t="shared" si="49"/>
        <v/>
      </c>
      <c r="CQ230" s="235"/>
      <c r="CR230" s="236"/>
      <c r="CS230" s="222" t="str">
        <f t="shared" si="50"/>
        <v/>
      </c>
      <c r="CT230" s="237" t="str">
        <f t="shared" si="51"/>
        <v/>
      </c>
      <c r="CU230" s="238"/>
      <c r="CV230" s="239"/>
      <c r="CW230" s="240"/>
    </row>
    <row r="231" spans="2:101" ht="16.5" customHeight="1">
      <c r="B231" s="122"/>
      <c r="E231" s="122"/>
      <c r="F231" s="194"/>
      <c r="G231" s="195"/>
      <c r="H231" s="195"/>
      <c r="I231" s="195"/>
      <c r="J231" s="196"/>
      <c r="K231" s="197"/>
      <c r="L231" s="198"/>
      <c r="M231" s="199"/>
      <c r="N231" s="200"/>
      <c r="O231" s="201"/>
      <c r="P231" s="201"/>
      <c r="Q231" s="201"/>
      <c r="R231" s="201"/>
      <c r="S231" s="201"/>
      <c r="T231" s="201"/>
      <c r="U231" s="201"/>
      <c r="V231" s="201"/>
      <c r="W231" s="201"/>
      <c r="X231" s="202"/>
      <c r="Y231" s="203"/>
      <c r="Z231" s="204"/>
      <c r="AA231" s="205"/>
      <c r="AB231" s="206"/>
      <c r="AC231" s="206"/>
      <c r="AD231" s="194"/>
      <c r="AE231" s="201"/>
      <c r="AF231" s="207"/>
      <c r="AG231" s="208"/>
      <c r="AH231" s="209"/>
      <c r="AI231" s="210"/>
      <c r="AJ231" s="197"/>
      <c r="AK231" s="201"/>
      <c r="AL231" s="196"/>
      <c r="AM231" s="201"/>
      <c r="AN231" s="201"/>
      <c r="AO231" s="201"/>
      <c r="AP231" s="211"/>
      <c r="AQ231" s="212"/>
      <c r="AR231" s="201"/>
      <c r="AS231" s="201"/>
      <c r="AT231" s="201"/>
      <c r="AU231" s="201"/>
      <c r="AV231" s="202"/>
      <c r="AW231" s="194"/>
      <c r="AX231" s="201"/>
      <c r="AY231" s="213"/>
      <c r="AZ231" s="214"/>
      <c r="BA231" s="215"/>
      <c r="BB231" s="216"/>
      <c r="BC231" s="217" t="str">
        <f t="shared" si="39"/>
        <v/>
      </c>
      <c r="BD231" s="218"/>
      <c r="BE231" s="219"/>
      <c r="BF231" s="220"/>
      <c r="BG231" s="219"/>
      <c r="BH231" s="219"/>
      <c r="BI231" s="220"/>
      <c r="BJ231" s="218"/>
      <c r="BK231" s="219"/>
      <c r="BL231" s="197"/>
      <c r="BM231" s="215"/>
      <c r="BN231" s="221"/>
      <c r="BO231" s="222" t="str">
        <f t="shared" si="40"/>
        <v/>
      </c>
      <c r="BP231" s="217" t="str">
        <f t="shared" si="41"/>
        <v/>
      </c>
      <c r="BQ231" s="215"/>
      <c r="BR231" s="224"/>
      <c r="BS231" s="225"/>
      <c r="BT231" s="223"/>
      <c r="BU231" s="215"/>
      <c r="BV231" s="226"/>
      <c r="BW231" s="222" t="str">
        <f t="shared" si="42"/>
        <v/>
      </c>
      <c r="BX231" s="223" t="str">
        <f t="shared" si="43"/>
        <v/>
      </c>
      <c r="BY231" s="215"/>
      <c r="BZ231" s="227"/>
      <c r="CA231" s="227"/>
      <c r="CB231" s="228"/>
      <c r="CC231" s="229"/>
      <c r="CD231" s="230" t="str">
        <f t="shared" si="44"/>
        <v/>
      </c>
      <c r="CE231" s="231" t="str">
        <f t="shared" si="45"/>
        <v/>
      </c>
      <c r="CF231" s="232" t="str">
        <f t="shared" si="46"/>
        <v/>
      </c>
      <c r="CG231" s="233" t="str">
        <f t="shared" si="47"/>
        <v/>
      </c>
      <c r="CH231" s="207" t="str">
        <f>IF(OR(G231="",CC231= ""), "", IF(ISERROR(SMALL((CJ231,CN231,CV231), 1)-CC231), "",  SMALL((CJ231,CN231,CV231), 1)-CC231))</f>
        <v/>
      </c>
      <c r="CI231" s="234"/>
      <c r="CJ231" s="235"/>
      <c r="CK231" s="236"/>
      <c r="CL231" s="222" t="str">
        <f t="shared" si="48"/>
        <v/>
      </c>
      <c r="CM231" s="237" t="str">
        <f>IF(OR(G231="", CJ231="",CK231=""), "", IF(ISERROR(SMALL((CN231,CV231), 1)-CK231), "",  SMALL((CN231,CV231), 1)-CK231))</f>
        <v/>
      </c>
      <c r="CN231" s="235"/>
      <c r="CO231" s="236"/>
      <c r="CP231" s="224" t="str">
        <f t="shared" si="49"/>
        <v/>
      </c>
      <c r="CQ231" s="235"/>
      <c r="CR231" s="236"/>
      <c r="CS231" s="222" t="str">
        <f t="shared" si="50"/>
        <v/>
      </c>
      <c r="CT231" s="237" t="str">
        <f t="shared" si="51"/>
        <v/>
      </c>
      <c r="CU231" s="238"/>
      <c r="CV231" s="239"/>
      <c r="CW231" s="240"/>
    </row>
    <row r="232" spans="2:101" ht="16.5" customHeight="1">
      <c r="B232" s="122"/>
      <c r="E232" s="122"/>
      <c r="F232" s="194"/>
      <c r="G232" s="195"/>
      <c r="H232" s="195"/>
      <c r="I232" s="195"/>
      <c r="J232" s="196"/>
      <c r="K232" s="197"/>
      <c r="L232" s="198"/>
      <c r="M232" s="199"/>
      <c r="N232" s="200"/>
      <c r="O232" s="201"/>
      <c r="P232" s="201"/>
      <c r="Q232" s="201"/>
      <c r="R232" s="201"/>
      <c r="S232" s="201"/>
      <c r="T232" s="201"/>
      <c r="U232" s="201"/>
      <c r="V232" s="201"/>
      <c r="W232" s="201"/>
      <c r="X232" s="202"/>
      <c r="Y232" s="203"/>
      <c r="Z232" s="204"/>
      <c r="AA232" s="205"/>
      <c r="AB232" s="206"/>
      <c r="AC232" s="206"/>
      <c r="AD232" s="194"/>
      <c r="AE232" s="201"/>
      <c r="AF232" s="207"/>
      <c r="AG232" s="208"/>
      <c r="AH232" s="209"/>
      <c r="AI232" s="210"/>
      <c r="AJ232" s="197"/>
      <c r="AK232" s="201"/>
      <c r="AL232" s="196"/>
      <c r="AM232" s="201"/>
      <c r="AN232" s="201"/>
      <c r="AO232" s="201"/>
      <c r="AP232" s="211"/>
      <c r="AQ232" s="212"/>
      <c r="AR232" s="201"/>
      <c r="AS232" s="201"/>
      <c r="AT232" s="201"/>
      <c r="AU232" s="201"/>
      <c r="AV232" s="202"/>
      <c r="AW232" s="194"/>
      <c r="AX232" s="201"/>
      <c r="AY232" s="213"/>
      <c r="AZ232" s="214"/>
      <c r="BA232" s="215"/>
      <c r="BB232" s="216"/>
      <c r="BC232" s="217" t="str">
        <f t="shared" si="39"/>
        <v/>
      </c>
      <c r="BD232" s="218"/>
      <c r="BE232" s="219"/>
      <c r="BF232" s="220"/>
      <c r="BG232" s="219"/>
      <c r="BH232" s="219"/>
      <c r="BI232" s="220"/>
      <c r="BJ232" s="218"/>
      <c r="BK232" s="219"/>
      <c r="BL232" s="197"/>
      <c r="BM232" s="215"/>
      <c r="BN232" s="221"/>
      <c r="BO232" s="222" t="str">
        <f t="shared" si="40"/>
        <v/>
      </c>
      <c r="BP232" s="217" t="str">
        <f t="shared" si="41"/>
        <v/>
      </c>
      <c r="BQ232" s="215"/>
      <c r="BR232" s="224"/>
      <c r="BS232" s="225"/>
      <c r="BT232" s="223"/>
      <c r="BU232" s="215"/>
      <c r="BV232" s="226"/>
      <c r="BW232" s="222" t="str">
        <f t="shared" si="42"/>
        <v/>
      </c>
      <c r="BX232" s="223" t="str">
        <f t="shared" si="43"/>
        <v/>
      </c>
      <c r="BY232" s="215"/>
      <c r="BZ232" s="227"/>
      <c r="CA232" s="227"/>
      <c r="CB232" s="228"/>
      <c r="CC232" s="229"/>
      <c r="CD232" s="230" t="str">
        <f t="shared" si="44"/>
        <v/>
      </c>
      <c r="CE232" s="231" t="str">
        <f t="shared" si="45"/>
        <v/>
      </c>
      <c r="CF232" s="232" t="str">
        <f t="shared" si="46"/>
        <v/>
      </c>
      <c r="CG232" s="233" t="str">
        <f t="shared" si="47"/>
        <v/>
      </c>
      <c r="CH232" s="207" t="str">
        <f>IF(OR(G232="",CC232= ""), "", IF(ISERROR(SMALL((CJ232,CN232,CV232), 1)-CC232), "",  SMALL((CJ232,CN232,CV232), 1)-CC232))</f>
        <v/>
      </c>
      <c r="CI232" s="234"/>
      <c r="CJ232" s="235"/>
      <c r="CK232" s="236"/>
      <c r="CL232" s="222" t="str">
        <f t="shared" si="48"/>
        <v/>
      </c>
      <c r="CM232" s="237" t="str">
        <f>IF(OR(G232="", CJ232="",CK232=""), "", IF(ISERROR(SMALL((CN232,CV232), 1)-CK232), "",  SMALL((CN232,CV232), 1)-CK232))</f>
        <v/>
      </c>
      <c r="CN232" s="235"/>
      <c r="CO232" s="236"/>
      <c r="CP232" s="224" t="str">
        <f t="shared" si="49"/>
        <v/>
      </c>
      <c r="CQ232" s="235"/>
      <c r="CR232" s="236"/>
      <c r="CS232" s="222" t="str">
        <f t="shared" si="50"/>
        <v/>
      </c>
      <c r="CT232" s="237" t="str">
        <f t="shared" si="51"/>
        <v/>
      </c>
      <c r="CU232" s="238"/>
      <c r="CV232" s="239"/>
      <c r="CW232" s="240"/>
    </row>
    <row r="233" spans="2:101" ht="16.5" customHeight="1">
      <c r="B233" s="122"/>
      <c r="E233" s="122"/>
      <c r="F233" s="194"/>
      <c r="G233" s="195"/>
      <c r="H233" s="195"/>
      <c r="I233" s="195"/>
      <c r="J233" s="196"/>
      <c r="K233" s="197"/>
      <c r="L233" s="198"/>
      <c r="M233" s="199"/>
      <c r="N233" s="200"/>
      <c r="O233" s="201"/>
      <c r="P233" s="201"/>
      <c r="Q233" s="201"/>
      <c r="R233" s="201"/>
      <c r="S233" s="201"/>
      <c r="T233" s="201"/>
      <c r="U233" s="201"/>
      <c r="V233" s="201"/>
      <c r="W233" s="201"/>
      <c r="X233" s="202"/>
      <c r="Y233" s="203"/>
      <c r="Z233" s="204"/>
      <c r="AA233" s="205"/>
      <c r="AB233" s="206"/>
      <c r="AC233" s="206"/>
      <c r="AD233" s="194"/>
      <c r="AE233" s="201"/>
      <c r="AF233" s="207"/>
      <c r="AG233" s="208"/>
      <c r="AH233" s="209"/>
      <c r="AI233" s="210"/>
      <c r="AJ233" s="197"/>
      <c r="AK233" s="201"/>
      <c r="AL233" s="196"/>
      <c r="AM233" s="201"/>
      <c r="AN233" s="201"/>
      <c r="AO233" s="201"/>
      <c r="AP233" s="211"/>
      <c r="AQ233" s="212"/>
      <c r="AR233" s="201"/>
      <c r="AS233" s="201"/>
      <c r="AT233" s="201"/>
      <c r="AU233" s="201"/>
      <c r="AV233" s="202"/>
      <c r="AW233" s="194"/>
      <c r="AX233" s="201"/>
      <c r="AY233" s="213"/>
      <c r="AZ233" s="214"/>
      <c r="BA233" s="215"/>
      <c r="BB233" s="216"/>
      <c r="BC233" s="217" t="str">
        <f t="shared" si="39"/>
        <v/>
      </c>
      <c r="BD233" s="218"/>
      <c r="BE233" s="219"/>
      <c r="BF233" s="220"/>
      <c r="BG233" s="219"/>
      <c r="BH233" s="219"/>
      <c r="BI233" s="220"/>
      <c r="BJ233" s="218"/>
      <c r="BK233" s="219"/>
      <c r="BL233" s="197"/>
      <c r="BM233" s="215"/>
      <c r="BN233" s="221"/>
      <c r="BO233" s="222" t="str">
        <f t="shared" si="40"/>
        <v/>
      </c>
      <c r="BP233" s="217" t="str">
        <f t="shared" si="41"/>
        <v/>
      </c>
      <c r="BQ233" s="215"/>
      <c r="BR233" s="224"/>
      <c r="BS233" s="225"/>
      <c r="BT233" s="223"/>
      <c r="BU233" s="215"/>
      <c r="BV233" s="226"/>
      <c r="BW233" s="222" t="str">
        <f t="shared" si="42"/>
        <v/>
      </c>
      <c r="BX233" s="223" t="str">
        <f t="shared" si="43"/>
        <v/>
      </c>
      <c r="BY233" s="215"/>
      <c r="BZ233" s="227"/>
      <c r="CA233" s="227"/>
      <c r="CB233" s="228"/>
      <c r="CC233" s="229"/>
      <c r="CD233" s="230" t="str">
        <f t="shared" si="44"/>
        <v/>
      </c>
      <c r="CE233" s="231" t="str">
        <f t="shared" si="45"/>
        <v/>
      </c>
      <c r="CF233" s="232" t="str">
        <f t="shared" si="46"/>
        <v/>
      </c>
      <c r="CG233" s="233" t="str">
        <f t="shared" si="47"/>
        <v/>
      </c>
      <c r="CH233" s="207" t="str">
        <f>IF(OR(G233="",CC233= ""), "", IF(ISERROR(SMALL((CJ233,CN233,CV233), 1)-CC233), "",  SMALL((CJ233,CN233,CV233), 1)-CC233))</f>
        <v/>
      </c>
      <c r="CI233" s="234"/>
      <c r="CJ233" s="235"/>
      <c r="CK233" s="236"/>
      <c r="CL233" s="222" t="str">
        <f t="shared" si="48"/>
        <v/>
      </c>
      <c r="CM233" s="237" t="str">
        <f>IF(OR(G233="", CJ233="",CK233=""), "", IF(ISERROR(SMALL((CN233,CV233), 1)-CK233), "",  SMALL((CN233,CV233), 1)-CK233))</f>
        <v/>
      </c>
      <c r="CN233" s="235"/>
      <c r="CO233" s="236"/>
      <c r="CP233" s="224" t="str">
        <f t="shared" si="49"/>
        <v/>
      </c>
      <c r="CQ233" s="235"/>
      <c r="CR233" s="236"/>
      <c r="CS233" s="222" t="str">
        <f t="shared" si="50"/>
        <v/>
      </c>
      <c r="CT233" s="237" t="str">
        <f t="shared" si="51"/>
        <v/>
      </c>
      <c r="CU233" s="238"/>
      <c r="CV233" s="239"/>
      <c r="CW233" s="240"/>
    </row>
    <row r="234" spans="2:101" ht="16.5" customHeight="1">
      <c r="B234" s="122"/>
      <c r="E234" s="122"/>
      <c r="F234" s="194"/>
      <c r="G234" s="195"/>
      <c r="H234" s="195"/>
      <c r="I234" s="195"/>
      <c r="J234" s="196"/>
      <c r="K234" s="197"/>
      <c r="L234" s="198"/>
      <c r="M234" s="199"/>
      <c r="N234" s="200"/>
      <c r="O234" s="201"/>
      <c r="P234" s="201"/>
      <c r="Q234" s="201"/>
      <c r="R234" s="201"/>
      <c r="S234" s="201"/>
      <c r="T234" s="201"/>
      <c r="U234" s="201"/>
      <c r="V234" s="201"/>
      <c r="W234" s="201"/>
      <c r="X234" s="202"/>
      <c r="Y234" s="203"/>
      <c r="Z234" s="204"/>
      <c r="AA234" s="205"/>
      <c r="AB234" s="206"/>
      <c r="AC234" s="206"/>
      <c r="AD234" s="194"/>
      <c r="AE234" s="201"/>
      <c r="AF234" s="207"/>
      <c r="AG234" s="208"/>
      <c r="AH234" s="209"/>
      <c r="AI234" s="210"/>
      <c r="AJ234" s="197"/>
      <c r="AK234" s="201"/>
      <c r="AL234" s="196"/>
      <c r="AM234" s="201"/>
      <c r="AN234" s="201"/>
      <c r="AO234" s="201"/>
      <c r="AP234" s="211"/>
      <c r="AQ234" s="212"/>
      <c r="AR234" s="201"/>
      <c r="AS234" s="201"/>
      <c r="AT234" s="201"/>
      <c r="AU234" s="201"/>
      <c r="AV234" s="202"/>
      <c r="AW234" s="194"/>
      <c r="AX234" s="201"/>
      <c r="AY234" s="213"/>
      <c r="AZ234" s="214"/>
      <c r="BA234" s="215"/>
      <c r="BB234" s="216"/>
      <c r="BC234" s="217" t="str">
        <f t="shared" si="39"/>
        <v/>
      </c>
      <c r="BD234" s="218"/>
      <c r="BE234" s="219"/>
      <c r="BF234" s="220"/>
      <c r="BG234" s="219"/>
      <c r="BH234" s="219"/>
      <c r="BI234" s="220"/>
      <c r="BJ234" s="218"/>
      <c r="BK234" s="219"/>
      <c r="BL234" s="197"/>
      <c r="BM234" s="215"/>
      <c r="BN234" s="221"/>
      <c r="BO234" s="222" t="str">
        <f t="shared" si="40"/>
        <v/>
      </c>
      <c r="BP234" s="217" t="str">
        <f t="shared" si="41"/>
        <v/>
      </c>
      <c r="BQ234" s="215"/>
      <c r="BR234" s="224"/>
      <c r="BS234" s="225"/>
      <c r="BT234" s="223"/>
      <c r="BU234" s="215"/>
      <c r="BV234" s="226"/>
      <c r="BW234" s="222" t="str">
        <f t="shared" si="42"/>
        <v/>
      </c>
      <c r="BX234" s="223" t="str">
        <f t="shared" si="43"/>
        <v/>
      </c>
      <c r="BY234" s="215"/>
      <c r="BZ234" s="227"/>
      <c r="CA234" s="227"/>
      <c r="CB234" s="228"/>
      <c r="CC234" s="229"/>
      <c r="CD234" s="230" t="str">
        <f t="shared" si="44"/>
        <v/>
      </c>
      <c r="CE234" s="231" t="str">
        <f t="shared" si="45"/>
        <v/>
      </c>
      <c r="CF234" s="232" t="str">
        <f t="shared" si="46"/>
        <v/>
      </c>
      <c r="CG234" s="233" t="str">
        <f t="shared" si="47"/>
        <v/>
      </c>
      <c r="CH234" s="207" t="str">
        <f>IF(OR(G234="",CC234= ""), "", IF(ISERROR(SMALL((CJ234,CN234,CV234), 1)-CC234), "",  SMALL((CJ234,CN234,CV234), 1)-CC234))</f>
        <v/>
      </c>
      <c r="CI234" s="234"/>
      <c r="CJ234" s="235"/>
      <c r="CK234" s="236"/>
      <c r="CL234" s="222" t="str">
        <f t="shared" si="48"/>
        <v/>
      </c>
      <c r="CM234" s="237" t="str">
        <f>IF(OR(G234="", CJ234="",CK234=""), "", IF(ISERROR(SMALL((CN234,CV234), 1)-CK234), "",  SMALL((CN234,CV234), 1)-CK234))</f>
        <v/>
      </c>
      <c r="CN234" s="235"/>
      <c r="CO234" s="236"/>
      <c r="CP234" s="224" t="str">
        <f t="shared" si="49"/>
        <v/>
      </c>
      <c r="CQ234" s="235"/>
      <c r="CR234" s="236"/>
      <c r="CS234" s="222" t="str">
        <f t="shared" si="50"/>
        <v/>
      </c>
      <c r="CT234" s="237" t="str">
        <f t="shared" si="51"/>
        <v/>
      </c>
      <c r="CU234" s="238"/>
      <c r="CV234" s="239"/>
      <c r="CW234" s="240"/>
    </row>
    <row r="235" spans="2:101" ht="16.5" customHeight="1">
      <c r="B235" s="122"/>
      <c r="E235" s="122"/>
      <c r="F235" s="194"/>
      <c r="G235" s="195"/>
      <c r="H235" s="195"/>
      <c r="I235" s="195"/>
      <c r="J235" s="196"/>
      <c r="K235" s="197"/>
      <c r="L235" s="198"/>
      <c r="M235" s="199"/>
      <c r="N235" s="200"/>
      <c r="O235" s="201"/>
      <c r="P235" s="201"/>
      <c r="Q235" s="201"/>
      <c r="R235" s="201"/>
      <c r="S235" s="201"/>
      <c r="T235" s="201"/>
      <c r="U235" s="201"/>
      <c r="V235" s="201"/>
      <c r="W235" s="201"/>
      <c r="X235" s="202"/>
      <c r="Y235" s="203"/>
      <c r="Z235" s="204"/>
      <c r="AA235" s="205"/>
      <c r="AB235" s="206"/>
      <c r="AC235" s="206"/>
      <c r="AD235" s="194"/>
      <c r="AE235" s="201"/>
      <c r="AF235" s="207"/>
      <c r="AG235" s="208"/>
      <c r="AH235" s="209"/>
      <c r="AI235" s="210"/>
      <c r="AJ235" s="197"/>
      <c r="AK235" s="201"/>
      <c r="AL235" s="196"/>
      <c r="AM235" s="201"/>
      <c r="AN235" s="201"/>
      <c r="AO235" s="201"/>
      <c r="AP235" s="211"/>
      <c r="AQ235" s="212"/>
      <c r="AR235" s="201"/>
      <c r="AS235" s="201"/>
      <c r="AT235" s="201"/>
      <c r="AU235" s="201"/>
      <c r="AV235" s="202"/>
      <c r="AW235" s="194"/>
      <c r="AX235" s="201"/>
      <c r="AY235" s="213"/>
      <c r="AZ235" s="214"/>
      <c r="BA235" s="215"/>
      <c r="BB235" s="216"/>
      <c r="BC235" s="217" t="str">
        <f t="shared" si="39"/>
        <v/>
      </c>
      <c r="BD235" s="218"/>
      <c r="BE235" s="219"/>
      <c r="BF235" s="220"/>
      <c r="BG235" s="219"/>
      <c r="BH235" s="219"/>
      <c r="BI235" s="220"/>
      <c r="BJ235" s="218"/>
      <c r="BK235" s="219"/>
      <c r="BL235" s="197"/>
      <c r="BM235" s="215"/>
      <c r="BN235" s="221"/>
      <c r="BO235" s="222" t="str">
        <f t="shared" si="40"/>
        <v/>
      </c>
      <c r="BP235" s="217" t="str">
        <f t="shared" si="41"/>
        <v/>
      </c>
      <c r="BQ235" s="215"/>
      <c r="BR235" s="224"/>
      <c r="BS235" s="225"/>
      <c r="BT235" s="223"/>
      <c r="BU235" s="215"/>
      <c r="BV235" s="226"/>
      <c r="BW235" s="222" t="str">
        <f t="shared" si="42"/>
        <v/>
      </c>
      <c r="BX235" s="223" t="str">
        <f t="shared" si="43"/>
        <v/>
      </c>
      <c r="BY235" s="215"/>
      <c r="BZ235" s="227"/>
      <c r="CA235" s="227"/>
      <c r="CB235" s="228"/>
      <c r="CC235" s="229"/>
      <c r="CD235" s="230" t="str">
        <f t="shared" si="44"/>
        <v/>
      </c>
      <c r="CE235" s="231" t="str">
        <f t="shared" si="45"/>
        <v/>
      </c>
      <c r="CF235" s="232" t="str">
        <f t="shared" si="46"/>
        <v/>
      </c>
      <c r="CG235" s="233" t="str">
        <f t="shared" si="47"/>
        <v/>
      </c>
      <c r="CH235" s="207" t="str">
        <f>IF(OR(G235="",CC235= ""), "", IF(ISERROR(SMALL((CJ235,CN235,CV235), 1)-CC235), "",  SMALL((CJ235,CN235,CV235), 1)-CC235))</f>
        <v/>
      </c>
      <c r="CI235" s="234"/>
      <c r="CJ235" s="235"/>
      <c r="CK235" s="236"/>
      <c r="CL235" s="222" t="str">
        <f t="shared" si="48"/>
        <v/>
      </c>
      <c r="CM235" s="237" t="str">
        <f>IF(OR(G235="", CJ235="",CK235=""), "", IF(ISERROR(SMALL((CN235,CV235), 1)-CK235), "",  SMALL((CN235,CV235), 1)-CK235))</f>
        <v/>
      </c>
      <c r="CN235" s="235"/>
      <c r="CO235" s="236"/>
      <c r="CP235" s="224" t="str">
        <f t="shared" si="49"/>
        <v/>
      </c>
      <c r="CQ235" s="235"/>
      <c r="CR235" s="236"/>
      <c r="CS235" s="222" t="str">
        <f t="shared" si="50"/>
        <v/>
      </c>
      <c r="CT235" s="237" t="str">
        <f t="shared" si="51"/>
        <v/>
      </c>
      <c r="CU235" s="238"/>
      <c r="CV235" s="239"/>
      <c r="CW235" s="240"/>
    </row>
    <row r="236" spans="2:101" ht="16.5" customHeight="1">
      <c r="B236" s="122"/>
      <c r="E236" s="122"/>
      <c r="F236" s="194"/>
      <c r="G236" s="195"/>
      <c r="H236" s="195"/>
      <c r="I236" s="195"/>
      <c r="J236" s="196"/>
      <c r="K236" s="197"/>
      <c r="L236" s="198"/>
      <c r="M236" s="199"/>
      <c r="N236" s="200"/>
      <c r="O236" s="201"/>
      <c r="P236" s="201"/>
      <c r="Q236" s="201"/>
      <c r="R236" s="201"/>
      <c r="S236" s="201"/>
      <c r="T236" s="201"/>
      <c r="U236" s="201"/>
      <c r="V236" s="201"/>
      <c r="W236" s="201"/>
      <c r="X236" s="202"/>
      <c r="Y236" s="203"/>
      <c r="Z236" s="204"/>
      <c r="AA236" s="205"/>
      <c r="AB236" s="206"/>
      <c r="AC236" s="206"/>
      <c r="AD236" s="194"/>
      <c r="AE236" s="201"/>
      <c r="AF236" s="207"/>
      <c r="AG236" s="208"/>
      <c r="AH236" s="209"/>
      <c r="AI236" s="210"/>
      <c r="AJ236" s="197"/>
      <c r="AK236" s="201"/>
      <c r="AL236" s="196"/>
      <c r="AM236" s="201"/>
      <c r="AN236" s="201"/>
      <c r="AO236" s="201"/>
      <c r="AP236" s="211"/>
      <c r="AQ236" s="212"/>
      <c r="AR236" s="201"/>
      <c r="AS236" s="201"/>
      <c r="AT236" s="201"/>
      <c r="AU236" s="201"/>
      <c r="AV236" s="202"/>
      <c r="AW236" s="194"/>
      <c r="AX236" s="201"/>
      <c r="AY236" s="213"/>
      <c r="AZ236" s="214"/>
      <c r="BA236" s="215"/>
      <c r="BB236" s="216"/>
      <c r="BC236" s="217" t="str">
        <f t="shared" si="39"/>
        <v/>
      </c>
      <c r="BD236" s="218"/>
      <c r="BE236" s="219"/>
      <c r="BF236" s="220"/>
      <c r="BG236" s="219"/>
      <c r="BH236" s="219"/>
      <c r="BI236" s="220"/>
      <c r="BJ236" s="218"/>
      <c r="BK236" s="219"/>
      <c r="BL236" s="197"/>
      <c r="BM236" s="215"/>
      <c r="BN236" s="221"/>
      <c r="BO236" s="222" t="str">
        <f t="shared" si="40"/>
        <v/>
      </c>
      <c r="BP236" s="217" t="str">
        <f t="shared" si="41"/>
        <v/>
      </c>
      <c r="BQ236" s="215"/>
      <c r="BR236" s="224"/>
      <c r="BS236" s="225"/>
      <c r="BT236" s="223"/>
      <c r="BU236" s="215"/>
      <c r="BV236" s="226"/>
      <c r="BW236" s="222" t="str">
        <f t="shared" si="42"/>
        <v/>
      </c>
      <c r="BX236" s="223" t="str">
        <f t="shared" si="43"/>
        <v/>
      </c>
      <c r="BY236" s="215"/>
      <c r="BZ236" s="227"/>
      <c r="CA236" s="227"/>
      <c r="CB236" s="228"/>
      <c r="CC236" s="229"/>
      <c r="CD236" s="230" t="str">
        <f t="shared" si="44"/>
        <v/>
      </c>
      <c r="CE236" s="231" t="str">
        <f t="shared" si="45"/>
        <v/>
      </c>
      <c r="CF236" s="232" t="str">
        <f t="shared" si="46"/>
        <v/>
      </c>
      <c r="CG236" s="233" t="str">
        <f t="shared" si="47"/>
        <v/>
      </c>
      <c r="CH236" s="207" t="str">
        <f>IF(OR(G236="",CC236= ""), "", IF(ISERROR(SMALL((CJ236,CN236,CV236), 1)-CC236), "",  SMALL((CJ236,CN236,CV236), 1)-CC236))</f>
        <v/>
      </c>
      <c r="CI236" s="234"/>
      <c r="CJ236" s="235"/>
      <c r="CK236" s="236"/>
      <c r="CL236" s="222" t="str">
        <f t="shared" si="48"/>
        <v/>
      </c>
      <c r="CM236" s="237" t="str">
        <f>IF(OR(G236="", CJ236="",CK236=""), "", IF(ISERROR(SMALL((CN236,CV236), 1)-CK236), "",  SMALL((CN236,CV236), 1)-CK236))</f>
        <v/>
      </c>
      <c r="CN236" s="235"/>
      <c r="CO236" s="236"/>
      <c r="CP236" s="224" t="str">
        <f t="shared" si="49"/>
        <v/>
      </c>
      <c r="CQ236" s="235"/>
      <c r="CR236" s="236"/>
      <c r="CS236" s="222" t="str">
        <f t="shared" si="50"/>
        <v/>
      </c>
      <c r="CT236" s="237" t="str">
        <f t="shared" si="51"/>
        <v/>
      </c>
      <c r="CU236" s="238"/>
      <c r="CV236" s="239"/>
      <c r="CW236" s="240"/>
    </row>
    <row r="237" spans="2:101" ht="16.5" customHeight="1">
      <c r="B237" s="122"/>
      <c r="E237" s="122"/>
      <c r="F237" s="194"/>
      <c r="G237" s="195"/>
      <c r="H237" s="195"/>
      <c r="I237" s="195"/>
      <c r="J237" s="196"/>
      <c r="K237" s="197"/>
      <c r="L237" s="198"/>
      <c r="M237" s="199"/>
      <c r="N237" s="200"/>
      <c r="O237" s="201"/>
      <c r="P237" s="201"/>
      <c r="Q237" s="201"/>
      <c r="R237" s="201"/>
      <c r="S237" s="201"/>
      <c r="T237" s="201"/>
      <c r="U237" s="201"/>
      <c r="V237" s="201"/>
      <c r="W237" s="201"/>
      <c r="X237" s="202"/>
      <c r="Y237" s="203"/>
      <c r="Z237" s="204"/>
      <c r="AA237" s="205"/>
      <c r="AB237" s="206"/>
      <c r="AC237" s="206"/>
      <c r="AD237" s="194"/>
      <c r="AE237" s="201"/>
      <c r="AF237" s="207"/>
      <c r="AG237" s="208"/>
      <c r="AH237" s="209"/>
      <c r="AI237" s="210"/>
      <c r="AJ237" s="197"/>
      <c r="AK237" s="201"/>
      <c r="AL237" s="196"/>
      <c r="AM237" s="201"/>
      <c r="AN237" s="201"/>
      <c r="AO237" s="201"/>
      <c r="AP237" s="211"/>
      <c r="AQ237" s="212"/>
      <c r="AR237" s="201"/>
      <c r="AS237" s="201"/>
      <c r="AT237" s="201"/>
      <c r="AU237" s="201"/>
      <c r="AV237" s="202"/>
      <c r="AW237" s="194"/>
      <c r="AX237" s="201"/>
      <c r="AY237" s="213"/>
      <c r="AZ237" s="214"/>
      <c r="BA237" s="215"/>
      <c r="BB237" s="216"/>
      <c r="BC237" s="217" t="str">
        <f t="shared" si="39"/>
        <v/>
      </c>
      <c r="BD237" s="218"/>
      <c r="BE237" s="219"/>
      <c r="BF237" s="220"/>
      <c r="BG237" s="219"/>
      <c r="BH237" s="219"/>
      <c r="BI237" s="220"/>
      <c r="BJ237" s="218"/>
      <c r="BK237" s="219"/>
      <c r="BL237" s="197"/>
      <c r="BM237" s="215"/>
      <c r="BN237" s="221"/>
      <c r="BO237" s="222" t="str">
        <f t="shared" si="40"/>
        <v/>
      </c>
      <c r="BP237" s="217" t="str">
        <f t="shared" si="41"/>
        <v/>
      </c>
      <c r="BQ237" s="215"/>
      <c r="BR237" s="224"/>
      <c r="BS237" s="225"/>
      <c r="BT237" s="223"/>
      <c r="BU237" s="215"/>
      <c r="BV237" s="226"/>
      <c r="BW237" s="222" t="str">
        <f t="shared" si="42"/>
        <v/>
      </c>
      <c r="BX237" s="223" t="str">
        <f t="shared" si="43"/>
        <v/>
      </c>
      <c r="BY237" s="215"/>
      <c r="BZ237" s="227"/>
      <c r="CA237" s="227"/>
      <c r="CB237" s="228"/>
      <c r="CC237" s="229"/>
      <c r="CD237" s="230" t="str">
        <f t="shared" si="44"/>
        <v/>
      </c>
      <c r="CE237" s="231" t="str">
        <f t="shared" si="45"/>
        <v/>
      </c>
      <c r="CF237" s="232" t="str">
        <f t="shared" si="46"/>
        <v/>
      </c>
      <c r="CG237" s="233" t="str">
        <f t="shared" si="47"/>
        <v/>
      </c>
      <c r="CH237" s="207" t="str">
        <f>IF(OR(G237="",CC237= ""), "", IF(ISERROR(SMALL((CJ237,CN237,CV237), 1)-CC237), "",  SMALL((CJ237,CN237,CV237), 1)-CC237))</f>
        <v/>
      </c>
      <c r="CI237" s="234"/>
      <c r="CJ237" s="235"/>
      <c r="CK237" s="236"/>
      <c r="CL237" s="222" t="str">
        <f t="shared" si="48"/>
        <v/>
      </c>
      <c r="CM237" s="237" t="str">
        <f>IF(OR(G237="", CJ237="",CK237=""), "", IF(ISERROR(SMALL((CN237,CV237), 1)-CK237), "",  SMALL((CN237,CV237), 1)-CK237))</f>
        <v/>
      </c>
      <c r="CN237" s="235"/>
      <c r="CO237" s="236"/>
      <c r="CP237" s="224" t="str">
        <f t="shared" si="49"/>
        <v/>
      </c>
      <c r="CQ237" s="235"/>
      <c r="CR237" s="236"/>
      <c r="CS237" s="222" t="str">
        <f t="shared" si="50"/>
        <v/>
      </c>
      <c r="CT237" s="237" t="str">
        <f t="shared" si="51"/>
        <v/>
      </c>
      <c r="CU237" s="238"/>
      <c r="CV237" s="239"/>
      <c r="CW237" s="240"/>
    </row>
    <row r="238" spans="2:101" ht="16.5" customHeight="1">
      <c r="B238" s="122"/>
      <c r="E238" s="122"/>
      <c r="F238" s="194"/>
      <c r="G238" s="195"/>
      <c r="H238" s="195"/>
      <c r="I238" s="195"/>
      <c r="J238" s="196"/>
      <c r="K238" s="197"/>
      <c r="L238" s="198"/>
      <c r="M238" s="199"/>
      <c r="N238" s="200"/>
      <c r="O238" s="201"/>
      <c r="P238" s="201"/>
      <c r="Q238" s="201"/>
      <c r="R238" s="201"/>
      <c r="S238" s="201"/>
      <c r="T238" s="201"/>
      <c r="U238" s="201"/>
      <c r="V238" s="201"/>
      <c r="W238" s="201"/>
      <c r="X238" s="202"/>
      <c r="Y238" s="203"/>
      <c r="Z238" s="204"/>
      <c r="AA238" s="205"/>
      <c r="AB238" s="206"/>
      <c r="AC238" s="206"/>
      <c r="AD238" s="194"/>
      <c r="AE238" s="201"/>
      <c r="AF238" s="207"/>
      <c r="AG238" s="208"/>
      <c r="AH238" s="209"/>
      <c r="AI238" s="210"/>
      <c r="AJ238" s="197"/>
      <c r="AK238" s="201"/>
      <c r="AL238" s="196"/>
      <c r="AM238" s="201"/>
      <c r="AN238" s="201"/>
      <c r="AO238" s="201"/>
      <c r="AP238" s="211"/>
      <c r="AQ238" s="212"/>
      <c r="AR238" s="201"/>
      <c r="AS238" s="201"/>
      <c r="AT238" s="201"/>
      <c r="AU238" s="201"/>
      <c r="AV238" s="202"/>
      <c r="AW238" s="194"/>
      <c r="AX238" s="201"/>
      <c r="AY238" s="213"/>
      <c r="AZ238" s="214"/>
      <c r="BA238" s="215"/>
      <c r="BB238" s="216"/>
      <c r="BC238" s="217" t="str">
        <f t="shared" si="39"/>
        <v/>
      </c>
      <c r="BD238" s="218"/>
      <c r="BE238" s="219"/>
      <c r="BF238" s="220"/>
      <c r="BG238" s="219"/>
      <c r="BH238" s="219"/>
      <c r="BI238" s="220"/>
      <c r="BJ238" s="218"/>
      <c r="BK238" s="219"/>
      <c r="BL238" s="197"/>
      <c r="BM238" s="215"/>
      <c r="BN238" s="221"/>
      <c r="BO238" s="222" t="str">
        <f t="shared" si="40"/>
        <v/>
      </c>
      <c r="BP238" s="217" t="str">
        <f t="shared" si="41"/>
        <v/>
      </c>
      <c r="BQ238" s="215"/>
      <c r="BR238" s="224"/>
      <c r="BS238" s="225"/>
      <c r="BT238" s="223"/>
      <c r="BU238" s="215"/>
      <c r="BV238" s="226"/>
      <c r="BW238" s="222" t="str">
        <f t="shared" si="42"/>
        <v/>
      </c>
      <c r="BX238" s="223" t="str">
        <f t="shared" si="43"/>
        <v/>
      </c>
      <c r="BY238" s="215"/>
      <c r="BZ238" s="227"/>
      <c r="CA238" s="227"/>
      <c r="CB238" s="228"/>
      <c r="CC238" s="229"/>
      <c r="CD238" s="230" t="str">
        <f t="shared" si="44"/>
        <v/>
      </c>
      <c r="CE238" s="231" t="str">
        <f t="shared" si="45"/>
        <v/>
      </c>
      <c r="CF238" s="232" t="str">
        <f t="shared" si="46"/>
        <v/>
      </c>
      <c r="CG238" s="233" t="str">
        <f t="shared" si="47"/>
        <v/>
      </c>
      <c r="CH238" s="207" t="str">
        <f>IF(OR(G238="",CC238= ""), "", IF(ISERROR(SMALL((CJ238,CN238,CV238), 1)-CC238), "",  SMALL((CJ238,CN238,CV238), 1)-CC238))</f>
        <v/>
      </c>
      <c r="CI238" s="234"/>
      <c r="CJ238" s="235"/>
      <c r="CK238" s="236"/>
      <c r="CL238" s="222" t="str">
        <f t="shared" si="48"/>
        <v/>
      </c>
      <c r="CM238" s="237" t="str">
        <f>IF(OR(G238="", CJ238="",CK238=""), "", IF(ISERROR(SMALL((CN238,CV238), 1)-CK238), "",  SMALL((CN238,CV238), 1)-CK238))</f>
        <v/>
      </c>
      <c r="CN238" s="235"/>
      <c r="CO238" s="236"/>
      <c r="CP238" s="224" t="str">
        <f t="shared" si="49"/>
        <v/>
      </c>
      <c r="CQ238" s="235"/>
      <c r="CR238" s="236"/>
      <c r="CS238" s="222" t="str">
        <f t="shared" si="50"/>
        <v/>
      </c>
      <c r="CT238" s="237" t="str">
        <f t="shared" si="51"/>
        <v/>
      </c>
      <c r="CU238" s="238"/>
      <c r="CV238" s="239"/>
      <c r="CW238" s="240"/>
    </row>
    <row r="239" spans="2:101" ht="16.5" customHeight="1">
      <c r="B239" s="122"/>
      <c r="E239" s="122"/>
      <c r="F239" s="194"/>
      <c r="G239" s="195"/>
      <c r="H239" s="195"/>
      <c r="I239" s="195"/>
      <c r="J239" s="196"/>
      <c r="K239" s="197"/>
      <c r="L239" s="198"/>
      <c r="M239" s="199"/>
      <c r="N239" s="200"/>
      <c r="O239" s="201"/>
      <c r="P239" s="201"/>
      <c r="Q239" s="201"/>
      <c r="R239" s="201"/>
      <c r="S239" s="201"/>
      <c r="T239" s="201"/>
      <c r="U239" s="201"/>
      <c r="V239" s="201"/>
      <c r="W239" s="201"/>
      <c r="X239" s="202"/>
      <c r="Y239" s="203"/>
      <c r="Z239" s="204"/>
      <c r="AA239" s="205"/>
      <c r="AB239" s="206"/>
      <c r="AC239" s="206"/>
      <c r="AD239" s="194"/>
      <c r="AE239" s="201"/>
      <c r="AF239" s="207"/>
      <c r="AG239" s="208"/>
      <c r="AH239" s="209"/>
      <c r="AI239" s="210"/>
      <c r="AJ239" s="197"/>
      <c r="AK239" s="201"/>
      <c r="AL239" s="196"/>
      <c r="AM239" s="201"/>
      <c r="AN239" s="201"/>
      <c r="AO239" s="201"/>
      <c r="AP239" s="211"/>
      <c r="AQ239" s="212"/>
      <c r="AR239" s="201"/>
      <c r="AS239" s="201"/>
      <c r="AT239" s="201"/>
      <c r="AU239" s="201"/>
      <c r="AV239" s="202"/>
      <c r="AW239" s="194"/>
      <c r="AX239" s="201"/>
      <c r="AY239" s="213"/>
      <c r="AZ239" s="214"/>
      <c r="BA239" s="215"/>
      <c r="BB239" s="216"/>
      <c r="BC239" s="217" t="str">
        <f t="shared" si="39"/>
        <v/>
      </c>
      <c r="BD239" s="218"/>
      <c r="BE239" s="219"/>
      <c r="BF239" s="220"/>
      <c r="BG239" s="219"/>
      <c r="BH239" s="219"/>
      <c r="BI239" s="220"/>
      <c r="BJ239" s="218"/>
      <c r="BK239" s="219"/>
      <c r="BL239" s="197"/>
      <c r="BM239" s="215"/>
      <c r="BN239" s="221"/>
      <c r="BO239" s="222" t="str">
        <f t="shared" si="40"/>
        <v/>
      </c>
      <c r="BP239" s="217" t="str">
        <f t="shared" si="41"/>
        <v/>
      </c>
      <c r="BQ239" s="215"/>
      <c r="BR239" s="224"/>
      <c r="BS239" s="225"/>
      <c r="BT239" s="223"/>
      <c r="BU239" s="215"/>
      <c r="BV239" s="226"/>
      <c r="BW239" s="222" t="str">
        <f t="shared" si="42"/>
        <v/>
      </c>
      <c r="BX239" s="223" t="str">
        <f t="shared" si="43"/>
        <v/>
      </c>
      <c r="BY239" s="215"/>
      <c r="BZ239" s="227"/>
      <c r="CA239" s="227"/>
      <c r="CB239" s="228"/>
      <c r="CC239" s="229"/>
      <c r="CD239" s="230" t="str">
        <f t="shared" si="44"/>
        <v/>
      </c>
      <c r="CE239" s="231" t="str">
        <f t="shared" si="45"/>
        <v/>
      </c>
      <c r="CF239" s="232" t="str">
        <f t="shared" si="46"/>
        <v/>
      </c>
      <c r="CG239" s="233" t="str">
        <f t="shared" si="47"/>
        <v/>
      </c>
      <c r="CH239" s="207" t="str">
        <f>IF(OR(G239="",CC239= ""), "", IF(ISERROR(SMALL((CJ239,CN239,CV239), 1)-CC239), "",  SMALL((CJ239,CN239,CV239), 1)-CC239))</f>
        <v/>
      </c>
      <c r="CI239" s="234"/>
      <c r="CJ239" s="235"/>
      <c r="CK239" s="236"/>
      <c r="CL239" s="222" t="str">
        <f t="shared" si="48"/>
        <v/>
      </c>
      <c r="CM239" s="237" t="str">
        <f>IF(OR(G239="", CJ239="",CK239=""), "", IF(ISERROR(SMALL((CN239,CV239), 1)-CK239), "",  SMALL((CN239,CV239), 1)-CK239))</f>
        <v/>
      </c>
      <c r="CN239" s="235"/>
      <c r="CO239" s="236"/>
      <c r="CP239" s="224" t="str">
        <f t="shared" si="49"/>
        <v/>
      </c>
      <c r="CQ239" s="235"/>
      <c r="CR239" s="236"/>
      <c r="CS239" s="222" t="str">
        <f t="shared" si="50"/>
        <v/>
      </c>
      <c r="CT239" s="237" t="str">
        <f t="shared" si="51"/>
        <v/>
      </c>
      <c r="CU239" s="238"/>
      <c r="CV239" s="239"/>
      <c r="CW239" s="240"/>
    </row>
    <row r="240" spans="2:101" ht="16.5" customHeight="1">
      <c r="B240" s="122"/>
      <c r="E240" s="122"/>
      <c r="F240" s="194"/>
      <c r="G240" s="195"/>
      <c r="H240" s="195"/>
      <c r="I240" s="195"/>
      <c r="J240" s="196"/>
      <c r="K240" s="197"/>
      <c r="L240" s="198"/>
      <c r="M240" s="199"/>
      <c r="N240" s="200"/>
      <c r="O240" s="201"/>
      <c r="P240" s="201"/>
      <c r="Q240" s="201"/>
      <c r="R240" s="201"/>
      <c r="S240" s="201"/>
      <c r="T240" s="201"/>
      <c r="U240" s="201"/>
      <c r="V240" s="201"/>
      <c r="W240" s="201"/>
      <c r="X240" s="202"/>
      <c r="Y240" s="203"/>
      <c r="Z240" s="204"/>
      <c r="AA240" s="205"/>
      <c r="AB240" s="206"/>
      <c r="AC240" s="206"/>
      <c r="AD240" s="194"/>
      <c r="AE240" s="201"/>
      <c r="AF240" s="207"/>
      <c r="AG240" s="208"/>
      <c r="AH240" s="209"/>
      <c r="AI240" s="210"/>
      <c r="AJ240" s="197"/>
      <c r="AK240" s="201"/>
      <c r="AL240" s="196"/>
      <c r="AM240" s="201"/>
      <c r="AN240" s="201"/>
      <c r="AO240" s="201"/>
      <c r="AP240" s="211"/>
      <c r="AQ240" s="212"/>
      <c r="AR240" s="201"/>
      <c r="AS240" s="201"/>
      <c r="AT240" s="201"/>
      <c r="AU240" s="201"/>
      <c r="AV240" s="202"/>
      <c r="AW240" s="194"/>
      <c r="AX240" s="201"/>
      <c r="AY240" s="213"/>
      <c r="AZ240" s="214"/>
      <c r="BA240" s="215"/>
      <c r="BB240" s="216"/>
      <c r="BC240" s="217" t="str">
        <f t="shared" si="39"/>
        <v/>
      </c>
      <c r="BD240" s="218"/>
      <c r="BE240" s="219"/>
      <c r="BF240" s="220"/>
      <c r="BG240" s="219"/>
      <c r="BH240" s="219"/>
      <c r="BI240" s="220"/>
      <c r="BJ240" s="218"/>
      <c r="BK240" s="219"/>
      <c r="BL240" s="197"/>
      <c r="BM240" s="215"/>
      <c r="BN240" s="221"/>
      <c r="BO240" s="222" t="str">
        <f t="shared" si="40"/>
        <v/>
      </c>
      <c r="BP240" s="217" t="str">
        <f t="shared" si="41"/>
        <v/>
      </c>
      <c r="BQ240" s="215"/>
      <c r="BR240" s="224"/>
      <c r="BS240" s="225"/>
      <c r="BT240" s="223"/>
      <c r="BU240" s="215"/>
      <c r="BV240" s="226"/>
      <c r="BW240" s="222" t="str">
        <f t="shared" si="42"/>
        <v/>
      </c>
      <c r="BX240" s="223" t="str">
        <f t="shared" si="43"/>
        <v/>
      </c>
      <c r="BY240" s="215"/>
      <c r="BZ240" s="227"/>
      <c r="CA240" s="227"/>
      <c r="CB240" s="228"/>
      <c r="CC240" s="229"/>
      <c r="CD240" s="230" t="str">
        <f t="shared" si="44"/>
        <v/>
      </c>
      <c r="CE240" s="231" t="str">
        <f t="shared" si="45"/>
        <v/>
      </c>
      <c r="CF240" s="232" t="str">
        <f t="shared" si="46"/>
        <v/>
      </c>
      <c r="CG240" s="233" t="str">
        <f t="shared" si="47"/>
        <v/>
      </c>
      <c r="CH240" s="207" t="str">
        <f>IF(OR(G240="",CC240= ""), "", IF(ISERROR(SMALL((CJ240,CN240,CV240), 1)-CC240), "",  SMALL((CJ240,CN240,CV240), 1)-CC240))</f>
        <v/>
      </c>
      <c r="CI240" s="234"/>
      <c r="CJ240" s="235"/>
      <c r="CK240" s="236"/>
      <c r="CL240" s="222" t="str">
        <f t="shared" si="48"/>
        <v/>
      </c>
      <c r="CM240" s="237" t="str">
        <f>IF(OR(G240="", CJ240="",CK240=""), "", IF(ISERROR(SMALL((CN240,CV240), 1)-CK240), "",  SMALL((CN240,CV240), 1)-CK240))</f>
        <v/>
      </c>
      <c r="CN240" s="235"/>
      <c r="CO240" s="236"/>
      <c r="CP240" s="224" t="str">
        <f t="shared" si="49"/>
        <v/>
      </c>
      <c r="CQ240" s="235"/>
      <c r="CR240" s="236"/>
      <c r="CS240" s="222" t="str">
        <f t="shared" si="50"/>
        <v/>
      </c>
      <c r="CT240" s="237" t="str">
        <f t="shared" si="51"/>
        <v/>
      </c>
      <c r="CU240" s="238"/>
      <c r="CV240" s="239"/>
      <c r="CW240" s="240"/>
    </row>
    <row r="241" spans="2:101" ht="16.5" customHeight="1">
      <c r="B241" s="122"/>
      <c r="E241" s="122"/>
      <c r="F241" s="194"/>
      <c r="G241" s="195"/>
      <c r="H241" s="195"/>
      <c r="I241" s="195"/>
      <c r="J241" s="196"/>
      <c r="K241" s="197"/>
      <c r="L241" s="198"/>
      <c r="M241" s="199"/>
      <c r="N241" s="200"/>
      <c r="O241" s="201"/>
      <c r="P241" s="201"/>
      <c r="Q241" s="201"/>
      <c r="R241" s="201"/>
      <c r="S241" s="201"/>
      <c r="T241" s="201"/>
      <c r="U241" s="201"/>
      <c r="V241" s="201"/>
      <c r="W241" s="201"/>
      <c r="X241" s="202"/>
      <c r="Y241" s="203"/>
      <c r="Z241" s="204"/>
      <c r="AA241" s="205"/>
      <c r="AB241" s="206"/>
      <c r="AC241" s="206"/>
      <c r="AD241" s="194"/>
      <c r="AE241" s="201"/>
      <c r="AF241" s="207"/>
      <c r="AG241" s="208"/>
      <c r="AH241" s="209"/>
      <c r="AI241" s="210"/>
      <c r="AJ241" s="197"/>
      <c r="AK241" s="201"/>
      <c r="AL241" s="196"/>
      <c r="AM241" s="201"/>
      <c r="AN241" s="201"/>
      <c r="AO241" s="201"/>
      <c r="AP241" s="211"/>
      <c r="AQ241" s="212"/>
      <c r="AR241" s="201"/>
      <c r="AS241" s="201"/>
      <c r="AT241" s="201"/>
      <c r="AU241" s="201"/>
      <c r="AV241" s="202"/>
      <c r="AW241" s="194"/>
      <c r="AX241" s="201"/>
      <c r="AY241" s="213"/>
      <c r="AZ241" s="214"/>
      <c r="BA241" s="215"/>
      <c r="BB241" s="216"/>
      <c r="BC241" s="217" t="str">
        <f t="shared" si="39"/>
        <v/>
      </c>
      <c r="BD241" s="218"/>
      <c r="BE241" s="219"/>
      <c r="BF241" s="220"/>
      <c r="BG241" s="219"/>
      <c r="BH241" s="219"/>
      <c r="BI241" s="220"/>
      <c r="BJ241" s="218"/>
      <c r="BK241" s="219"/>
      <c r="BL241" s="197"/>
      <c r="BM241" s="215"/>
      <c r="BN241" s="221"/>
      <c r="BO241" s="222" t="str">
        <f t="shared" si="40"/>
        <v/>
      </c>
      <c r="BP241" s="217" t="str">
        <f t="shared" si="41"/>
        <v/>
      </c>
      <c r="BQ241" s="215"/>
      <c r="BR241" s="224"/>
      <c r="BS241" s="225"/>
      <c r="BT241" s="223"/>
      <c r="BU241" s="215"/>
      <c r="BV241" s="226"/>
      <c r="BW241" s="222" t="str">
        <f t="shared" si="42"/>
        <v/>
      </c>
      <c r="BX241" s="223" t="str">
        <f t="shared" si="43"/>
        <v/>
      </c>
      <c r="BY241" s="215"/>
      <c r="BZ241" s="227"/>
      <c r="CA241" s="227"/>
      <c r="CB241" s="228"/>
      <c r="CC241" s="229"/>
      <c r="CD241" s="230" t="str">
        <f t="shared" si="44"/>
        <v/>
      </c>
      <c r="CE241" s="231" t="str">
        <f t="shared" si="45"/>
        <v/>
      </c>
      <c r="CF241" s="232" t="str">
        <f t="shared" si="46"/>
        <v/>
      </c>
      <c r="CG241" s="233" t="str">
        <f t="shared" si="47"/>
        <v/>
      </c>
      <c r="CH241" s="207" t="str">
        <f>IF(OR(G241="",CC241= ""), "", IF(ISERROR(SMALL((CJ241,CN241,CV241), 1)-CC241), "",  SMALL((CJ241,CN241,CV241), 1)-CC241))</f>
        <v/>
      </c>
      <c r="CI241" s="234"/>
      <c r="CJ241" s="235"/>
      <c r="CK241" s="236"/>
      <c r="CL241" s="222" t="str">
        <f t="shared" si="48"/>
        <v/>
      </c>
      <c r="CM241" s="237" t="str">
        <f>IF(OR(G241="", CJ241="",CK241=""), "", IF(ISERROR(SMALL((CN241,CV241), 1)-CK241), "",  SMALL((CN241,CV241), 1)-CK241))</f>
        <v/>
      </c>
      <c r="CN241" s="235"/>
      <c r="CO241" s="236"/>
      <c r="CP241" s="224" t="str">
        <f t="shared" si="49"/>
        <v/>
      </c>
      <c r="CQ241" s="235"/>
      <c r="CR241" s="236"/>
      <c r="CS241" s="222" t="str">
        <f t="shared" si="50"/>
        <v/>
      </c>
      <c r="CT241" s="237" t="str">
        <f t="shared" si="51"/>
        <v/>
      </c>
      <c r="CU241" s="238"/>
      <c r="CV241" s="239"/>
      <c r="CW241" s="240"/>
    </row>
    <row r="242" spans="2:101" ht="16.5" customHeight="1">
      <c r="B242" s="122"/>
      <c r="E242" s="122"/>
      <c r="F242" s="194"/>
      <c r="G242" s="195"/>
      <c r="H242" s="195"/>
      <c r="I242" s="195"/>
      <c r="J242" s="196"/>
      <c r="K242" s="197"/>
      <c r="L242" s="198"/>
      <c r="M242" s="199"/>
      <c r="N242" s="200"/>
      <c r="O242" s="201"/>
      <c r="P242" s="201"/>
      <c r="Q242" s="201"/>
      <c r="R242" s="201"/>
      <c r="S242" s="201"/>
      <c r="T242" s="201"/>
      <c r="U242" s="201"/>
      <c r="V242" s="201"/>
      <c r="W242" s="201"/>
      <c r="X242" s="202"/>
      <c r="Y242" s="203"/>
      <c r="Z242" s="204"/>
      <c r="AA242" s="205"/>
      <c r="AB242" s="206"/>
      <c r="AC242" s="206"/>
      <c r="AD242" s="194"/>
      <c r="AE242" s="201"/>
      <c r="AF242" s="207"/>
      <c r="AG242" s="208"/>
      <c r="AH242" s="209"/>
      <c r="AI242" s="210"/>
      <c r="AJ242" s="197"/>
      <c r="AK242" s="201"/>
      <c r="AL242" s="196"/>
      <c r="AM242" s="201"/>
      <c r="AN242" s="201"/>
      <c r="AO242" s="201"/>
      <c r="AP242" s="211"/>
      <c r="AQ242" s="212"/>
      <c r="AR242" s="201"/>
      <c r="AS242" s="201"/>
      <c r="AT242" s="201"/>
      <c r="AU242" s="201"/>
      <c r="AV242" s="202"/>
      <c r="AW242" s="194"/>
      <c r="AX242" s="201"/>
      <c r="AY242" s="213"/>
      <c r="AZ242" s="214"/>
      <c r="BA242" s="215"/>
      <c r="BB242" s="216"/>
      <c r="BC242" s="217" t="str">
        <f t="shared" si="39"/>
        <v/>
      </c>
      <c r="BD242" s="218"/>
      <c r="BE242" s="219"/>
      <c r="BF242" s="220"/>
      <c r="BG242" s="219"/>
      <c r="BH242" s="219"/>
      <c r="BI242" s="220"/>
      <c r="BJ242" s="218"/>
      <c r="BK242" s="219"/>
      <c r="BL242" s="197"/>
      <c r="BM242" s="215"/>
      <c r="BN242" s="221"/>
      <c r="BO242" s="222" t="str">
        <f t="shared" si="40"/>
        <v/>
      </c>
      <c r="BP242" s="217" t="str">
        <f t="shared" si="41"/>
        <v/>
      </c>
      <c r="BQ242" s="215"/>
      <c r="BR242" s="224"/>
      <c r="BS242" s="225"/>
      <c r="BT242" s="223"/>
      <c r="BU242" s="215"/>
      <c r="BV242" s="226"/>
      <c r="BW242" s="222" t="str">
        <f t="shared" si="42"/>
        <v/>
      </c>
      <c r="BX242" s="223" t="str">
        <f t="shared" si="43"/>
        <v/>
      </c>
      <c r="BY242" s="215"/>
      <c r="BZ242" s="227"/>
      <c r="CA242" s="227"/>
      <c r="CB242" s="228"/>
      <c r="CC242" s="229"/>
      <c r="CD242" s="230" t="str">
        <f t="shared" si="44"/>
        <v/>
      </c>
      <c r="CE242" s="231" t="str">
        <f t="shared" si="45"/>
        <v/>
      </c>
      <c r="CF242" s="232" t="str">
        <f t="shared" si="46"/>
        <v/>
      </c>
      <c r="CG242" s="233" t="str">
        <f t="shared" si="47"/>
        <v/>
      </c>
      <c r="CH242" s="207" t="str">
        <f>IF(OR(G242="",CC242= ""), "", IF(ISERROR(SMALL((CJ242,CN242,CV242), 1)-CC242), "",  SMALL((CJ242,CN242,CV242), 1)-CC242))</f>
        <v/>
      </c>
      <c r="CI242" s="234"/>
      <c r="CJ242" s="235"/>
      <c r="CK242" s="236"/>
      <c r="CL242" s="222" t="str">
        <f t="shared" si="48"/>
        <v/>
      </c>
      <c r="CM242" s="237" t="str">
        <f>IF(OR(G242="", CJ242="",CK242=""), "", IF(ISERROR(SMALL((CN242,CV242), 1)-CK242), "",  SMALL((CN242,CV242), 1)-CK242))</f>
        <v/>
      </c>
      <c r="CN242" s="235"/>
      <c r="CO242" s="236"/>
      <c r="CP242" s="224" t="str">
        <f t="shared" si="49"/>
        <v/>
      </c>
      <c r="CQ242" s="235"/>
      <c r="CR242" s="236"/>
      <c r="CS242" s="222" t="str">
        <f t="shared" si="50"/>
        <v/>
      </c>
      <c r="CT242" s="237" t="str">
        <f t="shared" si="51"/>
        <v/>
      </c>
      <c r="CU242" s="238"/>
      <c r="CV242" s="239"/>
      <c r="CW242" s="240"/>
    </row>
    <row r="243" spans="2:101" ht="16.5" customHeight="1">
      <c r="B243" s="122"/>
      <c r="E243" s="122"/>
      <c r="F243" s="194"/>
      <c r="G243" s="195"/>
      <c r="H243" s="195"/>
      <c r="I243" s="195"/>
      <c r="J243" s="196"/>
      <c r="K243" s="197"/>
      <c r="L243" s="198"/>
      <c r="M243" s="199"/>
      <c r="N243" s="200"/>
      <c r="O243" s="201"/>
      <c r="P243" s="201"/>
      <c r="Q243" s="201"/>
      <c r="R243" s="201"/>
      <c r="S243" s="201"/>
      <c r="T243" s="201"/>
      <c r="U243" s="201"/>
      <c r="V243" s="201"/>
      <c r="W243" s="201"/>
      <c r="X243" s="202"/>
      <c r="Y243" s="203"/>
      <c r="Z243" s="204"/>
      <c r="AA243" s="205"/>
      <c r="AB243" s="206"/>
      <c r="AC243" s="206"/>
      <c r="AD243" s="194"/>
      <c r="AE243" s="201"/>
      <c r="AF243" s="207"/>
      <c r="AG243" s="208"/>
      <c r="AH243" s="209"/>
      <c r="AI243" s="210"/>
      <c r="AJ243" s="197"/>
      <c r="AK243" s="201"/>
      <c r="AL243" s="196"/>
      <c r="AM243" s="201"/>
      <c r="AN243" s="201"/>
      <c r="AO243" s="201"/>
      <c r="AP243" s="211"/>
      <c r="AQ243" s="212"/>
      <c r="AR243" s="201"/>
      <c r="AS243" s="201"/>
      <c r="AT243" s="201"/>
      <c r="AU243" s="201"/>
      <c r="AV243" s="202"/>
      <c r="AW243" s="194"/>
      <c r="AX243" s="201"/>
      <c r="AY243" s="213"/>
      <c r="AZ243" s="214"/>
      <c r="BA243" s="215"/>
      <c r="BB243" s="216"/>
      <c r="BC243" s="217" t="str">
        <f t="shared" si="39"/>
        <v/>
      </c>
      <c r="BD243" s="218"/>
      <c r="BE243" s="219"/>
      <c r="BF243" s="220"/>
      <c r="BG243" s="219"/>
      <c r="BH243" s="219"/>
      <c r="BI243" s="220"/>
      <c r="BJ243" s="218"/>
      <c r="BK243" s="219"/>
      <c r="BL243" s="197"/>
      <c r="BM243" s="215"/>
      <c r="BN243" s="221"/>
      <c r="BO243" s="222" t="str">
        <f t="shared" si="40"/>
        <v/>
      </c>
      <c r="BP243" s="217" t="str">
        <f t="shared" si="41"/>
        <v/>
      </c>
      <c r="BQ243" s="215"/>
      <c r="BR243" s="224"/>
      <c r="BS243" s="225"/>
      <c r="BT243" s="223"/>
      <c r="BU243" s="215"/>
      <c r="BV243" s="226"/>
      <c r="BW243" s="222" t="str">
        <f t="shared" si="42"/>
        <v/>
      </c>
      <c r="BX243" s="223" t="str">
        <f t="shared" si="43"/>
        <v/>
      </c>
      <c r="BY243" s="215"/>
      <c r="BZ243" s="227"/>
      <c r="CA243" s="227"/>
      <c r="CB243" s="228"/>
      <c r="CC243" s="229"/>
      <c r="CD243" s="230" t="str">
        <f t="shared" si="44"/>
        <v/>
      </c>
      <c r="CE243" s="231" t="str">
        <f t="shared" si="45"/>
        <v/>
      </c>
      <c r="CF243" s="232" t="str">
        <f t="shared" si="46"/>
        <v/>
      </c>
      <c r="CG243" s="233" t="str">
        <f t="shared" si="47"/>
        <v/>
      </c>
      <c r="CH243" s="207" t="str">
        <f>IF(OR(G243="",CC243= ""), "", IF(ISERROR(SMALL((CJ243,CN243,CV243), 1)-CC243), "",  SMALL((CJ243,CN243,CV243), 1)-CC243))</f>
        <v/>
      </c>
      <c r="CI243" s="234"/>
      <c r="CJ243" s="235"/>
      <c r="CK243" s="236"/>
      <c r="CL243" s="222" t="str">
        <f t="shared" si="48"/>
        <v/>
      </c>
      <c r="CM243" s="237" t="str">
        <f>IF(OR(G243="", CJ243="",CK243=""), "", IF(ISERROR(SMALL((CN243,CV243), 1)-CK243), "",  SMALL((CN243,CV243), 1)-CK243))</f>
        <v/>
      </c>
      <c r="CN243" s="235"/>
      <c r="CO243" s="236"/>
      <c r="CP243" s="224" t="str">
        <f t="shared" si="49"/>
        <v/>
      </c>
      <c r="CQ243" s="235"/>
      <c r="CR243" s="236"/>
      <c r="CS243" s="222" t="str">
        <f t="shared" si="50"/>
        <v/>
      </c>
      <c r="CT243" s="237" t="str">
        <f t="shared" si="51"/>
        <v/>
      </c>
      <c r="CU243" s="238"/>
      <c r="CV243" s="239"/>
      <c r="CW243" s="240"/>
    </row>
    <row r="244" spans="2:101" ht="16.5" customHeight="1">
      <c r="B244" s="122"/>
      <c r="E244" s="122"/>
      <c r="F244" s="194"/>
      <c r="G244" s="195"/>
      <c r="H244" s="195"/>
      <c r="I244" s="195"/>
      <c r="J244" s="196"/>
      <c r="K244" s="197"/>
      <c r="L244" s="198"/>
      <c r="M244" s="199"/>
      <c r="N244" s="200"/>
      <c r="O244" s="201"/>
      <c r="P244" s="201"/>
      <c r="Q244" s="201"/>
      <c r="R244" s="201"/>
      <c r="S244" s="201"/>
      <c r="T244" s="201"/>
      <c r="U244" s="201"/>
      <c r="V244" s="201"/>
      <c r="W244" s="201"/>
      <c r="X244" s="202"/>
      <c r="Y244" s="203"/>
      <c r="Z244" s="204"/>
      <c r="AA244" s="205"/>
      <c r="AB244" s="206"/>
      <c r="AC244" s="206"/>
      <c r="AD244" s="194"/>
      <c r="AE244" s="201"/>
      <c r="AF244" s="207"/>
      <c r="AG244" s="208"/>
      <c r="AH244" s="209"/>
      <c r="AI244" s="210"/>
      <c r="AJ244" s="197"/>
      <c r="AK244" s="201"/>
      <c r="AL244" s="196"/>
      <c r="AM244" s="201"/>
      <c r="AN244" s="201"/>
      <c r="AO244" s="201"/>
      <c r="AP244" s="211"/>
      <c r="AQ244" s="212"/>
      <c r="AR244" s="201"/>
      <c r="AS244" s="201"/>
      <c r="AT244" s="201"/>
      <c r="AU244" s="201"/>
      <c r="AV244" s="202"/>
      <c r="AW244" s="194"/>
      <c r="AX244" s="201"/>
      <c r="AY244" s="213"/>
      <c r="AZ244" s="214"/>
      <c r="BA244" s="215"/>
      <c r="BB244" s="216"/>
      <c r="BC244" s="217" t="str">
        <f t="shared" si="39"/>
        <v/>
      </c>
      <c r="BD244" s="218"/>
      <c r="BE244" s="219"/>
      <c r="BF244" s="220"/>
      <c r="BG244" s="219"/>
      <c r="BH244" s="219"/>
      <c r="BI244" s="220"/>
      <c r="BJ244" s="218"/>
      <c r="BK244" s="219"/>
      <c r="BL244" s="197"/>
      <c r="BM244" s="215"/>
      <c r="BN244" s="221"/>
      <c r="BO244" s="222" t="str">
        <f t="shared" si="40"/>
        <v/>
      </c>
      <c r="BP244" s="217" t="str">
        <f t="shared" si="41"/>
        <v/>
      </c>
      <c r="BQ244" s="215"/>
      <c r="BR244" s="224"/>
      <c r="BS244" s="225"/>
      <c r="BT244" s="223"/>
      <c r="BU244" s="215"/>
      <c r="BV244" s="226"/>
      <c r="BW244" s="222" t="str">
        <f t="shared" si="42"/>
        <v/>
      </c>
      <c r="BX244" s="223" t="str">
        <f t="shared" si="43"/>
        <v/>
      </c>
      <c r="BY244" s="215"/>
      <c r="BZ244" s="227"/>
      <c r="CA244" s="227"/>
      <c r="CB244" s="228"/>
      <c r="CC244" s="229"/>
      <c r="CD244" s="230" t="str">
        <f t="shared" si="44"/>
        <v/>
      </c>
      <c r="CE244" s="231" t="str">
        <f t="shared" si="45"/>
        <v/>
      </c>
      <c r="CF244" s="232" t="str">
        <f t="shared" si="46"/>
        <v/>
      </c>
      <c r="CG244" s="233" t="str">
        <f t="shared" si="47"/>
        <v/>
      </c>
      <c r="CH244" s="207" t="str">
        <f>IF(OR(G244="",CC244= ""), "", IF(ISERROR(SMALL((CJ244,CN244,CV244), 1)-CC244), "",  SMALL((CJ244,CN244,CV244), 1)-CC244))</f>
        <v/>
      </c>
      <c r="CI244" s="234"/>
      <c r="CJ244" s="235"/>
      <c r="CK244" s="236"/>
      <c r="CL244" s="222" t="str">
        <f t="shared" si="48"/>
        <v/>
      </c>
      <c r="CM244" s="237" t="str">
        <f>IF(OR(G244="", CJ244="",CK244=""), "", IF(ISERROR(SMALL((CN244,CV244), 1)-CK244), "",  SMALL((CN244,CV244), 1)-CK244))</f>
        <v/>
      </c>
      <c r="CN244" s="235"/>
      <c r="CO244" s="236"/>
      <c r="CP244" s="224" t="str">
        <f t="shared" si="49"/>
        <v/>
      </c>
      <c r="CQ244" s="235"/>
      <c r="CR244" s="236"/>
      <c r="CS244" s="222" t="str">
        <f t="shared" si="50"/>
        <v/>
      </c>
      <c r="CT244" s="237" t="str">
        <f t="shared" si="51"/>
        <v/>
      </c>
      <c r="CU244" s="238"/>
      <c r="CV244" s="239"/>
      <c r="CW244" s="240"/>
    </row>
    <row r="245" spans="2:101" ht="16.5" customHeight="1">
      <c r="B245" s="122"/>
      <c r="E245" s="122"/>
      <c r="F245" s="194"/>
      <c r="G245" s="195"/>
      <c r="H245" s="195"/>
      <c r="I245" s="195"/>
      <c r="J245" s="196"/>
      <c r="K245" s="197"/>
      <c r="L245" s="198"/>
      <c r="M245" s="199"/>
      <c r="N245" s="200"/>
      <c r="O245" s="201"/>
      <c r="P245" s="201"/>
      <c r="Q245" s="201"/>
      <c r="R245" s="201"/>
      <c r="S245" s="201"/>
      <c r="T245" s="201"/>
      <c r="U245" s="201"/>
      <c r="V245" s="201"/>
      <c r="W245" s="201"/>
      <c r="X245" s="202"/>
      <c r="Y245" s="203"/>
      <c r="Z245" s="204"/>
      <c r="AA245" s="205"/>
      <c r="AB245" s="206"/>
      <c r="AC245" s="206"/>
      <c r="AD245" s="194"/>
      <c r="AE245" s="201"/>
      <c r="AF245" s="207"/>
      <c r="AG245" s="208"/>
      <c r="AH245" s="209"/>
      <c r="AI245" s="210"/>
      <c r="AJ245" s="197"/>
      <c r="AK245" s="201"/>
      <c r="AL245" s="196"/>
      <c r="AM245" s="201"/>
      <c r="AN245" s="201"/>
      <c r="AO245" s="201"/>
      <c r="AP245" s="211"/>
      <c r="AQ245" s="212"/>
      <c r="AR245" s="201"/>
      <c r="AS245" s="201"/>
      <c r="AT245" s="201"/>
      <c r="AU245" s="201"/>
      <c r="AV245" s="202"/>
      <c r="AW245" s="194"/>
      <c r="AX245" s="201"/>
      <c r="AY245" s="213"/>
      <c r="AZ245" s="214"/>
      <c r="BA245" s="215"/>
      <c r="BB245" s="216"/>
      <c r="BC245" s="217" t="str">
        <f t="shared" si="39"/>
        <v/>
      </c>
      <c r="BD245" s="218"/>
      <c r="BE245" s="219"/>
      <c r="BF245" s="220"/>
      <c r="BG245" s="219"/>
      <c r="BH245" s="219"/>
      <c r="BI245" s="220"/>
      <c r="BJ245" s="218"/>
      <c r="BK245" s="219"/>
      <c r="BL245" s="197"/>
      <c r="BM245" s="215"/>
      <c r="BN245" s="221"/>
      <c r="BO245" s="222" t="str">
        <f t="shared" si="40"/>
        <v/>
      </c>
      <c r="BP245" s="217" t="str">
        <f t="shared" si="41"/>
        <v/>
      </c>
      <c r="BQ245" s="215"/>
      <c r="BR245" s="224"/>
      <c r="BS245" s="225"/>
      <c r="BT245" s="223"/>
      <c r="BU245" s="215"/>
      <c r="BV245" s="226"/>
      <c r="BW245" s="222" t="str">
        <f t="shared" si="42"/>
        <v/>
      </c>
      <c r="BX245" s="223" t="str">
        <f t="shared" si="43"/>
        <v/>
      </c>
      <c r="BY245" s="215"/>
      <c r="BZ245" s="227"/>
      <c r="CA245" s="227"/>
      <c r="CB245" s="228"/>
      <c r="CC245" s="229"/>
      <c r="CD245" s="230" t="str">
        <f t="shared" si="44"/>
        <v/>
      </c>
      <c r="CE245" s="231" t="str">
        <f t="shared" si="45"/>
        <v/>
      </c>
      <c r="CF245" s="232" t="str">
        <f t="shared" si="46"/>
        <v/>
      </c>
      <c r="CG245" s="233" t="str">
        <f t="shared" si="47"/>
        <v/>
      </c>
      <c r="CH245" s="207" t="str">
        <f>IF(OR(G245="",CC245= ""), "", IF(ISERROR(SMALL((CJ245,CN245,CV245), 1)-CC245), "",  SMALL((CJ245,CN245,CV245), 1)-CC245))</f>
        <v/>
      </c>
      <c r="CI245" s="234"/>
      <c r="CJ245" s="235"/>
      <c r="CK245" s="236"/>
      <c r="CL245" s="222" t="str">
        <f t="shared" si="48"/>
        <v/>
      </c>
      <c r="CM245" s="237" t="str">
        <f>IF(OR(G245="", CJ245="",CK245=""), "", IF(ISERROR(SMALL((CN245,CV245), 1)-CK245), "",  SMALL((CN245,CV245), 1)-CK245))</f>
        <v/>
      </c>
      <c r="CN245" s="235"/>
      <c r="CO245" s="236"/>
      <c r="CP245" s="224" t="str">
        <f t="shared" si="49"/>
        <v/>
      </c>
      <c r="CQ245" s="235"/>
      <c r="CR245" s="236"/>
      <c r="CS245" s="222" t="str">
        <f t="shared" si="50"/>
        <v/>
      </c>
      <c r="CT245" s="237" t="str">
        <f t="shared" si="51"/>
        <v/>
      </c>
      <c r="CU245" s="238"/>
      <c r="CV245" s="239"/>
      <c r="CW245" s="240"/>
    </row>
    <row r="246" spans="2:101" ht="16.5" customHeight="1">
      <c r="B246" s="122"/>
      <c r="E246" s="122"/>
      <c r="F246" s="194"/>
      <c r="G246" s="195"/>
      <c r="H246" s="195"/>
      <c r="I246" s="195"/>
      <c r="J246" s="196"/>
      <c r="K246" s="197"/>
      <c r="L246" s="198"/>
      <c r="M246" s="199"/>
      <c r="N246" s="200"/>
      <c r="O246" s="201"/>
      <c r="P246" s="201"/>
      <c r="Q246" s="201"/>
      <c r="R246" s="201"/>
      <c r="S246" s="201"/>
      <c r="T246" s="201"/>
      <c r="U246" s="201"/>
      <c r="V246" s="201"/>
      <c r="W246" s="201"/>
      <c r="X246" s="202"/>
      <c r="Y246" s="203"/>
      <c r="Z246" s="204"/>
      <c r="AA246" s="205"/>
      <c r="AB246" s="206"/>
      <c r="AC246" s="206"/>
      <c r="AD246" s="194"/>
      <c r="AE246" s="201"/>
      <c r="AF246" s="207"/>
      <c r="AG246" s="208"/>
      <c r="AH246" s="209"/>
      <c r="AI246" s="210"/>
      <c r="AJ246" s="197"/>
      <c r="AK246" s="201"/>
      <c r="AL246" s="196"/>
      <c r="AM246" s="201"/>
      <c r="AN246" s="201"/>
      <c r="AO246" s="201"/>
      <c r="AP246" s="211"/>
      <c r="AQ246" s="212"/>
      <c r="AR246" s="201"/>
      <c r="AS246" s="201"/>
      <c r="AT246" s="201"/>
      <c r="AU246" s="201"/>
      <c r="AV246" s="202"/>
      <c r="AW246" s="194"/>
      <c r="AX246" s="201"/>
      <c r="AY246" s="213"/>
      <c r="AZ246" s="214"/>
      <c r="BA246" s="215"/>
      <c r="BB246" s="216"/>
      <c r="BC246" s="217" t="str">
        <f t="shared" si="39"/>
        <v/>
      </c>
      <c r="BD246" s="218"/>
      <c r="BE246" s="219"/>
      <c r="BF246" s="220"/>
      <c r="BG246" s="219"/>
      <c r="BH246" s="219"/>
      <c r="BI246" s="220"/>
      <c r="BJ246" s="218"/>
      <c r="BK246" s="219"/>
      <c r="BL246" s="197"/>
      <c r="BM246" s="215"/>
      <c r="BN246" s="221"/>
      <c r="BO246" s="222" t="str">
        <f t="shared" si="40"/>
        <v/>
      </c>
      <c r="BP246" s="217" t="str">
        <f t="shared" si="41"/>
        <v/>
      </c>
      <c r="BQ246" s="215"/>
      <c r="BR246" s="224"/>
      <c r="BS246" s="225"/>
      <c r="BT246" s="223"/>
      <c r="BU246" s="215"/>
      <c r="BV246" s="226"/>
      <c r="BW246" s="222" t="str">
        <f t="shared" si="42"/>
        <v/>
      </c>
      <c r="BX246" s="223" t="str">
        <f t="shared" si="43"/>
        <v/>
      </c>
      <c r="BY246" s="215"/>
      <c r="BZ246" s="227"/>
      <c r="CA246" s="227"/>
      <c r="CB246" s="228"/>
      <c r="CC246" s="229"/>
      <c r="CD246" s="230" t="str">
        <f t="shared" si="44"/>
        <v/>
      </c>
      <c r="CE246" s="231" t="str">
        <f t="shared" si="45"/>
        <v/>
      </c>
      <c r="CF246" s="232" t="str">
        <f t="shared" si="46"/>
        <v/>
      </c>
      <c r="CG246" s="233" t="str">
        <f t="shared" si="47"/>
        <v/>
      </c>
      <c r="CH246" s="207" t="str">
        <f>IF(OR(G246="",CC246= ""), "", IF(ISERROR(SMALL((CJ246,CN246,CV246), 1)-CC246), "",  SMALL((CJ246,CN246,CV246), 1)-CC246))</f>
        <v/>
      </c>
      <c r="CI246" s="234"/>
      <c r="CJ246" s="235"/>
      <c r="CK246" s="236"/>
      <c r="CL246" s="222" t="str">
        <f t="shared" si="48"/>
        <v/>
      </c>
      <c r="CM246" s="237" t="str">
        <f>IF(OR(G246="", CJ246="",CK246=""), "", IF(ISERROR(SMALL((CN246,CV246), 1)-CK246), "",  SMALL((CN246,CV246), 1)-CK246))</f>
        <v/>
      </c>
      <c r="CN246" s="235"/>
      <c r="CO246" s="236"/>
      <c r="CP246" s="224" t="str">
        <f t="shared" si="49"/>
        <v/>
      </c>
      <c r="CQ246" s="235"/>
      <c r="CR246" s="236"/>
      <c r="CS246" s="222" t="str">
        <f t="shared" si="50"/>
        <v/>
      </c>
      <c r="CT246" s="237" t="str">
        <f t="shared" si="51"/>
        <v/>
      </c>
      <c r="CU246" s="238"/>
      <c r="CV246" s="239"/>
      <c r="CW246" s="240"/>
    </row>
    <row r="247" spans="2:101" ht="16.5" customHeight="1">
      <c r="B247" s="122"/>
      <c r="E247" s="122"/>
      <c r="F247" s="194"/>
      <c r="G247" s="195"/>
      <c r="H247" s="195"/>
      <c r="I247" s="195"/>
      <c r="J247" s="196"/>
      <c r="K247" s="197"/>
      <c r="L247" s="198"/>
      <c r="M247" s="199"/>
      <c r="N247" s="200"/>
      <c r="O247" s="201"/>
      <c r="P247" s="201"/>
      <c r="Q247" s="201"/>
      <c r="R247" s="201"/>
      <c r="S247" s="201"/>
      <c r="T247" s="201"/>
      <c r="U247" s="201"/>
      <c r="V247" s="201"/>
      <c r="W247" s="201"/>
      <c r="X247" s="202"/>
      <c r="Y247" s="203"/>
      <c r="Z247" s="204"/>
      <c r="AA247" s="205"/>
      <c r="AB247" s="206"/>
      <c r="AC247" s="206"/>
      <c r="AD247" s="194"/>
      <c r="AE247" s="201"/>
      <c r="AF247" s="207"/>
      <c r="AG247" s="208"/>
      <c r="AH247" s="209"/>
      <c r="AI247" s="210"/>
      <c r="AJ247" s="197"/>
      <c r="AK247" s="201"/>
      <c r="AL247" s="196"/>
      <c r="AM247" s="201"/>
      <c r="AN247" s="201"/>
      <c r="AO247" s="201"/>
      <c r="AP247" s="211"/>
      <c r="AQ247" s="212"/>
      <c r="AR247" s="201"/>
      <c r="AS247" s="201"/>
      <c r="AT247" s="201"/>
      <c r="AU247" s="201"/>
      <c r="AV247" s="202"/>
      <c r="AW247" s="194"/>
      <c r="AX247" s="201"/>
      <c r="AY247" s="213"/>
      <c r="AZ247" s="214"/>
      <c r="BA247" s="215"/>
      <c r="BB247" s="216"/>
      <c r="BC247" s="217" t="str">
        <f t="shared" si="39"/>
        <v/>
      </c>
      <c r="BD247" s="218"/>
      <c r="BE247" s="219"/>
      <c r="BF247" s="220"/>
      <c r="BG247" s="219"/>
      <c r="BH247" s="219"/>
      <c r="BI247" s="220"/>
      <c r="BJ247" s="218"/>
      <c r="BK247" s="219"/>
      <c r="BL247" s="197"/>
      <c r="BM247" s="215"/>
      <c r="BN247" s="221"/>
      <c r="BO247" s="222" t="str">
        <f t="shared" si="40"/>
        <v/>
      </c>
      <c r="BP247" s="217" t="str">
        <f t="shared" si="41"/>
        <v/>
      </c>
      <c r="BQ247" s="215"/>
      <c r="BR247" s="224"/>
      <c r="BS247" s="225"/>
      <c r="BT247" s="223"/>
      <c r="BU247" s="215"/>
      <c r="BV247" s="226"/>
      <c r="BW247" s="222" t="str">
        <f t="shared" si="42"/>
        <v/>
      </c>
      <c r="BX247" s="223" t="str">
        <f t="shared" si="43"/>
        <v/>
      </c>
      <c r="BY247" s="215"/>
      <c r="BZ247" s="227"/>
      <c r="CA247" s="227"/>
      <c r="CB247" s="228"/>
      <c r="CC247" s="229"/>
      <c r="CD247" s="230" t="str">
        <f t="shared" si="44"/>
        <v/>
      </c>
      <c r="CE247" s="231" t="str">
        <f t="shared" si="45"/>
        <v/>
      </c>
      <c r="CF247" s="232" t="str">
        <f t="shared" si="46"/>
        <v/>
      </c>
      <c r="CG247" s="233" t="str">
        <f t="shared" si="47"/>
        <v/>
      </c>
      <c r="CH247" s="207" t="str">
        <f>IF(OR(G247="",CC247= ""), "", IF(ISERROR(SMALL((CJ247,CN247,CV247), 1)-CC247), "",  SMALL((CJ247,CN247,CV247), 1)-CC247))</f>
        <v/>
      </c>
      <c r="CI247" s="234"/>
      <c r="CJ247" s="235"/>
      <c r="CK247" s="236"/>
      <c r="CL247" s="222" t="str">
        <f t="shared" si="48"/>
        <v/>
      </c>
      <c r="CM247" s="237" t="str">
        <f>IF(OR(G247="", CJ247="",CK247=""), "", IF(ISERROR(SMALL((CN247,CV247), 1)-CK247), "",  SMALL((CN247,CV247), 1)-CK247))</f>
        <v/>
      </c>
      <c r="CN247" s="235"/>
      <c r="CO247" s="236"/>
      <c r="CP247" s="224" t="str">
        <f t="shared" si="49"/>
        <v/>
      </c>
      <c r="CQ247" s="235"/>
      <c r="CR247" s="236"/>
      <c r="CS247" s="222" t="str">
        <f t="shared" si="50"/>
        <v/>
      </c>
      <c r="CT247" s="237" t="str">
        <f t="shared" si="51"/>
        <v/>
      </c>
      <c r="CU247" s="238"/>
      <c r="CV247" s="239"/>
      <c r="CW247" s="240"/>
    </row>
    <row r="248" spans="2:101" ht="16.5" customHeight="1">
      <c r="B248" s="122"/>
      <c r="E248" s="122"/>
      <c r="F248" s="194"/>
      <c r="G248" s="195"/>
      <c r="H248" s="195"/>
      <c r="I248" s="195"/>
      <c r="J248" s="196"/>
      <c r="K248" s="197"/>
      <c r="L248" s="198"/>
      <c r="M248" s="199"/>
      <c r="N248" s="200"/>
      <c r="O248" s="201"/>
      <c r="P248" s="201"/>
      <c r="Q248" s="201"/>
      <c r="R248" s="201"/>
      <c r="S248" s="201"/>
      <c r="T248" s="201"/>
      <c r="U248" s="201"/>
      <c r="V248" s="201"/>
      <c r="W248" s="201"/>
      <c r="X248" s="202"/>
      <c r="Y248" s="203"/>
      <c r="Z248" s="204"/>
      <c r="AA248" s="205"/>
      <c r="AB248" s="206"/>
      <c r="AC248" s="206"/>
      <c r="AD248" s="194"/>
      <c r="AE248" s="201"/>
      <c r="AF248" s="207"/>
      <c r="AG248" s="208"/>
      <c r="AH248" s="209"/>
      <c r="AI248" s="210"/>
      <c r="AJ248" s="197"/>
      <c r="AK248" s="201"/>
      <c r="AL248" s="196"/>
      <c r="AM248" s="201"/>
      <c r="AN248" s="201"/>
      <c r="AO248" s="201"/>
      <c r="AP248" s="211"/>
      <c r="AQ248" s="212"/>
      <c r="AR248" s="201"/>
      <c r="AS248" s="201"/>
      <c r="AT248" s="201"/>
      <c r="AU248" s="201"/>
      <c r="AV248" s="202"/>
      <c r="AW248" s="194"/>
      <c r="AX248" s="201"/>
      <c r="AY248" s="213"/>
      <c r="AZ248" s="214"/>
      <c r="BA248" s="215"/>
      <c r="BB248" s="216"/>
      <c r="BC248" s="217" t="str">
        <f t="shared" si="39"/>
        <v/>
      </c>
      <c r="BD248" s="218"/>
      <c r="BE248" s="219"/>
      <c r="BF248" s="220"/>
      <c r="BG248" s="219"/>
      <c r="BH248" s="219"/>
      <c r="BI248" s="220"/>
      <c r="BJ248" s="218"/>
      <c r="BK248" s="219"/>
      <c r="BL248" s="197"/>
      <c r="BM248" s="215"/>
      <c r="BN248" s="221"/>
      <c r="BO248" s="222" t="str">
        <f t="shared" si="40"/>
        <v/>
      </c>
      <c r="BP248" s="217" t="str">
        <f t="shared" si="41"/>
        <v/>
      </c>
      <c r="BQ248" s="215"/>
      <c r="BR248" s="224"/>
      <c r="BS248" s="225"/>
      <c r="BT248" s="223"/>
      <c r="BU248" s="215"/>
      <c r="BV248" s="226"/>
      <c r="BW248" s="222" t="str">
        <f t="shared" si="42"/>
        <v/>
      </c>
      <c r="BX248" s="223" t="str">
        <f t="shared" si="43"/>
        <v/>
      </c>
      <c r="BY248" s="215"/>
      <c r="BZ248" s="227"/>
      <c r="CA248" s="227"/>
      <c r="CB248" s="228"/>
      <c r="CC248" s="229"/>
      <c r="CD248" s="230" t="str">
        <f t="shared" si="44"/>
        <v/>
      </c>
      <c r="CE248" s="231" t="str">
        <f t="shared" si="45"/>
        <v/>
      </c>
      <c r="CF248" s="232" t="str">
        <f t="shared" si="46"/>
        <v/>
      </c>
      <c r="CG248" s="233" t="str">
        <f t="shared" si="47"/>
        <v/>
      </c>
      <c r="CH248" s="207" t="str">
        <f>IF(OR(G248="",CC248= ""), "", IF(ISERROR(SMALL((CJ248,CN248,CV248), 1)-CC248), "",  SMALL((CJ248,CN248,CV248), 1)-CC248))</f>
        <v/>
      </c>
      <c r="CI248" s="234"/>
      <c r="CJ248" s="235"/>
      <c r="CK248" s="236"/>
      <c r="CL248" s="222" t="str">
        <f t="shared" si="48"/>
        <v/>
      </c>
      <c r="CM248" s="237" t="str">
        <f>IF(OR(G248="", CJ248="",CK248=""), "", IF(ISERROR(SMALL((CN248,CV248), 1)-CK248), "",  SMALL((CN248,CV248), 1)-CK248))</f>
        <v/>
      </c>
      <c r="CN248" s="235"/>
      <c r="CO248" s="236"/>
      <c r="CP248" s="224" t="str">
        <f t="shared" si="49"/>
        <v/>
      </c>
      <c r="CQ248" s="235"/>
      <c r="CR248" s="236"/>
      <c r="CS248" s="222" t="str">
        <f t="shared" si="50"/>
        <v/>
      </c>
      <c r="CT248" s="237" t="str">
        <f t="shared" si="51"/>
        <v/>
      </c>
      <c r="CU248" s="238"/>
      <c r="CV248" s="239"/>
      <c r="CW248" s="240"/>
    </row>
    <row r="249" spans="2:101" ht="16.5" customHeight="1">
      <c r="B249" s="122"/>
      <c r="E249" s="122"/>
      <c r="F249" s="194"/>
      <c r="G249" s="195"/>
      <c r="H249" s="195"/>
      <c r="I249" s="195"/>
      <c r="J249" s="196"/>
      <c r="K249" s="197"/>
      <c r="L249" s="198"/>
      <c r="M249" s="199"/>
      <c r="N249" s="200"/>
      <c r="O249" s="201"/>
      <c r="P249" s="201"/>
      <c r="Q249" s="201"/>
      <c r="R249" s="201"/>
      <c r="S249" s="201"/>
      <c r="T249" s="201"/>
      <c r="U249" s="201"/>
      <c r="V249" s="201"/>
      <c r="W249" s="201"/>
      <c r="X249" s="202"/>
      <c r="Y249" s="203"/>
      <c r="Z249" s="204"/>
      <c r="AA249" s="205"/>
      <c r="AB249" s="206"/>
      <c r="AC249" s="206"/>
      <c r="AD249" s="194"/>
      <c r="AE249" s="201"/>
      <c r="AF249" s="207"/>
      <c r="AG249" s="208"/>
      <c r="AH249" s="209"/>
      <c r="AI249" s="210"/>
      <c r="AJ249" s="197"/>
      <c r="AK249" s="201"/>
      <c r="AL249" s="196"/>
      <c r="AM249" s="201"/>
      <c r="AN249" s="201"/>
      <c r="AO249" s="201"/>
      <c r="AP249" s="211"/>
      <c r="AQ249" s="212"/>
      <c r="AR249" s="201"/>
      <c r="AS249" s="201"/>
      <c r="AT249" s="201"/>
      <c r="AU249" s="201"/>
      <c r="AV249" s="202"/>
      <c r="AW249" s="194"/>
      <c r="AX249" s="201"/>
      <c r="AY249" s="213"/>
      <c r="AZ249" s="214"/>
      <c r="BA249" s="215"/>
      <c r="BB249" s="216"/>
      <c r="BC249" s="217" t="str">
        <f t="shared" si="39"/>
        <v/>
      </c>
      <c r="BD249" s="218"/>
      <c r="BE249" s="219"/>
      <c r="BF249" s="220"/>
      <c r="BG249" s="219"/>
      <c r="BH249" s="219"/>
      <c r="BI249" s="220"/>
      <c r="BJ249" s="218"/>
      <c r="BK249" s="219"/>
      <c r="BL249" s="197"/>
      <c r="BM249" s="215"/>
      <c r="BN249" s="221"/>
      <c r="BO249" s="222" t="str">
        <f t="shared" si="40"/>
        <v/>
      </c>
      <c r="BP249" s="217" t="str">
        <f t="shared" si="41"/>
        <v/>
      </c>
      <c r="BQ249" s="215"/>
      <c r="BR249" s="224"/>
      <c r="BS249" s="225"/>
      <c r="BT249" s="223"/>
      <c r="BU249" s="215"/>
      <c r="BV249" s="226"/>
      <c r="BW249" s="222" t="str">
        <f t="shared" si="42"/>
        <v/>
      </c>
      <c r="BX249" s="223" t="str">
        <f t="shared" si="43"/>
        <v/>
      </c>
      <c r="BY249" s="215"/>
      <c r="BZ249" s="227"/>
      <c r="CA249" s="227"/>
      <c r="CB249" s="228"/>
      <c r="CC249" s="229"/>
      <c r="CD249" s="230" t="str">
        <f t="shared" si="44"/>
        <v/>
      </c>
      <c r="CE249" s="231" t="str">
        <f t="shared" si="45"/>
        <v/>
      </c>
      <c r="CF249" s="232" t="str">
        <f t="shared" si="46"/>
        <v/>
      </c>
      <c r="CG249" s="233" t="str">
        <f t="shared" si="47"/>
        <v/>
      </c>
      <c r="CH249" s="207" t="str">
        <f>IF(OR(G249="",CC249= ""), "", IF(ISERROR(SMALL((CJ249,CN249,CV249), 1)-CC249), "",  SMALL((CJ249,CN249,CV249), 1)-CC249))</f>
        <v/>
      </c>
      <c r="CI249" s="234"/>
      <c r="CJ249" s="235"/>
      <c r="CK249" s="236"/>
      <c r="CL249" s="222" t="str">
        <f t="shared" si="48"/>
        <v/>
      </c>
      <c r="CM249" s="237" t="str">
        <f>IF(OR(G249="", CJ249="",CK249=""), "", IF(ISERROR(SMALL((CN249,CV249), 1)-CK249), "",  SMALL((CN249,CV249), 1)-CK249))</f>
        <v/>
      </c>
      <c r="CN249" s="235"/>
      <c r="CO249" s="236"/>
      <c r="CP249" s="224" t="str">
        <f t="shared" si="49"/>
        <v/>
      </c>
      <c r="CQ249" s="235"/>
      <c r="CR249" s="236"/>
      <c r="CS249" s="222" t="str">
        <f t="shared" si="50"/>
        <v/>
      </c>
      <c r="CT249" s="237" t="str">
        <f t="shared" si="51"/>
        <v/>
      </c>
      <c r="CU249" s="238"/>
      <c r="CV249" s="239"/>
      <c r="CW249" s="240"/>
    </row>
    <row r="250" spans="2:101" ht="16.5" customHeight="1">
      <c r="B250" s="122"/>
      <c r="E250" s="122"/>
      <c r="F250" s="194"/>
      <c r="G250" s="195"/>
      <c r="H250" s="195"/>
      <c r="I250" s="195"/>
      <c r="J250" s="196"/>
      <c r="K250" s="197"/>
      <c r="L250" s="198"/>
      <c r="M250" s="199"/>
      <c r="N250" s="200"/>
      <c r="O250" s="201"/>
      <c r="P250" s="201"/>
      <c r="Q250" s="201"/>
      <c r="R250" s="201"/>
      <c r="S250" s="201"/>
      <c r="T250" s="201"/>
      <c r="U250" s="201"/>
      <c r="V250" s="201"/>
      <c r="W250" s="201"/>
      <c r="X250" s="202"/>
      <c r="Y250" s="203"/>
      <c r="Z250" s="204"/>
      <c r="AA250" s="205"/>
      <c r="AB250" s="206"/>
      <c r="AC250" s="206"/>
      <c r="AD250" s="194"/>
      <c r="AE250" s="201"/>
      <c r="AF250" s="207"/>
      <c r="AG250" s="208"/>
      <c r="AH250" s="209"/>
      <c r="AI250" s="210"/>
      <c r="AJ250" s="197"/>
      <c r="AK250" s="201"/>
      <c r="AL250" s="196"/>
      <c r="AM250" s="201"/>
      <c r="AN250" s="201"/>
      <c r="AO250" s="201"/>
      <c r="AP250" s="211"/>
      <c r="AQ250" s="212"/>
      <c r="AR250" s="201"/>
      <c r="AS250" s="201"/>
      <c r="AT250" s="201"/>
      <c r="AU250" s="201"/>
      <c r="AV250" s="202"/>
      <c r="AW250" s="194"/>
      <c r="AX250" s="201"/>
      <c r="AY250" s="213"/>
      <c r="AZ250" s="214"/>
      <c r="BA250" s="215"/>
      <c r="BB250" s="216"/>
      <c r="BC250" s="217" t="str">
        <f t="shared" si="39"/>
        <v/>
      </c>
      <c r="BD250" s="218"/>
      <c r="BE250" s="219"/>
      <c r="BF250" s="220"/>
      <c r="BG250" s="219"/>
      <c r="BH250" s="219"/>
      <c r="BI250" s="220"/>
      <c r="BJ250" s="218"/>
      <c r="BK250" s="219"/>
      <c r="BL250" s="197"/>
      <c r="BM250" s="215"/>
      <c r="BN250" s="221"/>
      <c r="BO250" s="222" t="str">
        <f t="shared" si="40"/>
        <v/>
      </c>
      <c r="BP250" s="217" t="str">
        <f t="shared" si="41"/>
        <v/>
      </c>
      <c r="BQ250" s="215"/>
      <c r="BR250" s="224"/>
      <c r="BS250" s="225"/>
      <c r="BT250" s="223"/>
      <c r="BU250" s="215"/>
      <c r="BV250" s="226"/>
      <c r="BW250" s="222" t="str">
        <f t="shared" si="42"/>
        <v/>
      </c>
      <c r="BX250" s="223" t="str">
        <f t="shared" si="43"/>
        <v/>
      </c>
      <c r="BY250" s="215"/>
      <c r="BZ250" s="227"/>
      <c r="CA250" s="227"/>
      <c r="CB250" s="228"/>
      <c r="CC250" s="229"/>
      <c r="CD250" s="230" t="str">
        <f t="shared" si="44"/>
        <v/>
      </c>
      <c r="CE250" s="231" t="str">
        <f t="shared" si="45"/>
        <v/>
      </c>
      <c r="CF250" s="232" t="str">
        <f t="shared" si="46"/>
        <v/>
      </c>
      <c r="CG250" s="233" t="str">
        <f t="shared" si="47"/>
        <v/>
      </c>
      <c r="CH250" s="207" t="str">
        <f>IF(OR(G250="",CC250= ""), "", IF(ISERROR(SMALL((CJ250,CN250,CV250), 1)-CC250), "",  SMALL((CJ250,CN250,CV250), 1)-CC250))</f>
        <v/>
      </c>
      <c r="CI250" s="234"/>
      <c r="CJ250" s="235"/>
      <c r="CK250" s="236"/>
      <c r="CL250" s="222" t="str">
        <f t="shared" si="48"/>
        <v/>
      </c>
      <c r="CM250" s="237" t="str">
        <f>IF(OR(G250="", CJ250="",CK250=""), "", IF(ISERROR(SMALL((CN250,CV250), 1)-CK250), "",  SMALL((CN250,CV250), 1)-CK250))</f>
        <v/>
      </c>
      <c r="CN250" s="235"/>
      <c r="CO250" s="236"/>
      <c r="CP250" s="224" t="str">
        <f t="shared" si="49"/>
        <v/>
      </c>
      <c r="CQ250" s="235"/>
      <c r="CR250" s="236"/>
      <c r="CS250" s="222" t="str">
        <f t="shared" si="50"/>
        <v/>
      </c>
      <c r="CT250" s="237" t="str">
        <f t="shared" si="51"/>
        <v/>
      </c>
      <c r="CU250" s="238"/>
      <c r="CV250" s="239"/>
      <c r="CW250" s="240"/>
    </row>
    <row r="251" spans="2:101" ht="16.5" customHeight="1">
      <c r="B251" s="122"/>
      <c r="E251" s="122"/>
      <c r="F251" s="194"/>
      <c r="G251" s="195"/>
      <c r="H251" s="195"/>
      <c r="I251" s="195"/>
      <c r="J251" s="196"/>
      <c r="K251" s="197"/>
      <c r="L251" s="198"/>
      <c r="M251" s="199"/>
      <c r="N251" s="200"/>
      <c r="O251" s="201"/>
      <c r="P251" s="201"/>
      <c r="Q251" s="201"/>
      <c r="R251" s="201"/>
      <c r="S251" s="201"/>
      <c r="T251" s="201"/>
      <c r="U251" s="201"/>
      <c r="V251" s="201"/>
      <c r="W251" s="201"/>
      <c r="X251" s="202"/>
      <c r="Y251" s="203"/>
      <c r="Z251" s="204"/>
      <c r="AA251" s="205"/>
      <c r="AB251" s="206"/>
      <c r="AC251" s="206"/>
      <c r="AD251" s="194"/>
      <c r="AE251" s="201"/>
      <c r="AF251" s="207"/>
      <c r="AG251" s="208"/>
      <c r="AH251" s="209"/>
      <c r="AI251" s="210"/>
      <c r="AJ251" s="197"/>
      <c r="AK251" s="201"/>
      <c r="AL251" s="196"/>
      <c r="AM251" s="201"/>
      <c r="AN251" s="201"/>
      <c r="AO251" s="201"/>
      <c r="AP251" s="211"/>
      <c r="AQ251" s="212"/>
      <c r="AR251" s="201"/>
      <c r="AS251" s="201"/>
      <c r="AT251" s="201"/>
      <c r="AU251" s="201"/>
      <c r="AV251" s="202"/>
      <c r="AW251" s="194"/>
      <c r="AX251" s="201"/>
      <c r="AY251" s="213"/>
      <c r="AZ251" s="214"/>
      <c r="BA251" s="215"/>
      <c r="BB251" s="216"/>
      <c r="BC251" s="217" t="str">
        <f t="shared" si="39"/>
        <v/>
      </c>
      <c r="BD251" s="218"/>
      <c r="BE251" s="219"/>
      <c r="BF251" s="220"/>
      <c r="BG251" s="219"/>
      <c r="BH251" s="219"/>
      <c r="BI251" s="220"/>
      <c r="BJ251" s="218"/>
      <c r="BK251" s="219"/>
      <c r="BL251" s="197"/>
      <c r="BM251" s="215"/>
      <c r="BN251" s="221"/>
      <c r="BO251" s="222" t="str">
        <f t="shared" si="40"/>
        <v/>
      </c>
      <c r="BP251" s="217" t="str">
        <f t="shared" si="41"/>
        <v/>
      </c>
      <c r="BQ251" s="215"/>
      <c r="BR251" s="224"/>
      <c r="BS251" s="225"/>
      <c r="BT251" s="223"/>
      <c r="BU251" s="215"/>
      <c r="BV251" s="226"/>
      <c r="BW251" s="222" t="str">
        <f t="shared" si="42"/>
        <v/>
      </c>
      <c r="BX251" s="223" t="str">
        <f t="shared" si="43"/>
        <v/>
      </c>
      <c r="BY251" s="215"/>
      <c r="BZ251" s="227"/>
      <c r="CA251" s="227"/>
      <c r="CB251" s="228"/>
      <c r="CC251" s="229"/>
      <c r="CD251" s="230" t="str">
        <f t="shared" si="44"/>
        <v/>
      </c>
      <c r="CE251" s="231" t="str">
        <f t="shared" si="45"/>
        <v/>
      </c>
      <c r="CF251" s="232" t="str">
        <f t="shared" si="46"/>
        <v/>
      </c>
      <c r="CG251" s="233" t="str">
        <f t="shared" si="47"/>
        <v/>
      </c>
      <c r="CH251" s="207" t="str">
        <f>IF(OR(G251="",CC251= ""), "", IF(ISERROR(SMALL((CJ251,CN251,CV251), 1)-CC251), "",  SMALL((CJ251,CN251,CV251), 1)-CC251))</f>
        <v/>
      </c>
      <c r="CI251" s="234"/>
      <c r="CJ251" s="235"/>
      <c r="CK251" s="236"/>
      <c r="CL251" s="222" t="str">
        <f t="shared" si="48"/>
        <v/>
      </c>
      <c r="CM251" s="237" t="str">
        <f>IF(OR(G251="", CJ251="",CK251=""), "", IF(ISERROR(SMALL((CN251,CV251), 1)-CK251), "",  SMALL((CN251,CV251), 1)-CK251))</f>
        <v/>
      </c>
      <c r="CN251" s="235"/>
      <c r="CO251" s="236"/>
      <c r="CP251" s="224" t="str">
        <f t="shared" si="49"/>
        <v/>
      </c>
      <c r="CQ251" s="235"/>
      <c r="CR251" s="236"/>
      <c r="CS251" s="222" t="str">
        <f t="shared" si="50"/>
        <v/>
      </c>
      <c r="CT251" s="237" t="str">
        <f t="shared" si="51"/>
        <v/>
      </c>
      <c r="CU251" s="238"/>
      <c r="CV251" s="239"/>
      <c r="CW251" s="240"/>
    </row>
    <row r="252" spans="2:101" ht="16.5" customHeight="1">
      <c r="B252" s="122"/>
      <c r="E252" s="122"/>
      <c r="F252" s="194"/>
      <c r="G252" s="195"/>
      <c r="H252" s="195"/>
      <c r="I252" s="195"/>
      <c r="J252" s="196"/>
      <c r="K252" s="197"/>
      <c r="L252" s="198"/>
      <c r="M252" s="199"/>
      <c r="N252" s="200"/>
      <c r="O252" s="201"/>
      <c r="P252" s="201"/>
      <c r="Q252" s="201"/>
      <c r="R252" s="201"/>
      <c r="S252" s="201"/>
      <c r="T252" s="201"/>
      <c r="U252" s="201"/>
      <c r="V252" s="201"/>
      <c r="W252" s="201"/>
      <c r="X252" s="202"/>
      <c r="Y252" s="203"/>
      <c r="Z252" s="204"/>
      <c r="AA252" s="205"/>
      <c r="AB252" s="206"/>
      <c r="AC252" s="206"/>
      <c r="AD252" s="194"/>
      <c r="AE252" s="201"/>
      <c r="AF252" s="207"/>
      <c r="AG252" s="208"/>
      <c r="AH252" s="209"/>
      <c r="AI252" s="210"/>
      <c r="AJ252" s="197"/>
      <c r="AK252" s="201"/>
      <c r="AL252" s="196"/>
      <c r="AM252" s="201"/>
      <c r="AN252" s="201"/>
      <c r="AO252" s="201"/>
      <c r="AP252" s="211"/>
      <c r="AQ252" s="212"/>
      <c r="AR252" s="201"/>
      <c r="AS252" s="201"/>
      <c r="AT252" s="201"/>
      <c r="AU252" s="201"/>
      <c r="AV252" s="202"/>
      <c r="AW252" s="194"/>
      <c r="AX252" s="201"/>
      <c r="AY252" s="213"/>
      <c r="AZ252" s="214"/>
      <c r="BA252" s="215"/>
      <c r="BB252" s="216"/>
      <c r="BC252" s="217" t="str">
        <f t="shared" si="39"/>
        <v/>
      </c>
      <c r="BD252" s="218"/>
      <c r="BE252" s="219"/>
      <c r="BF252" s="220"/>
      <c r="BG252" s="219"/>
      <c r="BH252" s="219"/>
      <c r="BI252" s="220"/>
      <c r="BJ252" s="218"/>
      <c r="BK252" s="219"/>
      <c r="BL252" s="197"/>
      <c r="BM252" s="215"/>
      <c r="BN252" s="221"/>
      <c r="BO252" s="222" t="str">
        <f t="shared" si="40"/>
        <v/>
      </c>
      <c r="BP252" s="217" t="str">
        <f t="shared" si="41"/>
        <v/>
      </c>
      <c r="BQ252" s="215"/>
      <c r="BR252" s="224"/>
      <c r="BS252" s="225"/>
      <c r="BT252" s="223"/>
      <c r="BU252" s="215"/>
      <c r="BV252" s="226"/>
      <c r="BW252" s="222" t="str">
        <f t="shared" si="42"/>
        <v/>
      </c>
      <c r="BX252" s="223" t="str">
        <f t="shared" si="43"/>
        <v/>
      </c>
      <c r="BY252" s="215"/>
      <c r="BZ252" s="227"/>
      <c r="CA252" s="227"/>
      <c r="CB252" s="228"/>
      <c r="CC252" s="229"/>
      <c r="CD252" s="230" t="str">
        <f t="shared" si="44"/>
        <v/>
      </c>
      <c r="CE252" s="231" t="str">
        <f t="shared" si="45"/>
        <v/>
      </c>
      <c r="CF252" s="232" t="str">
        <f t="shared" si="46"/>
        <v/>
      </c>
      <c r="CG252" s="233" t="str">
        <f t="shared" si="47"/>
        <v/>
      </c>
      <c r="CH252" s="207" t="str">
        <f>IF(OR(G252="",CC252= ""), "", IF(ISERROR(SMALL((CJ252,CN252,CV252), 1)-CC252), "",  SMALL((CJ252,CN252,CV252), 1)-CC252))</f>
        <v/>
      </c>
      <c r="CI252" s="234"/>
      <c r="CJ252" s="235"/>
      <c r="CK252" s="236"/>
      <c r="CL252" s="222" t="str">
        <f t="shared" si="48"/>
        <v/>
      </c>
      <c r="CM252" s="237" t="str">
        <f>IF(OR(G252="", CJ252="",CK252=""), "", IF(ISERROR(SMALL((CN252,CV252), 1)-CK252), "",  SMALL((CN252,CV252), 1)-CK252))</f>
        <v/>
      </c>
      <c r="CN252" s="235"/>
      <c r="CO252" s="236"/>
      <c r="CP252" s="224" t="str">
        <f t="shared" si="49"/>
        <v/>
      </c>
      <c r="CQ252" s="235"/>
      <c r="CR252" s="236"/>
      <c r="CS252" s="222" t="str">
        <f t="shared" si="50"/>
        <v/>
      </c>
      <c r="CT252" s="237" t="str">
        <f t="shared" si="51"/>
        <v/>
      </c>
      <c r="CU252" s="238"/>
      <c r="CV252" s="239"/>
      <c r="CW252" s="240"/>
    </row>
    <row r="253" spans="2:101" ht="16.5" customHeight="1">
      <c r="B253" s="122"/>
      <c r="E253" s="122"/>
      <c r="F253" s="194"/>
      <c r="G253" s="195"/>
      <c r="H253" s="195"/>
      <c r="I253" s="195"/>
      <c r="J253" s="196"/>
      <c r="K253" s="197"/>
      <c r="L253" s="198"/>
      <c r="M253" s="199"/>
      <c r="N253" s="200"/>
      <c r="O253" s="201"/>
      <c r="P253" s="201"/>
      <c r="Q253" s="201"/>
      <c r="R253" s="201"/>
      <c r="S253" s="201"/>
      <c r="T253" s="201"/>
      <c r="U253" s="201"/>
      <c r="V253" s="201"/>
      <c r="W253" s="201"/>
      <c r="X253" s="202"/>
      <c r="Y253" s="203"/>
      <c r="Z253" s="204"/>
      <c r="AA253" s="205"/>
      <c r="AB253" s="206"/>
      <c r="AC253" s="206"/>
      <c r="AD253" s="194"/>
      <c r="AE253" s="201"/>
      <c r="AF253" s="207"/>
      <c r="AG253" s="208"/>
      <c r="AH253" s="209"/>
      <c r="AI253" s="210"/>
      <c r="AJ253" s="197"/>
      <c r="AK253" s="201"/>
      <c r="AL253" s="196"/>
      <c r="AM253" s="201"/>
      <c r="AN253" s="201"/>
      <c r="AO253" s="201"/>
      <c r="AP253" s="211"/>
      <c r="AQ253" s="212"/>
      <c r="AR253" s="201"/>
      <c r="AS253" s="201"/>
      <c r="AT253" s="201"/>
      <c r="AU253" s="201"/>
      <c r="AV253" s="202"/>
      <c r="AW253" s="194"/>
      <c r="AX253" s="201"/>
      <c r="AY253" s="213"/>
      <c r="AZ253" s="214"/>
      <c r="BA253" s="215"/>
      <c r="BB253" s="216"/>
      <c r="BC253" s="217" t="str">
        <f t="shared" si="39"/>
        <v/>
      </c>
      <c r="BD253" s="218"/>
      <c r="BE253" s="219"/>
      <c r="BF253" s="220"/>
      <c r="BG253" s="219"/>
      <c r="BH253" s="219"/>
      <c r="BI253" s="220"/>
      <c r="BJ253" s="218"/>
      <c r="BK253" s="219"/>
      <c r="BL253" s="197"/>
      <c r="BM253" s="215"/>
      <c r="BN253" s="221"/>
      <c r="BO253" s="222" t="str">
        <f t="shared" si="40"/>
        <v/>
      </c>
      <c r="BP253" s="217" t="str">
        <f t="shared" si="41"/>
        <v/>
      </c>
      <c r="BQ253" s="215"/>
      <c r="BR253" s="224"/>
      <c r="BS253" s="225"/>
      <c r="BT253" s="223"/>
      <c r="BU253" s="215"/>
      <c r="BV253" s="226"/>
      <c r="BW253" s="222" t="str">
        <f t="shared" si="42"/>
        <v/>
      </c>
      <c r="BX253" s="223" t="str">
        <f t="shared" si="43"/>
        <v/>
      </c>
      <c r="BY253" s="215"/>
      <c r="BZ253" s="227"/>
      <c r="CA253" s="227"/>
      <c r="CB253" s="228"/>
      <c r="CC253" s="229"/>
      <c r="CD253" s="230" t="str">
        <f t="shared" si="44"/>
        <v/>
      </c>
      <c r="CE253" s="231" t="str">
        <f t="shared" si="45"/>
        <v/>
      </c>
      <c r="CF253" s="232" t="str">
        <f t="shared" si="46"/>
        <v/>
      </c>
      <c r="CG253" s="233" t="str">
        <f t="shared" si="47"/>
        <v/>
      </c>
      <c r="CH253" s="207" t="str">
        <f>IF(OR(G253="",CC253= ""), "", IF(ISERROR(SMALL((CJ253,CN253,CV253), 1)-CC253), "",  SMALL((CJ253,CN253,CV253), 1)-CC253))</f>
        <v/>
      </c>
      <c r="CI253" s="234"/>
      <c r="CJ253" s="235"/>
      <c r="CK253" s="236"/>
      <c r="CL253" s="222" t="str">
        <f t="shared" si="48"/>
        <v/>
      </c>
      <c r="CM253" s="237" t="str">
        <f>IF(OR(G253="", CJ253="",CK253=""), "", IF(ISERROR(SMALL((CN253,CV253), 1)-CK253), "",  SMALL((CN253,CV253), 1)-CK253))</f>
        <v/>
      </c>
      <c r="CN253" s="235"/>
      <c r="CO253" s="236"/>
      <c r="CP253" s="224" t="str">
        <f t="shared" si="49"/>
        <v/>
      </c>
      <c r="CQ253" s="235"/>
      <c r="CR253" s="236"/>
      <c r="CS253" s="222" t="str">
        <f t="shared" si="50"/>
        <v/>
      </c>
      <c r="CT253" s="237" t="str">
        <f t="shared" si="51"/>
        <v/>
      </c>
      <c r="CU253" s="238"/>
      <c r="CV253" s="239"/>
      <c r="CW253" s="240"/>
    </row>
    <row r="254" spans="2:101" ht="16.5" customHeight="1">
      <c r="B254" s="122"/>
      <c r="E254" s="122"/>
      <c r="F254" s="194"/>
      <c r="G254" s="195"/>
      <c r="H254" s="195"/>
      <c r="I254" s="195"/>
      <c r="J254" s="196"/>
      <c r="K254" s="197"/>
      <c r="L254" s="198"/>
      <c r="M254" s="199"/>
      <c r="N254" s="200"/>
      <c r="O254" s="201"/>
      <c r="P254" s="201"/>
      <c r="Q254" s="201"/>
      <c r="R254" s="201"/>
      <c r="S254" s="201"/>
      <c r="T254" s="201"/>
      <c r="U254" s="201"/>
      <c r="V254" s="201"/>
      <c r="W254" s="201"/>
      <c r="X254" s="202"/>
      <c r="Y254" s="203"/>
      <c r="Z254" s="204"/>
      <c r="AA254" s="205"/>
      <c r="AB254" s="206"/>
      <c r="AC254" s="206"/>
      <c r="AD254" s="194"/>
      <c r="AE254" s="201"/>
      <c r="AF254" s="207"/>
      <c r="AG254" s="208"/>
      <c r="AH254" s="209"/>
      <c r="AI254" s="210"/>
      <c r="AJ254" s="197"/>
      <c r="AK254" s="201"/>
      <c r="AL254" s="196"/>
      <c r="AM254" s="201"/>
      <c r="AN254" s="201"/>
      <c r="AO254" s="201"/>
      <c r="AP254" s="211"/>
      <c r="AQ254" s="212"/>
      <c r="AR254" s="201"/>
      <c r="AS254" s="201"/>
      <c r="AT254" s="201"/>
      <c r="AU254" s="201"/>
      <c r="AV254" s="202"/>
      <c r="AW254" s="194"/>
      <c r="AX254" s="201"/>
      <c r="AY254" s="213"/>
      <c r="AZ254" s="214"/>
      <c r="BA254" s="215"/>
      <c r="BB254" s="216"/>
      <c r="BC254" s="217" t="str">
        <f t="shared" si="39"/>
        <v/>
      </c>
      <c r="BD254" s="218"/>
      <c r="BE254" s="219"/>
      <c r="BF254" s="220"/>
      <c r="BG254" s="219"/>
      <c r="BH254" s="219"/>
      <c r="BI254" s="220"/>
      <c r="BJ254" s="218"/>
      <c r="BK254" s="219"/>
      <c r="BL254" s="197"/>
      <c r="BM254" s="215"/>
      <c r="BN254" s="221"/>
      <c r="BO254" s="222" t="str">
        <f t="shared" si="40"/>
        <v/>
      </c>
      <c r="BP254" s="217" t="str">
        <f t="shared" si="41"/>
        <v/>
      </c>
      <c r="BQ254" s="215"/>
      <c r="BR254" s="224"/>
      <c r="BS254" s="225"/>
      <c r="BT254" s="223"/>
      <c r="BU254" s="215"/>
      <c r="BV254" s="226"/>
      <c r="BW254" s="222" t="str">
        <f t="shared" si="42"/>
        <v/>
      </c>
      <c r="BX254" s="223" t="str">
        <f t="shared" si="43"/>
        <v/>
      </c>
      <c r="BY254" s="215"/>
      <c r="BZ254" s="227"/>
      <c r="CA254" s="227"/>
      <c r="CB254" s="228"/>
      <c r="CC254" s="229"/>
      <c r="CD254" s="230" t="str">
        <f t="shared" si="44"/>
        <v/>
      </c>
      <c r="CE254" s="231" t="str">
        <f t="shared" si="45"/>
        <v/>
      </c>
      <c r="CF254" s="232" t="str">
        <f t="shared" si="46"/>
        <v/>
      </c>
      <c r="CG254" s="233" t="str">
        <f t="shared" si="47"/>
        <v/>
      </c>
      <c r="CH254" s="207" t="str">
        <f>IF(OR(G254="",CC254= ""), "", IF(ISERROR(SMALL((CJ254,CN254,CV254), 1)-CC254), "",  SMALL((CJ254,CN254,CV254), 1)-CC254))</f>
        <v/>
      </c>
      <c r="CI254" s="234"/>
      <c r="CJ254" s="235"/>
      <c r="CK254" s="236"/>
      <c r="CL254" s="222" t="str">
        <f t="shared" si="48"/>
        <v/>
      </c>
      <c r="CM254" s="237" t="str">
        <f>IF(OR(G254="", CJ254="",CK254=""), "", IF(ISERROR(SMALL((CN254,CV254), 1)-CK254), "",  SMALL((CN254,CV254), 1)-CK254))</f>
        <v/>
      </c>
      <c r="CN254" s="235"/>
      <c r="CO254" s="236"/>
      <c r="CP254" s="224" t="str">
        <f t="shared" si="49"/>
        <v/>
      </c>
      <c r="CQ254" s="235"/>
      <c r="CR254" s="236"/>
      <c r="CS254" s="222" t="str">
        <f t="shared" si="50"/>
        <v/>
      </c>
      <c r="CT254" s="237" t="str">
        <f t="shared" si="51"/>
        <v/>
      </c>
      <c r="CU254" s="238"/>
      <c r="CV254" s="239"/>
      <c r="CW254" s="240"/>
    </row>
    <row r="255" spans="2:101" ht="16.5" customHeight="1">
      <c r="B255" s="122"/>
      <c r="E255" s="122"/>
      <c r="F255" s="194"/>
      <c r="G255" s="195"/>
      <c r="H255" s="195"/>
      <c r="I255" s="195"/>
      <c r="J255" s="196"/>
      <c r="K255" s="197"/>
      <c r="L255" s="198"/>
      <c r="M255" s="199"/>
      <c r="N255" s="200"/>
      <c r="O255" s="201"/>
      <c r="P255" s="201"/>
      <c r="Q255" s="201"/>
      <c r="R255" s="201"/>
      <c r="S255" s="201"/>
      <c r="T255" s="201"/>
      <c r="U255" s="201"/>
      <c r="V255" s="201"/>
      <c r="W255" s="201"/>
      <c r="X255" s="202"/>
      <c r="Y255" s="203"/>
      <c r="Z255" s="204"/>
      <c r="AA255" s="205"/>
      <c r="AB255" s="206"/>
      <c r="AC255" s="206"/>
      <c r="AD255" s="194"/>
      <c r="AE255" s="201"/>
      <c r="AF255" s="207"/>
      <c r="AG255" s="208"/>
      <c r="AH255" s="209"/>
      <c r="AI255" s="210"/>
      <c r="AJ255" s="197"/>
      <c r="AK255" s="201"/>
      <c r="AL255" s="196"/>
      <c r="AM255" s="201"/>
      <c r="AN255" s="201"/>
      <c r="AO255" s="201"/>
      <c r="AP255" s="211"/>
      <c r="AQ255" s="212"/>
      <c r="AR255" s="201"/>
      <c r="AS255" s="201"/>
      <c r="AT255" s="201"/>
      <c r="AU255" s="201"/>
      <c r="AV255" s="202"/>
      <c r="AW255" s="194"/>
      <c r="AX255" s="201"/>
      <c r="AY255" s="213"/>
      <c r="AZ255" s="214"/>
      <c r="BA255" s="215"/>
      <c r="BB255" s="216"/>
      <c r="BC255" s="217" t="str">
        <f t="shared" si="39"/>
        <v/>
      </c>
      <c r="BD255" s="218"/>
      <c r="BE255" s="219"/>
      <c r="BF255" s="220"/>
      <c r="BG255" s="219"/>
      <c r="BH255" s="219"/>
      <c r="BI255" s="220"/>
      <c r="BJ255" s="218"/>
      <c r="BK255" s="219"/>
      <c r="BL255" s="197"/>
      <c r="BM255" s="215"/>
      <c r="BN255" s="221"/>
      <c r="BO255" s="222" t="str">
        <f t="shared" si="40"/>
        <v/>
      </c>
      <c r="BP255" s="217" t="str">
        <f t="shared" si="41"/>
        <v/>
      </c>
      <c r="BQ255" s="215"/>
      <c r="BR255" s="224"/>
      <c r="BS255" s="225"/>
      <c r="BT255" s="223"/>
      <c r="BU255" s="215"/>
      <c r="BV255" s="226"/>
      <c r="BW255" s="222" t="str">
        <f t="shared" si="42"/>
        <v/>
      </c>
      <c r="BX255" s="223" t="str">
        <f t="shared" si="43"/>
        <v/>
      </c>
      <c r="BY255" s="215"/>
      <c r="BZ255" s="227"/>
      <c r="CA255" s="227"/>
      <c r="CB255" s="228"/>
      <c r="CC255" s="229"/>
      <c r="CD255" s="230" t="str">
        <f t="shared" si="44"/>
        <v/>
      </c>
      <c r="CE255" s="231" t="str">
        <f t="shared" si="45"/>
        <v/>
      </c>
      <c r="CF255" s="232" t="str">
        <f t="shared" si="46"/>
        <v/>
      </c>
      <c r="CG255" s="233" t="str">
        <f t="shared" si="47"/>
        <v/>
      </c>
      <c r="CH255" s="207" t="str">
        <f>IF(OR(G255="",CC255= ""), "", IF(ISERROR(SMALL((CJ255,CN255,CV255), 1)-CC255), "",  SMALL((CJ255,CN255,CV255), 1)-CC255))</f>
        <v/>
      </c>
      <c r="CI255" s="234"/>
      <c r="CJ255" s="235"/>
      <c r="CK255" s="236"/>
      <c r="CL255" s="222" t="str">
        <f t="shared" si="48"/>
        <v/>
      </c>
      <c r="CM255" s="237" t="str">
        <f>IF(OR(G255="", CJ255="",CK255=""), "", IF(ISERROR(SMALL((CN255,CV255), 1)-CK255), "",  SMALL((CN255,CV255), 1)-CK255))</f>
        <v/>
      </c>
      <c r="CN255" s="235"/>
      <c r="CO255" s="236"/>
      <c r="CP255" s="224" t="str">
        <f t="shared" si="49"/>
        <v/>
      </c>
      <c r="CQ255" s="235"/>
      <c r="CR255" s="236"/>
      <c r="CS255" s="222" t="str">
        <f t="shared" si="50"/>
        <v/>
      </c>
      <c r="CT255" s="237" t="str">
        <f t="shared" si="51"/>
        <v/>
      </c>
      <c r="CU255" s="238"/>
      <c r="CV255" s="239"/>
      <c r="CW255" s="240"/>
    </row>
    <row r="256" spans="2:101" ht="16.5" customHeight="1">
      <c r="B256" s="122"/>
      <c r="E256" s="122"/>
      <c r="F256" s="194"/>
      <c r="G256" s="195"/>
      <c r="H256" s="195"/>
      <c r="I256" s="195"/>
      <c r="J256" s="196"/>
      <c r="K256" s="197"/>
      <c r="L256" s="198"/>
      <c r="M256" s="199"/>
      <c r="N256" s="200"/>
      <c r="O256" s="201"/>
      <c r="P256" s="201"/>
      <c r="Q256" s="201"/>
      <c r="R256" s="201"/>
      <c r="S256" s="201"/>
      <c r="T256" s="201"/>
      <c r="U256" s="201"/>
      <c r="V256" s="201"/>
      <c r="W256" s="201"/>
      <c r="X256" s="202"/>
      <c r="Y256" s="203"/>
      <c r="Z256" s="204"/>
      <c r="AA256" s="205"/>
      <c r="AB256" s="206"/>
      <c r="AC256" s="206"/>
      <c r="AD256" s="194"/>
      <c r="AE256" s="201"/>
      <c r="AF256" s="207"/>
      <c r="AG256" s="208"/>
      <c r="AH256" s="209"/>
      <c r="AI256" s="210"/>
      <c r="AJ256" s="197"/>
      <c r="AK256" s="201"/>
      <c r="AL256" s="196"/>
      <c r="AM256" s="201"/>
      <c r="AN256" s="201"/>
      <c r="AO256" s="201"/>
      <c r="AP256" s="211"/>
      <c r="AQ256" s="212"/>
      <c r="AR256" s="201"/>
      <c r="AS256" s="201"/>
      <c r="AT256" s="201"/>
      <c r="AU256" s="201"/>
      <c r="AV256" s="202"/>
      <c r="AW256" s="194"/>
      <c r="AX256" s="201"/>
      <c r="AY256" s="213"/>
      <c r="AZ256" s="214"/>
      <c r="BA256" s="215"/>
      <c r="BB256" s="216"/>
      <c r="BC256" s="217" t="str">
        <f t="shared" si="39"/>
        <v/>
      </c>
      <c r="BD256" s="218"/>
      <c r="BE256" s="219"/>
      <c r="BF256" s="220"/>
      <c r="BG256" s="219"/>
      <c r="BH256" s="219"/>
      <c r="BI256" s="220"/>
      <c r="BJ256" s="218"/>
      <c r="BK256" s="219"/>
      <c r="BL256" s="197"/>
      <c r="BM256" s="215"/>
      <c r="BN256" s="221"/>
      <c r="BO256" s="222" t="str">
        <f t="shared" si="40"/>
        <v/>
      </c>
      <c r="BP256" s="217" t="str">
        <f t="shared" si="41"/>
        <v/>
      </c>
      <c r="BQ256" s="215"/>
      <c r="BR256" s="224"/>
      <c r="BS256" s="225"/>
      <c r="BT256" s="223"/>
      <c r="BU256" s="215"/>
      <c r="BV256" s="226"/>
      <c r="BW256" s="222" t="str">
        <f t="shared" si="42"/>
        <v/>
      </c>
      <c r="BX256" s="223" t="str">
        <f t="shared" si="43"/>
        <v/>
      </c>
      <c r="BY256" s="215"/>
      <c r="BZ256" s="227"/>
      <c r="CA256" s="227"/>
      <c r="CB256" s="228"/>
      <c r="CC256" s="229"/>
      <c r="CD256" s="230" t="str">
        <f t="shared" si="44"/>
        <v/>
      </c>
      <c r="CE256" s="231" t="str">
        <f t="shared" si="45"/>
        <v/>
      </c>
      <c r="CF256" s="232" t="str">
        <f t="shared" si="46"/>
        <v/>
      </c>
      <c r="CG256" s="233" t="str">
        <f t="shared" si="47"/>
        <v/>
      </c>
      <c r="CH256" s="207" t="str">
        <f>IF(OR(G256="",CC256= ""), "", IF(ISERROR(SMALL((CJ256,CN256,CV256), 1)-CC256), "",  SMALL((CJ256,CN256,CV256), 1)-CC256))</f>
        <v/>
      </c>
      <c r="CI256" s="234"/>
      <c r="CJ256" s="235"/>
      <c r="CK256" s="236"/>
      <c r="CL256" s="222" t="str">
        <f t="shared" si="48"/>
        <v/>
      </c>
      <c r="CM256" s="237" t="str">
        <f>IF(OR(G256="", CJ256="",CK256=""), "", IF(ISERROR(SMALL((CN256,CV256), 1)-CK256), "",  SMALL((CN256,CV256), 1)-CK256))</f>
        <v/>
      </c>
      <c r="CN256" s="235"/>
      <c r="CO256" s="236"/>
      <c r="CP256" s="224" t="str">
        <f t="shared" si="49"/>
        <v/>
      </c>
      <c r="CQ256" s="235"/>
      <c r="CR256" s="236"/>
      <c r="CS256" s="222" t="str">
        <f t="shared" si="50"/>
        <v/>
      </c>
      <c r="CT256" s="237" t="str">
        <f t="shared" si="51"/>
        <v/>
      </c>
      <c r="CU256" s="238"/>
      <c r="CV256" s="239"/>
      <c r="CW256" s="240"/>
    </row>
    <row r="257" spans="2:101" ht="16.5" customHeight="1">
      <c r="B257" s="122"/>
      <c r="E257" s="122"/>
      <c r="F257" s="194"/>
      <c r="G257" s="195"/>
      <c r="H257" s="195"/>
      <c r="I257" s="195"/>
      <c r="J257" s="196"/>
      <c r="K257" s="197"/>
      <c r="L257" s="198"/>
      <c r="M257" s="199"/>
      <c r="N257" s="200"/>
      <c r="O257" s="201"/>
      <c r="P257" s="201"/>
      <c r="Q257" s="201"/>
      <c r="R257" s="201"/>
      <c r="S257" s="201"/>
      <c r="T257" s="201"/>
      <c r="U257" s="201"/>
      <c r="V257" s="201"/>
      <c r="W257" s="201"/>
      <c r="X257" s="202"/>
      <c r="Y257" s="203"/>
      <c r="Z257" s="204"/>
      <c r="AA257" s="205"/>
      <c r="AB257" s="206"/>
      <c r="AC257" s="206"/>
      <c r="AD257" s="194"/>
      <c r="AE257" s="201"/>
      <c r="AF257" s="207"/>
      <c r="AG257" s="208"/>
      <c r="AH257" s="209"/>
      <c r="AI257" s="210"/>
      <c r="AJ257" s="197"/>
      <c r="AK257" s="201"/>
      <c r="AL257" s="196"/>
      <c r="AM257" s="201"/>
      <c r="AN257" s="201"/>
      <c r="AO257" s="201"/>
      <c r="AP257" s="211"/>
      <c r="AQ257" s="212"/>
      <c r="AR257" s="201"/>
      <c r="AS257" s="201"/>
      <c r="AT257" s="201"/>
      <c r="AU257" s="201"/>
      <c r="AV257" s="202"/>
      <c r="AW257" s="194"/>
      <c r="AX257" s="201"/>
      <c r="AY257" s="213"/>
      <c r="AZ257" s="214"/>
      <c r="BA257" s="215"/>
      <c r="BB257" s="216"/>
      <c r="BC257" s="217" t="str">
        <f t="shared" si="39"/>
        <v/>
      </c>
      <c r="BD257" s="218"/>
      <c r="BE257" s="219"/>
      <c r="BF257" s="220"/>
      <c r="BG257" s="219"/>
      <c r="BH257" s="219"/>
      <c r="BI257" s="220"/>
      <c r="BJ257" s="218"/>
      <c r="BK257" s="219"/>
      <c r="BL257" s="197"/>
      <c r="BM257" s="215"/>
      <c r="BN257" s="221"/>
      <c r="BO257" s="222" t="str">
        <f t="shared" si="40"/>
        <v/>
      </c>
      <c r="BP257" s="217" t="str">
        <f t="shared" si="41"/>
        <v/>
      </c>
      <c r="BQ257" s="215"/>
      <c r="BR257" s="224"/>
      <c r="BS257" s="225"/>
      <c r="BT257" s="223"/>
      <c r="BU257" s="215"/>
      <c r="BV257" s="226"/>
      <c r="BW257" s="222" t="str">
        <f t="shared" si="42"/>
        <v/>
      </c>
      <c r="BX257" s="223" t="str">
        <f t="shared" si="43"/>
        <v/>
      </c>
      <c r="BY257" s="215"/>
      <c r="BZ257" s="227"/>
      <c r="CA257" s="227"/>
      <c r="CB257" s="228"/>
      <c r="CC257" s="229"/>
      <c r="CD257" s="230" t="str">
        <f t="shared" si="44"/>
        <v/>
      </c>
      <c r="CE257" s="231" t="str">
        <f t="shared" si="45"/>
        <v/>
      </c>
      <c r="CF257" s="232" t="str">
        <f t="shared" si="46"/>
        <v/>
      </c>
      <c r="CG257" s="233" t="str">
        <f t="shared" si="47"/>
        <v/>
      </c>
      <c r="CH257" s="207" t="str">
        <f>IF(OR(G257="",CC257= ""), "", IF(ISERROR(SMALL((CJ257,CN257,CV257), 1)-CC257), "",  SMALL((CJ257,CN257,CV257), 1)-CC257))</f>
        <v/>
      </c>
      <c r="CI257" s="234"/>
      <c r="CJ257" s="235"/>
      <c r="CK257" s="236"/>
      <c r="CL257" s="222" t="str">
        <f t="shared" si="48"/>
        <v/>
      </c>
      <c r="CM257" s="237" t="str">
        <f>IF(OR(G257="", CJ257="",CK257=""), "", IF(ISERROR(SMALL((CN257,CV257), 1)-CK257), "",  SMALL((CN257,CV257), 1)-CK257))</f>
        <v/>
      </c>
      <c r="CN257" s="235"/>
      <c r="CO257" s="236"/>
      <c r="CP257" s="224" t="str">
        <f t="shared" si="49"/>
        <v/>
      </c>
      <c r="CQ257" s="235"/>
      <c r="CR257" s="236"/>
      <c r="CS257" s="222" t="str">
        <f t="shared" si="50"/>
        <v/>
      </c>
      <c r="CT257" s="237" t="str">
        <f t="shared" si="51"/>
        <v/>
      </c>
      <c r="CU257" s="238"/>
      <c r="CV257" s="239"/>
      <c r="CW257" s="240"/>
    </row>
    <row r="258" spans="2:101" ht="16.5" customHeight="1">
      <c r="B258" s="122"/>
      <c r="E258" s="122"/>
      <c r="F258" s="194"/>
      <c r="G258" s="195"/>
      <c r="H258" s="195"/>
      <c r="I258" s="195"/>
      <c r="J258" s="196"/>
      <c r="K258" s="197"/>
      <c r="L258" s="198"/>
      <c r="M258" s="199"/>
      <c r="N258" s="200"/>
      <c r="O258" s="201"/>
      <c r="P258" s="201"/>
      <c r="Q258" s="201"/>
      <c r="R258" s="201"/>
      <c r="S258" s="201"/>
      <c r="T258" s="201"/>
      <c r="U258" s="201"/>
      <c r="V258" s="201"/>
      <c r="W258" s="201"/>
      <c r="X258" s="202"/>
      <c r="Y258" s="203"/>
      <c r="Z258" s="204"/>
      <c r="AA258" s="205"/>
      <c r="AB258" s="206"/>
      <c r="AC258" s="206"/>
      <c r="AD258" s="194"/>
      <c r="AE258" s="201"/>
      <c r="AF258" s="207"/>
      <c r="AG258" s="208"/>
      <c r="AH258" s="209"/>
      <c r="AI258" s="210"/>
      <c r="AJ258" s="197"/>
      <c r="AK258" s="201"/>
      <c r="AL258" s="196"/>
      <c r="AM258" s="201"/>
      <c r="AN258" s="201"/>
      <c r="AO258" s="201"/>
      <c r="AP258" s="211"/>
      <c r="AQ258" s="212"/>
      <c r="AR258" s="201"/>
      <c r="AS258" s="201"/>
      <c r="AT258" s="201"/>
      <c r="AU258" s="201"/>
      <c r="AV258" s="202"/>
      <c r="AW258" s="194"/>
      <c r="AX258" s="201"/>
      <c r="AY258" s="213"/>
      <c r="AZ258" s="214"/>
      <c r="BA258" s="215"/>
      <c r="BB258" s="216"/>
      <c r="BC258" s="217" t="str">
        <f t="shared" si="39"/>
        <v/>
      </c>
      <c r="BD258" s="218"/>
      <c r="BE258" s="219"/>
      <c r="BF258" s="220"/>
      <c r="BG258" s="219"/>
      <c r="BH258" s="219"/>
      <c r="BI258" s="220"/>
      <c r="BJ258" s="218"/>
      <c r="BK258" s="219"/>
      <c r="BL258" s="197"/>
      <c r="BM258" s="215"/>
      <c r="BN258" s="221"/>
      <c r="BO258" s="222" t="str">
        <f t="shared" si="40"/>
        <v/>
      </c>
      <c r="BP258" s="217" t="str">
        <f t="shared" si="41"/>
        <v/>
      </c>
      <c r="BQ258" s="215"/>
      <c r="BR258" s="224"/>
      <c r="BS258" s="225"/>
      <c r="BT258" s="223"/>
      <c r="BU258" s="215"/>
      <c r="BV258" s="226"/>
      <c r="BW258" s="222" t="str">
        <f t="shared" si="42"/>
        <v/>
      </c>
      <c r="BX258" s="223" t="str">
        <f t="shared" si="43"/>
        <v/>
      </c>
      <c r="BY258" s="215"/>
      <c r="BZ258" s="227"/>
      <c r="CA258" s="227"/>
      <c r="CB258" s="228"/>
      <c r="CC258" s="229"/>
      <c r="CD258" s="230" t="str">
        <f t="shared" si="44"/>
        <v/>
      </c>
      <c r="CE258" s="231" t="str">
        <f t="shared" si="45"/>
        <v/>
      </c>
      <c r="CF258" s="232" t="str">
        <f t="shared" si="46"/>
        <v/>
      </c>
      <c r="CG258" s="233" t="str">
        <f t="shared" si="47"/>
        <v/>
      </c>
      <c r="CH258" s="207" t="str">
        <f>IF(OR(G258="",CC258= ""), "", IF(ISERROR(SMALL((CJ258,CN258,CV258), 1)-CC258), "",  SMALL((CJ258,CN258,CV258), 1)-CC258))</f>
        <v/>
      </c>
      <c r="CI258" s="234"/>
      <c r="CJ258" s="235"/>
      <c r="CK258" s="236"/>
      <c r="CL258" s="222" t="str">
        <f t="shared" si="48"/>
        <v/>
      </c>
      <c r="CM258" s="237" t="str">
        <f>IF(OR(G258="", CJ258="",CK258=""), "", IF(ISERROR(SMALL((CN258,CV258), 1)-CK258), "",  SMALL((CN258,CV258), 1)-CK258))</f>
        <v/>
      </c>
      <c r="CN258" s="235"/>
      <c r="CO258" s="236"/>
      <c r="CP258" s="224" t="str">
        <f t="shared" si="49"/>
        <v/>
      </c>
      <c r="CQ258" s="235"/>
      <c r="CR258" s="236"/>
      <c r="CS258" s="222" t="str">
        <f t="shared" si="50"/>
        <v/>
      </c>
      <c r="CT258" s="237" t="str">
        <f t="shared" si="51"/>
        <v/>
      </c>
      <c r="CU258" s="238"/>
      <c r="CV258" s="239"/>
      <c r="CW258" s="240"/>
    </row>
    <row r="259" spans="2:101" ht="16.5" customHeight="1">
      <c r="B259" s="122"/>
      <c r="E259" s="122"/>
      <c r="F259" s="194"/>
      <c r="G259" s="195"/>
      <c r="H259" s="195"/>
      <c r="I259" s="195"/>
      <c r="J259" s="196"/>
      <c r="K259" s="197"/>
      <c r="L259" s="198"/>
      <c r="M259" s="199"/>
      <c r="N259" s="200"/>
      <c r="O259" s="201"/>
      <c r="P259" s="201"/>
      <c r="Q259" s="201"/>
      <c r="R259" s="201"/>
      <c r="S259" s="201"/>
      <c r="T259" s="201"/>
      <c r="U259" s="201"/>
      <c r="V259" s="201"/>
      <c r="W259" s="201"/>
      <c r="X259" s="202"/>
      <c r="Y259" s="203"/>
      <c r="Z259" s="204"/>
      <c r="AA259" s="205"/>
      <c r="AB259" s="206"/>
      <c r="AC259" s="206"/>
      <c r="AD259" s="194"/>
      <c r="AE259" s="201"/>
      <c r="AF259" s="207"/>
      <c r="AG259" s="208"/>
      <c r="AH259" s="209"/>
      <c r="AI259" s="210"/>
      <c r="AJ259" s="197"/>
      <c r="AK259" s="201"/>
      <c r="AL259" s="196"/>
      <c r="AM259" s="201"/>
      <c r="AN259" s="201"/>
      <c r="AO259" s="201"/>
      <c r="AP259" s="211"/>
      <c r="AQ259" s="212"/>
      <c r="AR259" s="201"/>
      <c r="AS259" s="201"/>
      <c r="AT259" s="201"/>
      <c r="AU259" s="201"/>
      <c r="AV259" s="202"/>
      <c r="AW259" s="194"/>
      <c r="AX259" s="201"/>
      <c r="AY259" s="213"/>
      <c r="AZ259" s="214"/>
      <c r="BA259" s="215"/>
      <c r="BB259" s="216"/>
      <c r="BC259" s="217" t="str">
        <f t="shared" si="39"/>
        <v/>
      </c>
      <c r="BD259" s="218"/>
      <c r="BE259" s="219"/>
      <c r="BF259" s="220"/>
      <c r="BG259" s="219"/>
      <c r="BH259" s="219"/>
      <c r="BI259" s="220"/>
      <c r="BJ259" s="218"/>
      <c r="BK259" s="219"/>
      <c r="BL259" s="197"/>
      <c r="BM259" s="215"/>
      <c r="BN259" s="221"/>
      <c r="BO259" s="222" t="str">
        <f t="shared" si="40"/>
        <v/>
      </c>
      <c r="BP259" s="217" t="str">
        <f t="shared" si="41"/>
        <v/>
      </c>
      <c r="BQ259" s="215"/>
      <c r="BR259" s="224"/>
      <c r="BS259" s="225"/>
      <c r="BT259" s="223"/>
      <c r="BU259" s="215"/>
      <c r="BV259" s="226"/>
      <c r="BW259" s="222" t="str">
        <f t="shared" si="42"/>
        <v/>
      </c>
      <c r="BX259" s="223" t="str">
        <f t="shared" si="43"/>
        <v/>
      </c>
      <c r="BY259" s="215"/>
      <c r="BZ259" s="227"/>
      <c r="CA259" s="227"/>
      <c r="CB259" s="228"/>
      <c r="CC259" s="229"/>
      <c r="CD259" s="230" t="str">
        <f t="shared" si="44"/>
        <v/>
      </c>
      <c r="CE259" s="231" t="str">
        <f t="shared" si="45"/>
        <v/>
      </c>
      <c r="CF259" s="232" t="str">
        <f t="shared" si="46"/>
        <v/>
      </c>
      <c r="CG259" s="233" t="str">
        <f t="shared" si="47"/>
        <v/>
      </c>
      <c r="CH259" s="207" t="str">
        <f>IF(OR(G259="",CC259= ""), "", IF(ISERROR(SMALL((CJ259,CN259,CV259), 1)-CC259), "",  SMALL((CJ259,CN259,CV259), 1)-CC259))</f>
        <v/>
      </c>
      <c r="CI259" s="234"/>
      <c r="CJ259" s="235"/>
      <c r="CK259" s="236"/>
      <c r="CL259" s="222" t="str">
        <f t="shared" si="48"/>
        <v/>
      </c>
      <c r="CM259" s="237" t="str">
        <f>IF(OR(G259="", CJ259="",CK259=""), "", IF(ISERROR(SMALL((CN259,CV259), 1)-CK259), "",  SMALL((CN259,CV259), 1)-CK259))</f>
        <v/>
      </c>
      <c r="CN259" s="235"/>
      <c r="CO259" s="236"/>
      <c r="CP259" s="224" t="str">
        <f t="shared" si="49"/>
        <v/>
      </c>
      <c r="CQ259" s="235"/>
      <c r="CR259" s="236"/>
      <c r="CS259" s="222" t="str">
        <f t="shared" si="50"/>
        <v/>
      </c>
      <c r="CT259" s="237" t="str">
        <f t="shared" si="51"/>
        <v/>
      </c>
      <c r="CU259" s="238"/>
      <c r="CV259" s="239"/>
      <c r="CW259" s="240"/>
    </row>
    <row r="260" spans="2:101" ht="16.5" customHeight="1">
      <c r="B260" s="122"/>
      <c r="E260" s="122"/>
      <c r="F260" s="194"/>
      <c r="G260" s="195"/>
      <c r="H260" s="195"/>
      <c r="I260" s="195"/>
      <c r="J260" s="196"/>
      <c r="K260" s="197"/>
      <c r="L260" s="198"/>
      <c r="M260" s="199"/>
      <c r="N260" s="200"/>
      <c r="O260" s="201"/>
      <c r="P260" s="201"/>
      <c r="Q260" s="201"/>
      <c r="R260" s="201"/>
      <c r="S260" s="201"/>
      <c r="T260" s="201"/>
      <c r="U260" s="201"/>
      <c r="V260" s="201"/>
      <c r="W260" s="201"/>
      <c r="X260" s="202"/>
      <c r="Y260" s="203"/>
      <c r="Z260" s="204"/>
      <c r="AA260" s="205"/>
      <c r="AB260" s="206"/>
      <c r="AC260" s="206"/>
      <c r="AD260" s="194"/>
      <c r="AE260" s="201"/>
      <c r="AF260" s="207"/>
      <c r="AG260" s="208"/>
      <c r="AH260" s="209"/>
      <c r="AI260" s="210"/>
      <c r="AJ260" s="197"/>
      <c r="AK260" s="201"/>
      <c r="AL260" s="196"/>
      <c r="AM260" s="201"/>
      <c r="AN260" s="201"/>
      <c r="AO260" s="201"/>
      <c r="AP260" s="211"/>
      <c r="AQ260" s="212"/>
      <c r="AR260" s="201"/>
      <c r="AS260" s="201"/>
      <c r="AT260" s="201"/>
      <c r="AU260" s="201"/>
      <c r="AV260" s="202"/>
      <c r="AW260" s="194"/>
      <c r="AX260" s="201"/>
      <c r="AY260" s="213"/>
      <c r="AZ260" s="214"/>
      <c r="BA260" s="215"/>
      <c r="BB260" s="216"/>
      <c r="BC260" s="217" t="str">
        <f t="shared" si="39"/>
        <v/>
      </c>
      <c r="BD260" s="218"/>
      <c r="BE260" s="219"/>
      <c r="BF260" s="220"/>
      <c r="BG260" s="219"/>
      <c r="BH260" s="219"/>
      <c r="BI260" s="220"/>
      <c r="BJ260" s="218"/>
      <c r="BK260" s="219"/>
      <c r="BL260" s="197"/>
      <c r="BM260" s="215"/>
      <c r="BN260" s="221"/>
      <c r="BO260" s="222" t="str">
        <f t="shared" si="40"/>
        <v/>
      </c>
      <c r="BP260" s="217" t="str">
        <f t="shared" si="41"/>
        <v/>
      </c>
      <c r="BQ260" s="215"/>
      <c r="BR260" s="224"/>
      <c r="BS260" s="225"/>
      <c r="BT260" s="223"/>
      <c r="BU260" s="215"/>
      <c r="BV260" s="226"/>
      <c r="BW260" s="222" t="str">
        <f t="shared" si="42"/>
        <v/>
      </c>
      <c r="BX260" s="223" t="str">
        <f t="shared" si="43"/>
        <v/>
      </c>
      <c r="BY260" s="215"/>
      <c r="BZ260" s="227"/>
      <c r="CA260" s="227"/>
      <c r="CB260" s="228"/>
      <c r="CC260" s="229"/>
      <c r="CD260" s="230" t="str">
        <f t="shared" si="44"/>
        <v/>
      </c>
      <c r="CE260" s="231" t="str">
        <f t="shared" si="45"/>
        <v/>
      </c>
      <c r="CF260" s="232" t="str">
        <f t="shared" si="46"/>
        <v/>
      </c>
      <c r="CG260" s="233" t="str">
        <f t="shared" si="47"/>
        <v/>
      </c>
      <c r="CH260" s="207" t="str">
        <f>IF(OR(G260="",CC260= ""), "", IF(ISERROR(SMALL((CJ260,CN260,CV260), 1)-CC260), "",  SMALL((CJ260,CN260,CV260), 1)-CC260))</f>
        <v/>
      </c>
      <c r="CI260" s="234"/>
      <c r="CJ260" s="235"/>
      <c r="CK260" s="236"/>
      <c r="CL260" s="222" t="str">
        <f t="shared" si="48"/>
        <v/>
      </c>
      <c r="CM260" s="237" t="str">
        <f>IF(OR(G260="", CJ260="",CK260=""), "", IF(ISERROR(SMALL((CN260,CV260), 1)-CK260), "",  SMALL((CN260,CV260), 1)-CK260))</f>
        <v/>
      </c>
      <c r="CN260" s="235"/>
      <c r="CO260" s="236"/>
      <c r="CP260" s="224" t="str">
        <f t="shared" si="49"/>
        <v/>
      </c>
      <c r="CQ260" s="235"/>
      <c r="CR260" s="236"/>
      <c r="CS260" s="222" t="str">
        <f t="shared" si="50"/>
        <v/>
      </c>
      <c r="CT260" s="237" t="str">
        <f t="shared" si="51"/>
        <v/>
      </c>
      <c r="CU260" s="238"/>
      <c r="CV260" s="239"/>
      <c r="CW260" s="240"/>
    </row>
    <row r="261" spans="2:101" ht="16.5" customHeight="1">
      <c r="B261" s="122"/>
      <c r="E261" s="122"/>
      <c r="F261" s="194"/>
      <c r="G261" s="195"/>
      <c r="H261" s="195"/>
      <c r="I261" s="195"/>
      <c r="J261" s="196"/>
      <c r="K261" s="197"/>
      <c r="L261" s="198"/>
      <c r="M261" s="199"/>
      <c r="N261" s="200"/>
      <c r="O261" s="201"/>
      <c r="P261" s="201"/>
      <c r="Q261" s="201"/>
      <c r="R261" s="201"/>
      <c r="S261" s="201"/>
      <c r="T261" s="201"/>
      <c r="U261" s="201"/>
      <c r="V261" s="201"/>
      <c r="W261" s="201"/>
      <c r="X261" s="202"/>
      <c r="Y261" s="203"/>
      <c r="Z261" s="204"/>
      <c r="AA261" s="205"/>
      <c r="AB261" s="206"/>
      <c r="AC261" s="206"/>
      <c r="AD261" s="194"/>
      <c r="AE261" s="201"/>
      <c r="AF261" s="207"/>
      <c r="AG261" s="208"/>
      <c r="AH261" s="209"/>
      <c r="AI261" s="210"/>
      <c r="AJ261" s="197"/>
      <c r="AK261" s="201"/>
      <c r="AL261" s="196"/>
      <c r="AM261" s="201"/>
      <c r="AN261" s="201"/>
      <c r="AO261" s="201"/>
      <c r="AP261" s="211"/>
      <c r="AQ261" s="212"/>
      <c r="AR261" s="201"/>
      <c r="AS261" s="201"/>
      <c r="AT261" s="201"/>
      <c r="AU261" s="201"/>
      <c r="AV261" s="202"/>
      <c r="AW261" s="194"/>
      <c r="AX261" s="201"/>
      <c r="AY261" s="213"/>
      <c r="AZ261" s="214"/>
      <c r="BA261" s="215"/>
      <c r="BB261" s="216"/>
      <c r="BC261" s="217" t="str">
        <f t="shared" si="39"/>
        <v/>
      </c>
      <c r="BD261" s="218"/>
      <c r="BE261" s="219"/>
      <c r="BF261" s="220"/>
      <c r="BG261" s="219"/>
      <c r="BH261" s="219"/>
      <c r="BI261" s="220"/>
      <c r="BJ261" s="218"/>
      <c r="BK261" s="219"/>
      <c r="BL261" s="197"/>
      <c r="BM261" s="215"/>
      <c r="BN261" s="221"/>
      <c r="BO261" s="222" t="str">
        <f t="shared" si="40"/>
        <v/>
      </c>
      <c r="BP261" s="217" t="str">
        <f t="shared" si="41"/>
        <v/>
      </c>
      <c r="BQ261" s="215"/>
      <c r="BR261" s="224"/>
      <c r="BS261" s="225"/>
      <c r="BT261" s="223"/>
      <c r="BU261" s="215"/>
      <c r="BV261" s="226"/>
      <c r="BW261" s="222" t="str">
        <f t="shared" si="42"/>
        <v/>
      </c>
      <c r="BX261" s="223" t="str">
        <f t="shared" si="43"/>
        <v/>
      </c>
      <c r="BY261" s="215"/>
      <c r="BZ261" s="227"/>
      <c r="CA261" s="227"/>
      <c r="CB261" s="228"/>
      <c r="CC261" s="229"/>
      <c r="CD261" s="230" t="str">
        <f t="shared" si="44"/>
        <v/>
      </c>
      <c r="CE261" s="231" t="str">
        <f t="shared" si="45"/>
        <v/>
      </c>
      <c r="CF261" s="232" t="str">
        <f t="shared" si="46"/>
        <v/>
      </c>
      <c r="CG261" s="233" t="str">
        <f t="shared" si="47"/>
        <v/>
      </c>
      <c r="CH261" s="207" t="str">
        <f>IF(OR(G261="",CC261= ""), "", IF(ISERROR(SMALL((CJ261,CN261,CV261), 1)-CC261), "",  SMALL((CJ261,CN261,CV261), 1)-CC261))</f>
        <v/>
      </c>
      <c r="CI261" s="234"/>
      <c r="CJ261" s="235"/>
      <c r="CK261" s="236"/>
      <c r="CL261" s="222" t="str">
        <f t="shared" si="48"/>
        <v/>
      </c>
      <c r="CM261" s="237" t="str">
        <f>IF(OR(G261="", CJ261="",CK261=""), "", IF(ISERROR(SMALL((CN261,CV261), 1)-CK261), "",  SMALL((CN261,CV261), 1)-CK261))</f>
        <v/>
      </c>
      <c r="CN261" s="235"/>
      <c r="CO261" s="236"/>
      <c r="CP261" s="224" t="str">
        <f t="shared" si="49"/>
        <v/>
      </c>
      <c r="CQ261" s="235"/>
      <c r="CR261" s="236"/>
      <c r="CS261" s="222" t="str">
        <f t="shared" si="50"/>
        <v/>
      </c>
      <c r="CT261" s="237" t="str">
        <f t="shared" si="51"/>
        <v/>
      </c>
      <c r="CU261" s="238"/>
      <c r="CV261" s="239"/>
      <c r="CW261" s="240"/>
    </row>
    <row r="262" spans="2:101" ht="16.5" customHeight="1">
      <c r="B262" s="122"/>
      <c r="E262" s="122"/>
      <c r="F262" s="194"/>
      <c r="G262" s="195"/>
      <c r="H262" s="195"/>
      <c r="I262" s="195"/>
      <c r="J262" s="196"/>
      <c r="K262" s="197"/>
      <c r="L262" s="198"/>
      <c r="M262" s="199"/>
      <c r="N262" s="200"/>
      <c r="O262" s="201"/>
      <c r="P262" s="201"/>
      <c r="Q262" s="201"/>
      <c r="R262" s="201"/>
      <c r="S262" s="201"/>
      <c r="T262" s="201"/>
      <c r="U262" s="201"/>
      <c r="V262" s="201"/>
      <c r="W262" s="201"/>
      <c r="X262" s="202"/>
      <c r="Y262" s="203"/>
      <c r="Z262" s="204"/>
      <c r="AA262" s="205"/>
      <c r="AB262" s="206"/>
      <c r="AC262" s="206"/>
      <c r="AD262" s="194"/>
      <c r="AE262" s="201"/>
      <c r="AF262" s="207"/>
      <c r="AG262" s="208"/>
      <c r="AH262" s="209"/>
      <c r="AI262" s="210"/>
      <c r="AJ262" s="197"/>
      <c r="AK262" s="201"/>
      <c r="AL262" s="196"/>
      <c r="AM262" s="201"/>
      <c r="AN262" s="201"/>
      <c r="AO262" s="201"/>
      <c r="AP262" s="211"/>
      <c r="AQ262" s="212"/>
      <c r="AR262" s="201"/>
      <c r="AS262" s="201"/>
      <c r="AT262" s="201"/>
      <c r="AU262" s="201"/>
      <c r="AV262" s="202"/>
      <c r="AW262" s="194"/>
      <c r="AX262" s="201"/>
      <c r="AY262" s="213"/>
      <c r="AZ262" s="214"/>
      <c r="BA262" s="215"/>
      <c r="BB262" s="216"/>
      <c r="BC262" s="217" t="str">
        <f t="shared" si="39"/>
        <v/>
      </c>
      <c r="BD262" s="218"/>
      <c r="BE262" s="219"/>
      <c r="BF262" s="220"/>
      <c r="BG262" s="219"/>
      <c r="BH262" s="219"/>
      <c r="BI262" s="220"/>
      <c r="BJ262" s="218"/>
      <c r="BK262" s="219"/>
      <c r="BL262" s="197"/>
      <c r="BM262" s="215"/>
      <c r="BN262" s="221"/>
      <c r="BO262" s="222" t="str">
        <f t="shared" si="40"/>
        <v/>
      </c>
      <c r="BP262" s="217" t="str">
        <f t="shared" si="41"/>
        <v/>
      </c>
      <c r="BQ262" s="215"/>
      <c r="BR262" s="224"/>
      <c r="BS262" s="225"/>
      <c r="BT262" s="223"/>
      <c r="BU262" s="215"/>
      <c r="BV262" s="226"/>
      <c r="BW262" s="222" t="str">
        <f t="shared" si="42"/>
        <v/>
      </c>
      <c r="BX262" s="223" t="str">
        <f t="shared" si="43"/>
        <v/>
      </c>
      <c r="BY262" s="215"/>
      <c r="BZ262" s="227"/>
      <c r="CA262" s="227"/>
      <c r="CB262" s="228"/>
      <c r="CC262" s="229"/>
      <c r="CD262" s="230" t="str">
        <f t="shared" si="44"/>
        <v/>
      </c>
      <c r="CE262" s="231" t="str">
        <f t="shared" si="45"/>
        <v/>
      </c>
      <c r="CF262" s="232" t="str">
        <f t="shared" si="46"/>
        <v/>
      </c>
      <c r="CG262" s="233" t="str">
        <f t="shared" si="47"/>
        <v/>
      </c>
      <c r="CH262" s="207" t="str">
        <f>IF(OR(G262="",CC262= ""), "", IF(ISERROR(SMALL((CJ262,CN262,CV262), 1)-CC262), "",  SMALL((CJ262,CN262,CV262), 1)-CC262))</f>
        <v/>
      </c>
      <c r="CI262" s="234"/>
      <c r="CJ262" s="235"/>
      <c r="CK262" s="236"/>
      <c r="CL262" s="222" t="str">
        <f t="shared" si="48"/>
        <v/>
      </c>
      <c r="CM262" s="237" t="str">
        <f>IF(OR(G262="", CJ262="",CK262=""), "", IF(ISERROR(SMALL((CN262,CV262), 1)-CK262), "",  SMALL((CN262,CV262), 1)-CK262))</f>
        <v/>
      </c>
      <c r="CN262" s="235"/>
      <c r="CO262" s="236"/>
      <c r="CP262" s="224" t="str">
        <f t="shared" si="49"/>
        <v/>
      </c>
      <c r="CQ262" s="235"/>
      <c r="CR262" s="236"/>
      <c r="CS262" s="222" t="str">
        <f t="shared" si="50"/>
        <v/>
      </c>
      <c r="CT262" s="237" t="str">
        <f t="shared" si="51"/>
        <v/>
      </c>
      <c r="CU262" s="238"/>
      <c r="CV262" s="239"/>
      <c r="CW262" s="240"/>
    </row>
    <row r="263" spans="2:101" ht="16.5" customHeight="1">
      <c r="B263" s="122"/>
      <c r="E263" s="122"/>
      <c r="F263" s="194"/>
      <c r="G263" s="195"/>
      <c r="H263" s="195"/>
      <c r="I263" s="195"/>
      <c r="J263" s="196"/>
      <c r="K263" s="197"/>
      <c r="L263" s="198"/>
      <c r="M263" s="199"/>
      <c r="N263" s="200"/>
      <c r="O263" s="201"/>
      <c r="P263" s="201"/>
      <c r="Q263" s="201"/>
      <c r="R263" s="201"/>
      <c r="S263" s="201"/>
      <c r="T263" s="201"/>
      <c r="U263" s="201"/>
      <c r="V263" s="201"/>
      <c r="W263" s="201"/>
      <c r="X263" s="202"/>
      <c r="Y263" s="203"/>
      <c r="Z263" s="204"/>
      <c r="AA263" s="205"/>
      <c r="AB263" s="206"/>
      <c r="AC263" s="206"/>
      <c r="AD263" s="194"/>
      <c r="AE263" s="201"/>
      <c r="AF263" s="207"/>
      <c r="AG263" s="208"/>
      <c r="AH263" s="209"/>
      <c r="AI263" s="210"/>
      <c r="AJ263" s="197"/>
      <c r="AK263" s="201"/>
      <c r="AL263" s="196"/>
      <c r="AM263" s="201"/>
      <c r="AN263" s="201"/>
      <c r="AO263" s="201"/>
      <c r="AP263" s="211"/>
      <c r="AQ263" s="212"/>
      <c r="AR263" s="201"/>
      <c r="AS263" s="201"/>
      <c r="AT263" s="201"/>
      <c r="AU263" s="201"/>
      <c r="AV263" s="202"/>
      <c r="AW263" s="194"/>
      <c r="AX263" s="201"/>
      <c r="AY263" s="213"/>
      <c r="AZ263" s="214"/>
      <c r="BA263" s="215"/>
      <c r="BB263" s="216"/>
      <c r="BC263" s="217" t="str">
        <f t="shared" si="39"/>
        <v/>
      </c>
      <c r="BD263" s="218"/>
      <c r="BE263" s="219"/>
      <c r="BF263" s="220"/>
      <c r="BG263" s="219"/>
      <c r="BH263" s="219"/>
      <c r="BI263" s="220"/>
      <c r="BJ263" s="218"/>
      <c r="BK263" s="219"/>
      <c r="BL263" s="197"/>
      <c r="BM263" s="215"/>
      <c r="BN263" s="221"/>
      <c r="BO263" s="222" t="str">
        <f t="shared" si="40"/>
        <v/>
      </c>
      <c r="BP263" s="217" t="str">
        <f t="shared" si="41"/>
        <v/>
      </c>
      <c r="BQ263" s="215"/>
      <c r="BR263" s="224"/>
      <c r="BS263" s="225"/>
      <c r="BT263" s="223"/>
      <c r="BU263" s="215"/>
      <c r="BV263" s="226"/>
      <c r="BW263" s="222" t="str">
        <f t="shared" si="42"/>
        <v/>
      </c>
      <c r="BX263" s="223" t="str">
        <f t="shared" si="43"/>
        <v/>
      </c>
      <c r="BY263" s="215"/>
      <c r="BZ263" s="227"/>
      <c r="CA263" s="227"/>
      <c r="CB263" s="228"/>
      <c r="CC263" s="229"/>
      <c r="CD263" s="230" t="str">
        <f t="shared" si="44"/>
        <v/>
      </c>
      <c r="CE263" s="231" t="str">
        <f t="shared" si="45"/>
        <v/>
      </c>
      <c r="CF263" s="232" t="str">
        <f t="shared" si="46"/>
        <v/>
      </c>
      <c r="CG263" s="233" t="str">
        <f t="shared" si="47"/>
        <v/>
      </c>
      <c r="CH263" s="207" t="str">
        <f>IF(OR(G263="",CC263= ""), "", IF(ISERROR(SMALL((CJ263,CN263,CV263), 1)-CC263), "",  SMALL((CJ263,CN263,CV263), 1)-CC263))</f>
        <v/>
      </c>
      <c r="CI263" s="234"/>
      <c r="CJ263" s="235"/>
      <c r="CK263" s="236"/>
      <c r="CL263" s="222" t="str">
        <f t="shared" si="48"/>
        <v/>
      </c>
      <c r="CM263" s="237" t="str">
        <f>IF(OR(G263="", CJ263="",CK263=""), "", IF(ISERROR(SMALL((CN263,CV263), 1)-CK263), "",  SMALL((CN263,CV263), 1)-CK263))</f>
        <v/>
      </c>
      <c r="CN263" s="235"/>
      <c r="CO263" s="236"/>
      <c r="CP263" s="224" t="str">
        <f t="shared" si="49"/>
        <v/>
      </c>
      <c r="CQ263" s="235"/>
      <c r="CR263" s="236"/>
      <c r="CS263" s="222" t="str">
        <f t="shared" si="50"/>
        <v/>
      </c>
      <c r="CT263" s="237" t="str">
        <f t="shared" si="51"/>
        <v/>
      </c>
      <c r="CU263" s="238"/>
      <c r="CV263" s="239"/>
      <c r="CW263" s="240"/>
    </row>
    <row r="264" spans="2:101" ht="16.5" customHeight="1">
      <c r="B264" s="122"/>
      <c r="E264" s="122"/>
      <c r="F264" s="194"/>
      <c r="G264" s="195"/>
      <c r="H264" s="195"/>
      <c r="I264" s="195"/>
      <c r="J264" s="196"/>
      <c r="K264" s="197"/>
      <c r="L264" s="198"/>
      <c r="M264" s="199"/>
      <c r="N264" s="200"/>
      <c r="O264" s="201"/>
      <c r="P264" s="201"/>
      <c r="Q264" s="201"/>
      <c r="R264" s="201"/>
      <c r="S264" s="201"/>
      <c r="T264" s="201"/>
      <c r="U264" s="201"/>
      <c r="V264" s="201"/>
      <c r="W264" s="201"/>
      <c r="X264" s="202"/>
      <c r="Y264" s="203"/>
      <c r="Z264" s="204"/>
      <c r="AA264" s="205"/>
      <c r="AB264" s="206"/>
      <c r="AC264" s="206"/>
      <c r="AD264" s="194"/>
      <c r="AE264" s="201"/>
      <c r="AF264" s="207"/>
      <c r="AG264" s="208"/>
      <c r="AH264" s="209"/>
      <c r="AI264" s="210"/>
      <c r="AJ264" s="197"/>
      <c r="AK264" s="201"/>
      <c r="AL264" s="196"/>
      <c r="AM264" s="201"/>
      <c r="AN264" s="201"/>
      <c r="AO264" s="201"/>
      <c r="AP264" s="211"/>
      <c r="AQ264" s="212"/>
      <c r="AR264" s="201"/>
      <c r="AS264" s="201"/>
      <c r="AT264" s="201"/>
      <c r="AU264" s="201"/>
      <c r="AV264" s="202"/>
      <c r="AW264" s="194"/>
      <c r="AX264" s="201"/>
      <c r="AY264" s="213"/>
      <c r="AZ264" s="214"/>
      <c r="BA264" s="215"/>
      <c r="BB264" s="216"/>
      <c r="BC264" s="217" t="str">
        <f t="shared" si="39"/>
        <v/>
      </c>
      <c r="BD264" s="218"/>
      <c r="BE264" s="219"/>
      <c r="BF264" s="220"/>
      <c r="BG264" s="219"/>
      <c r="BH264" s="219"/>
      <c r="BI264" s="220"/>
      <c r="BJ264" s="218"/>
      <c r="BK264" s="219"/>
      <c r="BL264" s="197"/>
      <c r="BM264" s="215"/>
      <c r="BN264" s="221"/>
      <c r="BO264" s="222" t="str">
        <f t="shared" si="40"/>
        <v/>
      </c>
      <c r="BP264" s="217" t="str">
        <f t="shared" si="41"/>
        <v/>
      </c>
      <c r="BQ264" s="215"/>
      <c r="BR264" s="224"/>
      <c r="BS264" s="225"/>
      <c r="BT264" s="223"/>
      <c r="BU264" s="215"/>
      <c r="BV264" s="226"/>
      <c r="BW264" s="222" t="str">
        <f t="shared" si="42"/>
        <v/>
      </c>
      <c r="BX264" s="223" t="str">
        <f t="shared" si="43"/>
        <v/>
      </c>
      <c r="BY264" s="215"/>
      <c r="BZ264" s="227"/>
      <c r="CA264" s="227"/>
      <c r="CB264" s="228"/>
      <c r="CC264" s="229"/>
      <c r="CD264" s="230" t="str">
        <f t="shared" si="44"/>
        <v/>
      </c>
      <c r="CE264" s="231" t="str">
        <f t="shared" si="45"/>
        <v/>
      </c>
      <c r="CF264" s="232" t="str">
        <f t="shared" si="46"/>
        <v/>
      </c>
      <c r="CG264" s="233" t="str">
        <f t="shared" si="47"/>
        <v/>
      </c>
      <c r="CH264" s="207" t="str">
        <f>IF(OR(G264="",CC264= ""), "", IF(ISERROR(SMALL((CJ264,CN264,CV264), 1)-CC264), "",  SMALL((CJ264,CN264,CV264), 1)-CC264))</f>
        <v/>
      </c>
      <c r="CI264" s="234"/>
      <c r="CJ264" s="235"/>
      <c r="CK264" s="236"/>
      <c r="CL264" s="222" t="str">
        <f t="shared" si="48"/>
        <v/>
      </c>
      <c r="CM264" s="237" t="str">
        <f>IF(OR(G264="", CJ264="",CK264=""), "", IF(ISERROR(SMALL((CN264,CV264), 1)-CK264), "",  SMALL((CN264,CV264), 1)-CK264))</f>
        <v/>
      </c>
      <c r="CN264" s="235"/>
      <c r="CO264" s="236"/>
      <c r="CP264" s="224" t="str">
        <f t="shared" si="49"/>
        <v/>
      </c>
      <c r="CQ264" s="235"/>
      <c r="CR264" s="236"/>
      <c r="CS264" s="222" t="str">
        <f t="shared" si="50"/>
        <v/>
      </c>
      <c r="CT264" s="237" t="str">
        <f t="shared" si="51"/>
        <v/>
      </c>
      <c r="CU264" s="238"/>
      <c r="CV264" s="239"/>
      <c r="CW264" s="240"/>
    </row>
    <row r="265" spans="2:101" ht="16.5" customHeight="1">
      <c r="B265" s="122"/>
      <c r="E265" s="122"/>
      <c r="F265" s="194"/>
      <c r="G265" s="195"/>
      <c r="H265" s="195"/>
      <c r="I265" s="195"/>
      <c r="J265" s="196"/>
      <c r="K265" s="197"/>
      <c r="L265" s="198"/>
      <c r="M265" s="199"/>
      <c r="N265" s="200"/>
      <c r="O265" s="201"/>
      <c r="P265" s="201"/>
      <c r="Q265" s="201"/>
      <c r="R265" s="201"/>
      <c r="S265" s="201"/>
      <c r="T265" s="201"/>
      <c r="U265" s="201"/>
      <c r="V265" s="201"/>
      <c r="W265" s="201"/>
      <c r="X265" s="202"/>
      <c r="Y265" s="203"/>
      <c r="Z265" s="204"/>
      <c r="AA265" s="205"/>
      <c r="AB265" s="206"/>
      <c r="AC265" s="206"/>
      <c r="AD265" s="194"/>
      <c r="AE265" s="201"/>
      <c r="AF265" s="207"/>
      <c r="AG265" s="208"/>
      <c r="AH265" s="209"/>
      <c r="AI265" s="210"/>
      <c r="AJ265" s="197"/>
      <c r="AK265" s="201"/>
      <c r="AL265" s="196"/>
      <c r="AM265" s="201"/>
      <c r="AN265" s="201"/>
      <c r="AO265" s="201"/>
      <c r="AP265" s="211"/>
      <c r="AQ265" s="212"/>
      <c r="AR265" s="201"/>
      <c r="AS265" s="201"/>
      <c r="AT265" s="201"/>
      <c r="AU265" s="201"/>
      <c r="AV265" s="202"/>
      <c r="AW265" s="194"/>
      <c r="AX265" s="201"/>
      <c r="AY265" s="213"/>
      <c r="AZ265" s="214"/>
      <c r="BA265" s="215"/>
      <c r="BB265" s="216"/>
      <c r="BC265" s="217" t="str">
        <f t="shared" ref="BC265:BC328" si="52">IF(OR($H265="", $BM265="", BB265=""), "", IF(ISERROR($BM265-BB265), "", $BM265-BB265))</f>
        <v/>
      </c>
      <c r="BD265" s="218"/>
      <c r="BE265" s="219"/>
      <c r="BF265" s="220"/>
      <c r="BG265" s="219"/>
      <c r="BH265" s="219"/>
      <c r="BI265" s="220"/>
      <c r="BJ265" s="218"/>
      <c r="BK265" s="219"/>
      <c r="BL265" s="197"/>
      <c r="BM265" s="215"/>
      <c r="BN265" s="221"/>
      <c r="BO265" s="222" t="str">
        <f t="shared" ref="BO265:BO328" si="53">IF(OR(G265="", BM265="", BN265=""), "", IF(ISERROR(BN265-BM265+1), "", BN265-BM265+1))</f>
        <v/>
      </c>
      <c r="BP265" s="217" t="str">
        <f t="shared" ref="BP265:BP328" si="54">IF(OR(G265="", BN265="", BY265=""), "", IF(ISERROR(BY265-BN265), "", BY265-BN265))</f>
        <v/>
      </c>
      <c r="BQ265" s="215"/>
      <c r="BR265" s="224"/>
      <c r="BS265" s="225"/>
      <c r="BT265" s="223"/>
      <c r="BU265" s="215"/>
      <c r="BV265" s="226"/>
      <c r="BW265" s="222" t="str">
        <f t="shared" ref="BW265:BW328" si="55">IF(OR(H265="", BU265="", BV265=""), "", IF(ISERROR(BV265-BU265+1), "", BV265-BU265+1))</f>
        <v/>
      </c>
      <c r="BX265" s="223" t="str">
        <f t="shared" ref="BX265:BX328" si="56">IF(OR(H265="", BV265="", CB265=""), "", IF(ISERROR(CB265-BV265), "", CB265-BV265))</f>
        <v/>
      </c>
      <c r="BY265" s="215"/>
      <c r="BZ265" s="227"/>
      <c r="CA265" s="227"/>
      <c r="CB265" s="228"/>
      <c r="CC265" s="229"/>
      <c r="CD265" s="230" t="str">
        <f t="shared" ref="CD265:CD328" si="57">IF(OR($H265="",$BY265="",$CB265=""),"",IF((ISERROR($CB265-$BY265+1)),"",$CB265-$BY265+1))</f>
        <v/>
      </c>
      <c r="CE265" s="231" t="str">
        <f t="shared" ref="CE265:CE328" si="58">IF(OR(CB265="", CC265=""),"", IF(ISERROR(CC265-CB265+1), "",CC265-CB265+1))</f>
        <v/>
      </c>
      <c r="CF265" s="232" t="str">
        <f t="shared" ref="CF265:CF328" si="59">IF(OR(BY265="", CC265=""), "", IF(ISERROR(CC265-BY265+1), "",CC265-BY265+1))</f>
        <v/>
      </c>
      <c r="CG265" s="233" t="str">
        <f t="shared" ref="CG265:CG328" si="60">IF(OR(G265="", CC265="", CV265=""), "", IF(ISERROR(CV265-CC265), "", CV265-CC265))</f>
        <v/>
      </c>
      <c r="CH265" s="207" t="str">
        <f>IF(OR(G265="",CC265= ""), "", IF(ISERROR(SMALL((CJ265,CN265,CV265), 1)-CC265), "",  SMALL((CJ265,CN265,CV265), 1)-CC265))</f>
        <v/>
      </c>
      <c r="CI265" s="234"/>
      <c r="CJ265" s="235"/>
      <c r="CK265" s="236"/>
      <c r="CL265" s="222" t="str">
        <f t="shared" ref="CL265:CL328" si="61">IF(OR(G265="", CJ265="", CK265=""), "",   IF(ISERROR(CK265-CJ265+1), "",CK265-CJ265+1))</f>
        <v/>
      </c>
      <c r="CM265" s="237" t="str">
        <f>IF(OR(G265="", CJ265="",CK265=""), "", IF(ISERROR(SMALL((CN265,CV265), 1)-CK265), "",  SMALL((CN265,CV265), 1)-CK265))</f>
        <v/>
      </c>
      <c r="CN265" s="235"/>
      <c r="CO265" s="236"/>
      <c r="CP265" s="224" t="str">
        <f t="shared" ref="CP265:CP328" si="62">IF(OR(G265="", CN265="", CO265=""), "",   IF(ISERROR(CO265-CN265+1), "",CO265-CN265+1))</f>
        <v/>
      </c>
      <c r="CQ265" s="235"/>
      <c r="CR265" s="236"/>
      <c r="CS265" s="222" t="str">
        <f t="shared" ref="CS265:CS328" si="63">IF(OR(G265="", CQ265="", CR265=""), "",   IF(ISERROR(CR265-CQ265+1), "",CR265-CQ265+1))</f>
        <v/>
      </c>
      <c r="CT265" s="237" t="str">
        <f t="shared" ref="CT265:CT328" si="64">IF(AND(G265="", CK265="",CR265=""), "",IF(CR265="", IF(ISERROR(CV265-CK265), "",  CV265-CK265),  IF(ISERROR(CV265-CR265), "", CV265-CR265)))</f>
        <v/>
      </c>
      <c r="CU265" s="238"/>
      <c r="CV265" s="239"/>
      <c r="CW265" s="240"/>
    </row>
    <row r="266" spans="2:101" ht="16.5" customHeight="1">
      <c r="B266" s="122"/>
      <c r="E266" s="122"/>
      <c r="F266" s="194"/>
      <c r="G266" s="195"/>
      <c r="H266" s="195"/>
      <c r="I266" s="195"/>
      <c r="J266" s="196"/>
      <c r="K266" s="197"/>
      <c r="L266" s="198"/>
      <c r="M266" s="199"/>
      <c r="N266" s="200"/>
      <c r="O266" s="201"/>
      <c r="P266" s="201"/>
      <c r="Q266" s="201"/>
      <c r="R266" s="201"/>
      <c r="S266" s="201"/>
      <c r="T266" s="201"/>
      <c r="U266" s="201"/>
      <c r="V266" s="201"/>
      <c r="W266" s="201"/>
      <c r="X266" s="202"/>
      <c r="Y266" s="203"/>
      <c r="Z266" s="204"/>
      <c r="AA266" s="205"/>
      <c r="AB266" s="206"/>
      <c r="AC266" s="206"/>
      <c r="AD266" s="194"/>
      <c r="AE266" s="201"/>
      <c r="AF266" s="207"/>
      <c r="AG266" s="208"/>
      <c r="AH266" s="209"/>
      <c r="AI266" s="210"/>
      <c r="AJ266" s="197"/>
      <c r="AK266" s="201"/>
      <c r="AL266" s="196"/>
      <c r="AM266" s="201"/>
      <c r="AN266" s="201"/>
      <c r="AO266" s="201"/>
      <c r="AP266" s="211"/>
      <c r="AQ266" s="212"/>
      <c r="AR266" s="201"/>
      <c r="AS266" s="201"/>
      <c r="AT266" s="201"/>
      <c r="AU266" s="201"/>
      <c r="AV266" s="202"/>
      <c r="AW266" s="194"/>
      <c r="AX266" s="201"/>
      <c r="AY266" s="213"/>
      <c r="AZ266" s="214"/>
      <c r="BA266" s="215"/>
      <c r="BB266" s="216"/>
      <c r="BC266" s="217" t="str">
        <f t="shared" si="52"/>
        <v/>
      </c>
      <c r="BD266" s="218"/>
      <c r="BE266" s="219"/>
      <c r="BF266" s="220"/>
      <c r="BG266" s="219"/>
      <c r="BH266" s="219"/>
      <c r="BI266" s="220"/>
      <c r="BJ266" s="218"/>
      <c r="BK266" s="219"/>
      <c r="BL266" s="197"/>
      <c r="BM266" s="215"/>
      <c r="BN266" s="221"/>
      <c r="BO266" s="222" t="str">
        <f t="shared" si="53"/>
        <v/>
      </c>
      <c r="BP266" s="217" t="str">
        <f t="shared" si="54"/>
        <v/>
      </c>
      <c r="BQ266" s="215"/>
      <c r="BR266" s="224"/>
      <c r="BS266" s="225"/>
      <c r="BT266" s="223"/>
      <c r="BU266" s="215"/>
      <c r="BV266" s="226"/>
      <c r="BW266" s="222" t="str">
        <f t="shared" si="55"/>
        <v/>
      </c>
      <c r="BX266" s="223" t="str">
        <f t="shared" si="56"/>
        <v/>
      </c>
      <c r="BY266" s="215"/>
      <c r="BZ266" s="227"/>
      <c r="CA266" s="227"/>
      <c r="CB266" s="228"/>
      <c r="CC266" s="229"/>
      <c r="CD266" s="230" t="str">
        <f t="shared" si="57"/>
        <v/>
      </c>
      <c r="CE266" s="231" t="str">
        <f t="shared" si="58"/>
        <v/>
      </c>
      <c r="CF266" s="232" t="str">
        <f t="shared" si="59"/>
        <v/>
      </c>
      <c r="CG266" s="233" t="str">
        <f t="shared" si="60"/>
        <v/>
      </c>
      <c r="CH266" s="207" t="str">
        <f>IF(OR(G266="",CC266= ""), "", IF(ISERROR(SMALL((CJ266,CN266,CV266), 1)-CC266), "",  SMALL((CJ266,CN266,CV266), 1)-CC266))</f>
        <v/>
      </c>
      <c r="CI266" s="234"/>
      <c r="CJ266" s="235"/>
      <c r="CK266" s="236"/>
      <c r="CL266" s="222" t="str">
        <f t="shared" si="61"/>
        <v/>
      </c>
      <c r="CM266" s="237" t="str">
        <f>IF(OR(G266="", CJ266="",CK266=""), "", IF(ISERROR(SMALL((CN266,CV266), 1)-CK266), "",  SMALL((CN266,CV266), 1)-CK266))</f>
        <v/>
      </c>
      <c r="CN266" s="235"/>
      <c r="CO266" s="236"/>
      <c r="CP266" s="224" t="str">
        <f t="shared" si="62"/>
        <v/>
      </c>
      <c r="CQ266" s="235"/>
      <c r="CR266" s="236"/>
      <c r="CS266" s="222" t="str">
        <f t="shared" si="63"/>
        <v/>
      </c>
      <c r="CT266" s="237" t="str">
        <f t="shared" si="64"/>
        <v/>
      </c>
      <c r="CU266" s="238"/>
      <c r="CV266" s="239"/>
      <c r="CW266" s="240"/>
    </row>
    <row r="267" spans="2:101" ht="16.5" customHeight="1">
      <c r="B267" s="122"/>
      <c r="E267" s="122"/>
      <c r="F267" s="194"/>
      <c r="G267" s="195"/>
      <c r="H267" s="195"/>
      <c r="I267" s="195"/>
      <c r="J267" s="196"/>
      <c r="K267" s="197"/>
      <c r="L267" s="198"/>
      <c r="M267" s="199"/>
      <c r="N267" s="200"/>
      <c r="O267" s="201"/>
      <c r="P267" s="201"/>
      <c r="Q267" s="201"/>
      <c r="R267" s="201"/>
      <c r="S267" s="201"/>
      <c r="T267" s="201"/>
      <c r="U267" s="201"/>
      <c r="V267" s="201"/>
      <c r="W267" s="201"/>
      <c r="X267" s="202"/>
      <c r="Y267" s="203"/>
      <c r="Z267" s="204"/>
      <c r="AA267" s="205"/>
      <c r="AB267" s="206"/>
      <c r="AC267" s="206"/>
      <c r="AD267" s="194"/>
      <c r="AE267" s="201"/>
      <c r="AF267" s="207"/>
      <c r="AG267" s="208"/>
      <c r="AH267" s="209"/>
      <c r="AI267" s="210"/>
      <c r="AJ267" s="197"/>
      <c r="AK267" s="201"/>
      <c r="AL267" s="196"/>
      <c r="AM267" s="201"/>
      <c r="AN267" s="201"/>
      <c r="AO267" s="201"/>
      <c r="AP267" s="211"/>
      <c r="AQ267" s="212"/>
      <c r="AR267" s="201"/>
      <c r="AS267" s="201"/>
      <c r="AT267" s="201"/>
      <c r="AU267" s="201"/>
      <c r="AV267" s="202"/>
      <c r="AW267" s="194"/>
      <c r="AX267" s="201"/>
      <c r="AY267" s="213"/>
      <c r="AZ267" s="214"/>
      <c r="BA267" s="215"/>
      <c r="BB267" s="216"/>
      <c r="BC267" s="217" t="str">
        <f t="shared" si="52"/>
        <v/>
      </c>
      <c r="BD267" s="218"/>
      <c r="BE267" s="219"/>
      <c r="BF267" s="220"/>
      <c r="BG267" s="219"/>
      <c r="BH267" s="219"/>
      <c r="BI267" s="220"/>
      <c r="BJ267" s="218"/>
      <c r="BK267" s="219"/>
      <c r="BL267" s="197"/>
      <c r="BM267" s="215"/>
      <c r="BN267" s="221"/>
      <c r="BO267" s="222" t="str">
        <f t="shared" si="53"/>
        <v/>
      </c>
      <c r="BP267" s="217" t="str">
        <f t="shared" si="54"/>
        <v/>
      </c>
      <c r="BQ267" s="215"/>
      <c r="BR267" s="224"/>
      <c r="BS267" s="225"/>
      <c r="BT267" s="223"/>
      <c r="BU267" s="215"/>
      <c r="BV267" s="226"/>
      <c r="BW267" s="222" t="str">
        <f t="shared" si="55"/>
        <v/>
      </c>
      <c r="BX267" s="223" t="str">
        <f t="shared" si="56"/>
        <v/>
      </c>
      <c r="BY267" s="215"/>
      <c r="BZ267" s="227"/>
      <c r="CA267" s="227"/>
      <c r="CB267" s="228"/>
      <c r="CC267" s="229"/>
      <c r="CD267" s="230" t="str">
        <f t="shared" si="57"/>
        <v/>
      </c>
      <c r="CE267" s="231" t="str">
        <f t="shared" si="58"/>
        <v/>
      </c>
      <c r="CF267" s="232" t="str">
        <f t="shared" si="59"/>
        <v/>
      </c>
      <c r="CG267" s="233" t="str">
        <f t="shared" si="60"/>
        <v/>
      </c>
      <c r="CH267" s="207" t="str">
        <f>IF(OR(G267="",CC267= ""), "", IF(ISERROR(SMALL((CJ267,CN267,CV267), 1)-CC267), "",  SMALL((CJ267,CN267,CV267), 1)-CC267))</f>
        <v/>
      </c>
      <c r="CI267" s="234"/>
      <c r="CJ267" s="235"/>
      <c r="CK267" s="236"/>
      <c r="CL267" s="222" t="str">
        <f t="shared" si="61"/>
        <v/>
      </c>
      <c r="CM267" s="237" t="str">
        <f>IF(OR(G267="", CJ267="",CK267=""), "", IF(ISERROR(SMALL((CN267,CV267), 1)-CK267), "",  SMALL((CN267,CV267), 1)-CK267))</f>
        <v/>
      </c>
      <c r="CN267" s="235"/>
      <c r="CO267" s="236"/>
      <c r="CP267" s="224" t="str">
        <f t="shared" si="62"/>
        <v/>
      </c>
      <c r="CQ267" s="235"/>
      <c r="CR267" s="236"/>
      <c r="CS267" s="222" t="str">
        <f t="shared" si="63"/>
        <v/>
      </c>
      <c r="CT267" s="237" t="str">
        <f t="shared" si="64"/>
        <v/>
      </c>
      <c r="CU267" s="238"/>
      <c r="CV267" s="239"/>
      <c r="CW267" s="240"/>
    </row>
    <row r="268" spans="2:101" ht="16.5" customHeight="1">
      <c r="B268" s="122"/>
      <c r="E268" s="122"/>
      <c r="F268" s="194"/>
      <c r="G268" s="195"/>
      <c r="H268" s="195"/>
      <c r="I268" s="195"/>
      <c r="J268" s="196"/>
      <c r="K268" s="197"/>
      <c r="L268" s="198"/>
      <c r="M268" s="199"/>
      <c r="N268" s="200"/>
      <c r="O268" s="201"/>
      <c r="P268" s="201"/>
      <c r="Q268" s="201"/>
      <c r="R268" s="201"/>
      <c r="S268" s="201"/>
      <c r="T268" s="201"/>
      <c r="U268" s="201"/>
      <c r="V268" s="201"/>
      <c r="W268" s="201"/>
      <c r="X268" s="202"/>
      <c r="Y268" s="203"/>
      <c r="Z268" s="204"/>
      <c r="AA268" s="205"/>
      <c r="AB268" s="206"/>
      <c r="AC268" s="206"/>
      <c r="AD268" s="194"/>
      <c r="AE268" s="201"/>
      <c r="AF268" s="207"/>
      <c r="AG268" s="208"/>
      <c r="AH268" s="209"/>
      <c r="AI268" s="210"/>
      <c r="AJ268" s="197"/>
      <c r="AK268" s="201"/>
      <c r="AL268" s="196"/>
      <c r="AM268" s="201"/>
      <c r="AN268" s="201"/>
      <c r="AO268" s="201"/>
      <c r="AP268" s="211"/>
      <c r="AQ268" s="212"/>
      <c r="AR268" s="201"/>
      <c r="AS268" s="201"/>
      <c r="AT268" s="201"/>
      <c r="AU268" s="201"/>
      <c r="AV268" s="202"/>
      <c r="AW268" s="194"/>
      <c r="AX268" s="201"/>
      <c r="AY268" s="213"/>
      <c r="AZ268" s="214"/>
      <c r="BA268" s="215"/>
      <c r="BB268" s="216"/>
      <c r="BC268" s="217" t="str">
        <f t="shared" si="52"/>
        <v/>
      </c>
      <c r="BD268" s="218"/>
      <c r="BE268" s="219"/>
      <c r="BF268" s="220"/>
      <c r="BG268" s="219"/>
      <c r="BH268" s="219"/>
      <c r="BI268" s="220"/>
      <c r="BJ268" s="218"/>
      <c r="BK268" s="219"/>
      <c r="BL268" s="197"/>
      <c r="BM268" s="215"/>
      <c r="BN268" s="221"/>
      <c r="BO268" s="222" t="str">
        <f t="shared" si="53"/>
        <v/>
      </c>
      <c r="BP268" s="217" t="str">
        <f t="shared" si="54"/>
        <v/>
      </c>
      <c r="BQ268" s="215"/>
      <c r="BR268" s="224"/>
      <c r="BS268" s="225"/>
      <c r="BT268" s="223"/>
      <c r="BU268" s="215"/>
      <c r="BV268" s="226"/>
      <c r="BW268" s="222" t="str">
        <f t="shared" si="55"/>
        <v/>
      </c>
      <c r="BX268" s="223" t="str">
        <f t="shared" si="56"/>
        <v/>
      </c>
      <c r="BY268" s="215"/>
      <c r="BZ268" s="227"/>
      <c r="CA268" s="227"/>
      <c r="CB268" s="228"/>
      <c r="CC268" s="229"/>
      <c r="CD268" s="230" t="str">
        <f t="shared" si="57"/>
        <v/>
      </c>
      <c r="CE268" s="231" t="str">
        <f t="shared" si="58"/>
        <v/>
      </c>
      <c r="CF268" s="232" t="str">
        <f t="shared" si="59"/>
        <v/>
      </c>
      <c r="CG268" s="233" t="str">
        <f t="shared" si="60"/>
        <v/>
      </c>
      <c r="CH268" s="207" t="str">
        <f>IF(OR(G268="",CC268= ""), "", IF(ISERROR(SMALL((CJ268,CN268,CV268), 1)-CC268), "",  SMALL((CJ268,CN268,CV268), 1)-CC268))</f>
        <v/>
      </c>
      <c r="CI268" s="234"/>
      <c r="CJ268" s="235"/>
      <c r="CK268" s="236"/>
      <c r="CL268" s="222" t="str">
        <f t="shared" si="61"/>
        <v/>
      </c>
      <c r="CM268" s="237" t="str">
        <f>IF(OR(G268="", CJ268="",CK268=""), "", IF(ISERROR(SMALL((CN268,CV268), 1)-CK268), "",  SMALL((CN268,CV268), 1)-CK268))</f>
        <v/>
      </c>
      <c r="CN268" s="235"/>
      <c r="CO268" s="236"/>
      <c r="CP268" s="224" t="str">
        <f t="shared" si="62"/>
        <v/>
      </c>
      <c r="CQ268" s="235"/>
      <c r="CR268" s="236"/>
      <c r="CS268" s="222" t="str">
        <f t="shared" si="63"/>
        <v/>
      </c>
      <c r="CT268" s="237" t="str">
        <f t="shared" si="64"/>
        <v/>
      </c>
      <c r="CU268" s="238"/>
      <c r="CV268" s="239"/>
      <c r="CW268" s="240"/>
    </row>
    <row r="269" spans="2:101" ht="16.5" customHeight="1">
      <c r="B269" s="122"/>
      <c r="E269" s="122"/>
      <c r="F269" s="194"/>
      <c r="G269" s="195"/>
      <c r="H269" s="195"/>
      <c r="I269" s="195"/>
      <c r="J269" s="196"/>
      <c r="K269" s="197"/>
      <c r="L269" s="198"/>
      <c r="M269" s="199"/>
      <c r="N269" s="200"/>
      <c r="O269" s="201"/>
      <c r="P269" s="201"/>
      <c r="Q269" s="201"/>
      <c r="R269" s="201"/>
      <c r="S269" s="201"/>
      <c r="T269" s="201"/>
      <c r="U269" s="201"/>
      <c r="V269" s="201"/>
      <c r="W269" s="201"/>
      <c r="X269" s="202"/>
      <c r="Y269" s="203"/>
      <c r="Z269" s="204"/>
      <c r="AA269" s="205"/>
      <c r="AB269" s="206"/>
      <c r="AC269" s="206"/>
      <c r="AD269" s="194"/>
      <c r="AE269" s="201"/>
      <c r="AF269" s="207"/>
      <c r="AG269" s="208"/>
      <c r="AH269" s="209"/>
      <c r="AI269" s="210"/>
      <c r="AJ269" s="197"/>
      <c r="AK269" s="201"/>
      <c r="AL269" s="196"/>
      <c r="AM269" s="201"/>
      <c r="AN269" s="201"/>
      <c r="AO269" s="201"/>
      <c r="AP269" s="211"/>
      <c r="AQ269" s="212"/>
      <c r="AR269" s="201"/>
      <c r="AS269" s="201"/>
      <c r="AT269" s="201"/>
      <c r="AU269" s="201"/>
      <c r="AV269" s="202"/>
      <c r="AW269" s="194"/>
      <c r="AX269" s="201"/>
      <c r="AY269" s="213"/>
      <c r="AZ269" s="214"/>
      <c r="BA269" s="215"/>
      <c r="BB269" s="216"/>
      <c r="BC269" s="217" t="str">
        <f t="shared" si="52"/>
        <v/>
      </c>
      <c r="BD269" s="218"/>
      <c r="BE269" s="219"/>
      <c r="BF269" s="220"/>
      <c r="BG269" s="219"/>
      <c r="BH269" s="219"/>
      <c r="BI269" s="220"/>
      <c r="BJ269" s="218"/>
      <c r="BK269" s="219"/>
      <c r="BL269" s="197"/>
      <c r="BM269" s="215"/>
      <c r="BN269" s="221"/>
      <c r="BO269" s="222" t="str">
        <f t="shared" si="53"/>
        <v/>
      </c>
      <c r="BP269" s="217" t="str">
        <f t="shared" si="54"/>
        <v/>
      </c>
      <c r="BQ269" s="215"/>
      <c r="BR269" s="224"/>
      <c r="BS269" s="225"/>
      <c r="BT269" s="223"/>
      <c r="BU269" s="215"/>
      <c r="BV269" s="226"/>
      <c r="BW269" s="222" t="str">
        <f t="shared" si="55"/>
        <v/>
      </c>
      <c r="BX269" s="223" t="str">
        <f t="shared" si="56"/>
        <v/>
      </c>
      <c r="BY269" s="215"/>
      <c r="BZ269" s="227"/>
      <c r="CA269" s="227"/>
      <c r="CB269" s="228"/>
      <c r="CC269" s="229"/>
      <c r="CD269" s="230" t="str">
        <f t="shared" si="57"/>
        <v/>
      </c>
      <c r="CE269" s="231" t="str">
        <f t="shared" si="58"/>
        <v/>
      </c>
      <c r="CF269" s="232" t="str">
        <f t="shared" si="59"/>
        <v/>
      </c>
      <c r="CG269" s="233" t="str">
        <f t="shared" si="60"/>
        <v/>
      </c>
      <c r="CH269" s="207" t="str">
        <f>IF(OR(G269="",CC269= ""), "", IF(ISERROR(SMALL((CJ269,CN269,CV269), 1)-CC269), "",  SMALL((CJ269,CN269,CV269), 1)-CC269))</f>
        <v/>
      </c>
      <c r="CI269" s="234"/>
      <c r="CJ269" s="235"/>
      <c r="CK269" s="236"/>
      <c r="CL269" s="222" t="str">
        <f t="shared" si="61"/>
        <v/>
      </c>
      <c r="CM269" s="237" t="str">
        <f>IF(OR(G269="", CJ269="",CK269=""), "", IF(ISERROR(SMALL((CN269,CV269), 1)-CK269), "",  SMALL((CN269,CV269), 1)-CK269))</f>
        <v/>
      </c>
      <c r="CN269" s="235"/>
      <c r="CO269" s="236"/>
      <c r="CP269" s="224" t="str">
        <f t="shared" si="62"/>
        <v/>
      </c>
      <c r="CQ269" s="235"/>
      <c r="CR269" s="236"/>
      <c r="CS269" s="222" t="str">
        <f t="shared" si="63"/>
        <v/>
      </c>
      <c r="CT269" s="237" t="str">
        <f t="shared" si="64"/>
        <v/>
      </c>
      <c r="CU269" s="238"/>
      <c r="CV269" s="239"/>
      <c r="CW269" s="240"/>
    </row>
    <row r="270" spans="2:101" ht="16.5" customHeight="1">
      <c r="B270" s="122"/>
      <c r="E270" s="122"/>
      <c r="F270" s="194"/>
      <c r="G270" s="195"/>
      <c r="H270" s="195"/>
      <c r="I270" s="195"/>
      <c r="J270" s="196"/>
      <c r="K270" s="197"/>
      <c r="L270" s="198"/>
      <c r="M270" s="199"/>
      <c r="N270" s="200"/>
      <c r="O270" s="201"/>
      <c r="P270" s="201"/>
      <c r="Q270" s="201"/>
      <c r="R270" s="201"/>
      <c r="S270" s="201"/>
      <c r="T270" s="201"/>
      <c r="U270" s="201"/>
      <c r="V270" s="201"/>
      <c r="W270" s="201"/>
      <c r="X270" s="202"/>
      <c r="Y270" s="203"/>
      <c r="Z270" s="204"/>
      <c r="AA270" s="205"/>
      <c r="AB270" s="206"/>
      <c r="AC270" s="206"/>
      <c r="AD270" s="194"/>
      <c r="AE270" s="201"/>
      <c r="AF270" s="207"/>
      <c r="AG270" s="208"/>
      <c r="AH270" s="209"/>
      <c r="AI270" s="210"/>
      <c r="AJ270" s="197"/>
      <c r="AK270" s="201"/>
      <c r="AL270" s="196"/>
      <c r="AM270" s="201"/>
      <c r="AN270" s="201"/>
      <c r="AO270" s="201"/>
      <c r="AP270" s="211"/>
      <c r="AQ270" s="212"/>
      <c r="AR270" s="201"/>
      <c r="AS270" s="201"/>
      <c r="AT270" s="201"/>
      <c r="AU270" s="201"/>
      <c r="AV270" s="202"/>
      <c r="AW270" s="194"/>
      <c r="AX270" s="201"/>
      <c r="AY270" s="213"/>
      <c r="AZ270" s="214"/>
      <c r="BA270" s="215"/>
      <c r="BB270" s="216"/>
      <c r="BC270" s="217" t="str">
        <f t="shared" si="52"/>
        <v/>
      </c>
      <c r="BD270" s="218"/>
      <c r="BE270" s="219"/>
      <c r="BF270" s="220"/>
      <c r="BG270" s="219"/>
      <c r="BH270" s="219"/>
      <c r="BI270" s="220"/>
      <c r="BJ270" s="218"/>
      <c r="BK270" s="219"/>
      <c r="BL270" s="197"/>
      <c r="BM270" s="215"/>
      <c r="BN270" s="221"/>
      <c r="BO270" s="222" t="str">
        <f t="shared" si="53"/>
        <v/>
      </c>
      <c r="BP270" s="217" t="str">
        <f t="shared" si="54"/>
        <v/>
      </c>
      <c r="BQ270" s="215"/>
      <c r="BR270" s="224"/>
      <c r="BS270" s="225"/>
      <c r="BT270" s="223"/>
      <c r="BU270" s="215"/>
      <c r="BV270" s="226"/>
      <c r="BW270" s="222" t="str">
        <f t="shared" si="55"/>
        <v/>
      </c>
      <c r="BX270" s="223" t="str">
        <f t="shared" si="56"/>
        <v/>
      </c>
      <c r="BY270" s="215"/>
      <c r="BZ270" s="227"/>
      <c r="CA270" s="227"/>
      <c r="CB270" s="228"/>
      <c r="CC270" s="229"/>
      <c r="CD270" s="230" t="str">
        <f t="shared" si="57"/>
        <v/>
      </c>
      <c r="CE270" s="231" t="str">
        <f t="shared" si="58"/>
        <v/>
      </c>
      <c r="CF270" s="232" t="str">
        <f t="shared" si="59"/>
        <v/>
      </c>
      <c r="CG270" s="233" t="str">
        <f t="shared" si="60"/>
        <v/>
      </c>
      <c r="CH270" s="207" t="str">
        <f>IF(OR(G270="",CC270= ""), "", IF(ISERROR(SMALL((CJ270,CN270,CV270), 1)-CC270), "",  SMALL((CJ270,CN270,CV270), 1)-CC270))</f>
        <v/>
      </c>
      <c r="CI270" s="234"/>
      <c r="CJ270" s="235"/>
      <c r="CK270" s="236"/>
      <c r="CL270" s="222" t="str">
        <f t="shared" si="61"/>
        <v/>
      </c>
      <c r="CM270" s="237" t="str">
        <f>IF(OR(G270="", CJ270="",CK270=""), "", IF(ISERROR(SMALL((CN270,CV270), 1)-CK270), "",  SMALL((CN270,CV270), 1)-CK270))</f>
        <v/>
      </c>
      <c r="CN270" s="235"/>
      <c r="CO270" s="236"/>
      <c r="CP270" s="224" t="str">
        <f t="shared" si="62"/>
        <v/>
      </c>
      <c r="CQ270" s="235"/>
      <c r="CR270" s="236"/>
      <c r="CS270" s="222" t="str">
        <f t="shared" si="63"/>
        <v/>
      </c>
      <c r="CT270" s="237" t="str">
        <f t="shared" si="64"/>
        <v/>
      </c>
      <c r="CU270" s="238"/>
      <c r="CV270" s="239"/>
      <c r="CW270" s="240"/>
    </row>
    <row r="271" spans="2:101" ht="16.5" customHeight="1">
      <c r="B271" s="122"/>
      <c r="E271" s="122"/>
      <c r="F271" s="194"/>
      <c r="G271" s="195"/>
      <c r="H271" s="195"/>
      <c r="I271" s="195"/>
      <c r="J271" s="196"/>
      <c r="K271" s="197"/>
      <c r="L271" s="198"/>
      <c r="M271" s="199"/>
      <c r="N271" s="200"/>
      <c r="O271" s="201"/>
      <c r="P271" s="201"/>
      <c r="Q271" s="201"/>
      <c r="R271" s="201"/>
      <c r="S271" s="201"/>
      <c r="T271" s="201"/>
      <c r="U271" s="201"/>
      <c r="V271" s="201"/>
      <c r="W271" s="201"/>
      <c r="X271" s="202"/>
      <c r="Y271" s="203"/>
      <c r="Z271" s="204"/>
      <c r="AA271" s="205"/>
      <c r="AB271" s="206"/>
      <c r="AC271" s="206"/>
      <c r="AD271" s="194"/>
      <c r="AE271" s="201"/>
      <c r="AF271" s="207"/>
      <c r="AG271" s="208"/>
      <c r="AH271" s="209"/>
      <c r="AI271" s="210"/>
      <c r="AJ271" s="197"/>
      <c r="AK271" s="201"/>
      <c r="AL271" s="196"/>
      <c r="AM271" s="201"/>
      <c r="AN271" s="201"/>
      <c r="AO271" s="201"/>
      <c r="AP271" s="211"/>
      <c r="AQ271" s="212"/>
      <c r="AR271" s="201"/>
      <c r="AS271" s="201"/>
      <c r="AT271" s="201"/>
      <c r="AU271" s="201"/>
      <c r="AV271" s="202"/>
      <c r="AW271" s="194"/>
      <c r="AX271" s="201"/>
      <c r="AY271" s="213"/>
      <c r="AZ271" s="214"/>
      <c r="BA271" s="215"/>
      <c r="BB271" s="216"/>
      <c r="BC271" s="217" t="str">
        <f t="shared" si="52"/>
        <v/>
      </c>
      <c r="BD271" s="218"/>
      <c r="BE271" s="219"/>
      <c r="BF271" s="220"/>
      <c r="BG271" s="219"/>
      <c r="BH271" s="219"/>
      <c r="BI271" s="220"/>
      <c r="BJ271" s="218"/>
      <c r="BK271" s="219"/>
      <c r="BL271" s="197"/>
      <c r="BM271" s="215"/>
      <c r="BN271" s="221"/>
      <c r="BO271" s="222" t="str">
        <f t="shared" si="53"/>
        <v/>
      </c>
      <c r="BP271" s="217" t="str">
        <f t="shared" si="54"/>
        <v/>
      </c>
      <c r="BQ271" s="215"/>
      <c r="BR271" s="224"/>
      <c r="BS271" s="225"/>
      <c r="BT271" s="223"/>
      <c r="BU271" s="215"/>
      <c r="BV271" s="226"/>
      <c r="BW271" s="222" t="str">
        <f t="shared" si="55"/>
        <v/>
      </c>
      <c r="BX271" s="223" t="str">
        <f t="shared" si="56"/>
        <v/>
      </c>
      <c r="BY271" s="215"/>
      <c r="BZ271" s="227"/>
      <c r="CA271" s="227"/>
      <c r="CB271" s="228"/>
      <c r="CC271" s="229"/>
      <c r="CD271" s="230" t="str">
        <f t="shared" si="57"/>
        <v/>
      </c>
      <c r="CE271" s="231" t="str">
        <f t="shared" si="58"/>
        <v/>
      </c>
      <c r="CF271" s="232" t="str">
        <f t="shared" si="59"/>
        <v/>
      </c>
      <c r="CG271" s="233" t="str">
        <f t="shared" si="60"/>
        <v/>
      </c>
      <c r="CH271" s="207" t="str">
        <f>IF(OR(G271="",CC271= ""), "", IF(ISERROR(SMALL((CJ271,CN271,CV271), 1)-CC271), "",  SMALL((CJ271,CN271,CV271), 1)-CC271))</f>
        <v/>
      </c>
      <c r="CI271" s="234"/>
      <c r="CJ271" s="235"/>
      <c r="CK271" s="236"/>
      <c r="CL271" s="222" t="str">
        <f t="shared" si="61"/>
        <v/>
      </c>
      <c r="CM271" s="237" t="str">
        <f>IF(OR(G271="", CJ271="",CK271=""), "", IF(ISERROR(SMALL((CN271,CV271), 1)-CK271), "",  SMALL((CN271,CV271), 1)-CK271))</f>
        <v/>
      </c>
      <c r="CN271" s="235"/>
      <c r="CO271" s="236"/>
      <c r="CP271" s="224" t="str">
        <f t="shared" si="62"/>
        <v/>
      </c>
      <c r="CQ271" s="235"/>
      <c r="CR271" s="236"/>
      <c r="CS271" s="222" t="str">
        <f t="shared" si="63"/>
        <v/>
      </c>
      <c r="CT271" s="237" t="str">
        <f t="shared" si="64"/>
        <v/>
      </c>
      <c r="CU271" s="238"/>
      <c r="CV271" s="239"/>
      <c r="CW271" s="240"/>
    </row>
    <row r="272" spans="2:101" ht="16.5" customHeight="1">
      <c r="B272" s="122"/>
      <c r="E272" s="122"/>
      <c r="F272" s="194"/>
      <c r="G272" s="195"/>
      <c r="H272" s="195"/>
      <c r="I272" s="195"/>
      <c r="J272" s="196"/>
      <c r="K272" s="197"/>
      <c r="L272" s="198"/>
      <c r="M272" s="199"/>
      <c r="N272" s="200"/>
      <c r="O272" s="201"/>
      <c r="P272" s="201"/>
      <c r="Q272" s="201"/>
      <c r="R272" s="201"/>
      <c r="S272" s="201"/>
      <c r="T272" s="201"/>
      <c r="U272" s="201"/>
      <c r="V272" s="201"/>
      <c r="W272" s="201"/>
      <c r="X272" s="202"/>
      <c r="Y272" s="203"/>
      <c r="Z272" s="204"/>
      <c r="AA272" s="205"/>
      <c r="AB272" s="206"/>
      <c r="AC272" s="206"/>
      <c r="AD272" s="194"/>
      <c r="AE272" s="201"/>
      <c r="AF272" s="207"/>
      <c r="AG272" s="208"/>
      <c r="AH272" s="209"/>
      <c r="AI272" s="210"/>
      <c r="AJ272" s="197"/>
      <c r="AK272" s="201"/>
      <c r="AL272" s="196"/>
      <c r="AM272" s="201"/>
      <c r="AN272" s="201"/>
      <c r="AO272" s="201"/>
      <c r="AP272" s="211"/>
      <c r="AQ272" s="212"/>
      <c r="AR272" s="201"/>
      <c r="AS272" s="201"/>
      <c r="AT272" s="201"/>
      <c r="AU272" s="201"/>
      <c r="AV272" s="202"/>
      <c r="AW272" s="194"/>
      <c r="AX272" s="201"/>
      <c r="AY272" s="213"/>
      <c r="AZ272" s="214"/>
      <c r="BA272" s="215"/>
      <c r="BB272" s="216"/>
      <c r="BC272" s="217" t="str">
        <f t="shared" si="52"/>
        <v/>
      </c>
      <c r="BD272" s="218"/>
      <c r="BE272" s="219"/>
      <c r="BF272" s="220"/>
      <c r="BG272" s="219"/>
      <c r="BH272" s="219"/>
      <c r="BI272" s="220"/>
      <c r="BJ272" s="218"/>
      <c r="BK272" s="219"/>
      <c r="BL272" s="197"/>
      <c r="BM272" s="215"/>
      <c r="BN272" s="221"/>
      <c r="BO272" s="222" t="str">
        <f t="shared" si="53"/>
        <v/>
      </c>
      <c r="BP272" s="217" t="str">
        <f t="shared" si="54"/>
        <v/>
      </c>
      <c r="BQ272" s="215"/>
      <c r="BR272" s="224"/>
      <c r="BS272" s="225"/>
      <c r="BT272" s="223"/>
      <c r="BU272" s="215"/>
      <c r="BV272" s="226"/>
      <c r="BW272" s="222" t="str">
        <f t="shared" si="55"/>
        <v/>
      </c>
      <c r="BX272" s="223" t="str">
        <f t="shared" si="56"/>
        <v/>
      </c>
      <c r="BY272" s="215"/>
      <c r="BZ272" s="227"/>
      <c r="CA272" s="227"/>
      <c r="CB272" s="228"/>
      <c r="CC272" s="229"/>
      <c r="CD272" s="230" t="str">
        <f t="shared" si="57"/>
        <v/>
      </c>
      <c r="CE272" s="231" t="str">
        <f t="shared" si="58"/>
        <v/>
      </c>
      <c r="CF272" s="232" t="str">
        <f t="shared" si="59"/>
        <v/>
      </c>
      <c r="CG272" s="233" t="str">
        <f t="shared" si="60"/>
        <v/>
      </c>
      <c r="CH272" s="207" t="str">
        <f>IF(OR(G272="",CC272= ""), "", IF(ISERROR(SMALL((CJ272,CN272,CV272), 1)-CC272), "",  SMALL((CJ272,CN272,CV272), 1)-CC272))</f>
        <v/>
      </c>
      <c r="CI272" s="234"/>
      <c r="CJ272" s="235"/>
      <c r="CK272" s="236"/>
      <c r="CL272" s="222" t="str">
        <f t="shared" si="61"/>
        <v/>
      </c>
      <c r="CM272" s="237" t="str">
        <f>IF(OR(G272="", CJ272="",CK272=""), "", IF(ISERROR(SMALL((CN272,CV272), 1)-CK272), "",  SMALL((CN272,CV272), 1)-CK272))</f>
        <v/>
      </c>
      <c r="CN272" s="235"/>
      <c r="CO272" s="236"/>
      <c r="CP272" s="224" t="str">
        <f t="shared" si="62"/>
        <v/>
      </c>
      <c r="CQ272" s="235"/>
      <c r="CR272" s="236"/>
      <c r="CS272" s="222" t="str">
        <f t="shared" si="63"/>
        <v/>
      </c>
      <c r="CT272" s="237" t="str">
        <f t="shared" si="64"/>
        <v/>
      </c>
      <c r="CU272" s="238"/>
      <c r="CV272" s="239"/>
      <c r="CW272" s="240"/>
    </row>
    <row r="273" spans="2:101" ht="16.5" customHeight="1">
      <c r="B273" s="122"/>
      <c r="E273" s="122"/>
      <c r="F273" s="194"/>
      <c r="G273" s="195"/>
      <c r="H273" s="195"/>
      <c r="I273" s="195"/>
      <c r="J273" s="196"/>
      <c r="K273" s="197"/>
      <c r="L273" s="198"/>
      <c r="M273" s="199"/>
      <c r="N273" s="200"/>
      <c r="O273" s="201"/>
      <c r="P273" s="201"/>
      <c r="Q273" s="201"/>
      <c r="R273" s="201"/>
      <c r="S273" s="201"/>
      <c r="T273" s="201"/>
      <c r="U273" s="201"/>
      <c r="V273" s="201"/>
      <c r="W273" s="201"/>
      <c r="X273" s="202"/>
      <c r="Y273" s="203"/>
      <c r="Z273" s="204"/>
      <c r="AA273" s="205"/>
      <c r="AB273" s="206"/>
      <c r="AC273" s="206"/>
      <c r="AD273" s="194"/>
      <c r="AE273" s="201"/>
      <c r="AF273" s="207"/>
      <c r="AG273" s="208"/>
      <c r="AH273" s="209"/>
      <c r="AI273" s="210"/>
      <c r="AJ273" s="197"/>
      <c r="AK273" s="201"/>
      <c r="AL273" s="196"/>
      <c r="AM273" s="201"/>
      <c r="AN273" s="201"/>
      <c r="AO273" s="201"/>
      <c r="AP273" s="211"/>
      <c r="AQ273" s="212"/>
      <c r="AR273" s="201"/>
      <c r="AS273" s="201"/>
      <c r="AT273" s="201"/>
      <c r="AU273" s="201"/>
      <c r="AV273" s="202"/>
      <c r="AW273" s="194"/>
      <c r="AX273" s="201"/>
      <c r="AY273" s="213"/>
      <c r="AZ273" s="214"/>
      <c r="BA273" s="215"/>
      <c r="BB273" s="216"/>
      <c r="BC273" s="217" t="str">
        <f t="shared" si="52"/>
        <v/>
      </c>
      <c r="BD273" s="218"/>
      <c r="BE273" s="219"/>
      <c r="BF273" s="220"/>
      <c r="BG273" s="219"/>
      <c r="BH273" s="219"/>
      <c r="BI273" s="220"/>
      <c r="BJ273" s="218"/>
      <c r="BK273" s="219"/>
      <c r="BL273" s="197"/>
      <c r="BM273" s="215"/>
      <c r="BN273" s="221"/>
      <c r="BO273" s="222" t="str">
        <f t="shared" si="53"/>
        <v/>
      </c>
      <c r="BP273" s="217" t="str">
        <f t="shared" si="54"/>
        <v/>
      </c>
      <c r="BQ273" s="215"/>
      <c r="BR273" s="224"/>
      <c r="BS273" s="225"/>
      <c r="BT273" s="223"/>
      <c r="BU273" s="215"/>
      <c r="BV273" s="226"/>
      <c r="BW273" s="222" t="str">
        <f t="shared" si="55"/>
        <v/>
      </c>
      <c r="BX273" s="223" t="str">
        <f t="shared" si="56"/>
        <v/>
      </c>
      <c r="BY273" s="215"/>
      <c r="BZ273" s="227"/>
      <c r="CA273" s="227"/>
      <c r="CB273" s="228"/>
      <c r="CC273" s="229"/>
      <c r="CD273" s="230" t="str">
        <f t="shared" si="57"/>
        <v/>
      </c>
      <c r="CE273" s="231" t="str">
        <f t="shared" si="58"/>
        <v/>
      </c>
      <c r="CF273" s="232" t="str">
        <f t="shared" si="59"/>
        <v/>
      </c>
      <c r="CG273" s="233" t="str">
        <f t="shared" si="60"/>
        <v/>
      </c>
      <c r="CH273" s="207" t="str">
        <f>IF(OR(G273="",CC273= ""), "", IF(ISERROR(SMALL((CJ273,CN273,CV273), 1)-CC273), "",  SMALL((CJ273,CN273,CV273), 1)-CC273))</f>
        <v/>
      </c>
      <c r="CI273" s="234"/>
      <c r="CJ273" s="235"/>
      <c r="CK273" s="236"/>
      <c r="CL273" s="222" t="str">
        <f t="shared" si="61"/>
        <v/>
      </c>
      <c r="CM273" s="237" t="str">
        <f>IF(OR(G273="", CJ273="",CK273=""), "", IF(ISERROR(SMALL((CN273,CV273), 1)-CK273), "",  SMALL((CN273,CV273), 1)-CK273))</f>
        <v/>
      </c>
      <c r="CN273" s="235"/>
      <c r="CO273" s="236"/>
      <c r="CP273" s="224" t="str">
        <f t="shared" si="62"/>
        <v/>
      </c>
      <c r="CQ273" s="235"/>
      <c r="CR273" s="236"/>
      <c r="CS273" s="222" t="str">
        <f t="shared" si="63"/>
        <v/>
      </c>
      <c r="CT273" s="237" t="str">
        <f t="shared" si="64"/>
        <v/>
      </c>
      <c r="CU273" s="238"/>
      <c r="CV273" s="239"/>
      <c r="CW273" s="240"/>
    </row>
    <row r="274" spans="2:101" ht="16.5" customHeight="1">
      <c r="B274" s="122"/>
      <c r="E274" s="122"/>
      <c r="F274" s="194"/>
      <c r="G274" s="195"/>
      <c r="H274" s="195"/>
      <c r="I274" s="195"/>
      <c r="J274" s="196"/>
      <c r="K274" s="197"/>
      <c r="L274" s="198"/>
      <c r="M274" s="199"/>
      <c r="N274" s="200"/>
      <c r="O274" s="201"/>
      <c r="P274" s="201"/>
      <c r="Q274" s="201"/>
      <c r="R274" s="201"/>
      <c r="S274" s="201"/>
      <c r="T274" s="201"/>
      <c r="U274" s="201"/>
      <c r="V274" s="201"/>
      <c r="W274" s="201"/>
      <c r="X274" s="202"/>
      <c r="Y274" s="203"/>
      <c r="Z274" s="204"/>
      <c r="AA274" s="205"/>
      <c r="AB274" s="206"/>
      <c r="AC274" s="206"/>
      <c r="AD274" s="194"/>
      <c r="AE274" s="201"/>
      <c r="AF274" s="207"/>
      <c r="AG274" s="208"/>
      <c r="AH274" s="209"/>
      <c r="AI274" s="210"/>
      <c r="AJ274" s="197"/>
      <c r="AK274" s="201"/>
      <c r="AL274" s="196"/>
      <c r="AM274" s="201"/>
      <c r="AN274" s="201"/>
      <c r="AO274" s="201"/>
      <c r="AP274" s="211"/>
      <c r="AQ274" s="212"/>
      <c r="AR274" s="201"/>
      <c r="AS274" s="201"/>
      <c r="AT274" s="201"/>
      <c r="AU274" s="201"/>
      <c r="AV274" s="202"/>
      <c r="AW274" s="194"/>
      <c r="AX274" s="201"/>
      <c r="AY274" s="213"/>
      <c r="AZ274" s="214"/>
      <c r="BA274" s="215"/>
      <c r="BB274" s="216"/>
      <c r="BC274" s="217" t="str">
        <f t="shared" si="52"/>
        <v/>
      </c>
      <c r="BD274" s="218"/>
      <c r="BE274" s="219"/>
      <c r="BF274" s="220"/>
      <c r="BG274" s="219"/>
      <c r="BH274" s="219"/>
      <c r="BI274" s="220"/>
      <c r="BJ274" s="218"/>
      <c r="BK274" s="219"/>
      <c r="BL274" s="197"/>
      <c r="BM274" s="215"/>
      <c r="BN274" s="221"/>
      <c r="BO274" s="222" t="str">
        <f t="shared" si="53"/>
        <v/>
      </c>
      <c r="BP274" s="217" t="str">
        <f t="shared" si="54"/>
        <v/>
      </c>
      <c r="BQ274" s="215"/>
      <c r="BR274" s="224"/>
      <c r="BS274" s="225"/>
      <c r="BT274" s="223"/>
      <c r="BU274" s="215"/>
      <c r="BV274" s="226"/>
      <c r="BW274" s="222" t="str">
        <f t="shared" si="55"/>
        <v/>
      </c>
      <c r="BX274" s="223" t="str">
        <f t="shared" si="56"/>
        <v/>
      </c>
      <c r="BY274" s="215"/>
      <c r="BZ274" s="227"/>
      <c r="CA274" s="227"/>
      <c r="CB274" s="228"/>
      <c r="CC274" s="229"/>
      <c r="CD274" s="230" t="str">
        <f t="shared" si="57"/>
        <v/>
      </c>
      <c r="CE274" s="231" t="str">
        <f t="shared" si="58"/>
        <v/>
      </c>
      <c r="CF274" s="232" t="str">
        <f t="shared" si="59"/>
        <v/>
      </c>
      <c r="CG274" s="233" t="str">
        <f t="shared" si="60"/>
        <v/>
      </c>
      <c r="CH274" s="207" t="str">
        <f>IF(OR(G274="",CC274= ""), "", IF(ISERROR(SMALL((CJ274,CN274,CV274), 1)-CC274), "",  SMALL((CJ274,CN274,CV274), 1)-CC274))</f>
        <v/>
      </c>
      <c r="CI274" s="234"/>
      <c r="CJ274" s="235"/>
      <c r="CK274" s="236"/>
      <c r="CL274" s="222" t="str">
        <f t="shared" si="61"/>
        <v/>
      </c>
      <c r="CM274" s="237" t="str">
        <f>IF(OR(G274="", CJ274="",CK274=""), "", IF(ISERROR(SMALL((CN274,CV274), 1)-CK274), "",  SMALL((CN274,CV274), 1)-CK274))</f>
        <v/>
      </c>
      <c r="CN274" s="235"/>
      <c r="CO274" s="236"/>
      <c r="CP274" s="224" t="str">
        <f t="shared" si="62"/>
        <v/>
      </c>
      <c r="CQ274" s="235"/>
      <c r="CR274" s="236"/>
      <c r="CS274" s="222" t="str">
        <f t="shared" si="63"/>
        <v/>
      </c>
      <c r="CT274" s="237" t="str">
        <f t="shared" si="64"/>
        <v/>
      </c>
      <c r="CU274" s="238"/>
      <c r="CV274" s="239"/>
      <c r="CW274" s="240"/>
    </row>
    <row r="275" spans="2:101" ht="16.5" customHeight="1">
      <c r="B275" s="122"/>
      <c r="E275" s="122"/>
      <c r="F275" s="194"/>
      <c r="G275" s="195"/>
      <c r="H275" s="195"/>
      <c r="I275" s="195"/>
      <c r="J275" s="196"/>
      <c r="K275" s="197"/>
      <c r="L275" s="198"/>
      <c r="M275" s="199"/>
      <c r="N275" s="200"/>
      <c r="O275" s="201"/>
      <c r="P275" s="201"/>
      <c r="Q275" s="201"/>
      <c r="R275" s="201"/>
      <c r="S275" s="201"/>
      <c r="T275" s="201"/>
      <c r="U275" s="201"/>
      <c r="V275" s="201"/>
      <c r="W275" s="201"/>
      <c r="X275" s="202"/>
      <c r="Y275" s="203"/>
      <c r="Z275" s="204"/>
      <c r="AA275" s="205"/>
      <c r="AB275" s="206"/>
      <c r="AC275" s="206"/>
      <c r="AD275" s="194"/>
      <c r="AE275" s="201"/>
      <c r="AF275" s="207"/>
      <c r="AG275" s="208"/>
      <c r="AH275" s="209"/>
      <c r="AI275" s="210"/>
      <c r="AJ275" s="197"/>
      <c r="AK275" s="201"/>
      <c r="AL275" s="196"/>
      <c r="AM275" s="201"/>
      <c r="AN275" s="201"/>
      <c r="AO275" s="201"/>
      <c r="AP275" s="211"/>
      <c r="AQ275" s="212"/>
      <c r="AR275" s="201"/>
      <c r="AS275" s="201"/>
      <c r="AT275" s="201"/>
      <c r="AU275" s="201"/>
      <c r="AV275" s="202"/>
      <c r="AW275" s="194"/>
      <c r="AX275" s="201"/>
      <c r="AY275" s="213"/>
      <c r="AZ275" s="214"/>
      <c r="BA275" s="215"/>
      <c r="BB275" s="216"/>
      <c r="BC275" s="217" t="str">
        <f t="shared" si="52"/>
        <v/>
      </c>
      <c r="BD275" s="218"/>
      <c r="BE275" s="219"/>
      <c r="BF275" s="220"/>
      <c r="BG275" s="219"/>
      <c r="BH275" s="219"/>
      <c r="BI275" s="220"/>
      <c r="BJ275" s="218"/>
      <c r="BK275" s="219"/>
      <c r="BL275" s="197"/>
      <c r="BM275" s="215"/>
      <c r="BN275" s="221"/>
      <c r="BO275" s="222" t="str">
        <f t="shared" si="53"/>
        <v/>
      </c>
      <c r="BP275" s="217" t="str">
        <f t="shared" si="54"/>
        <v/>
      </c>
      <c r="BQ275" s="215"/>
      <c r="BR275" s="224"/>
      <c r="BS275" s="225"/>
      <c r="BT275" s="223"/>
      <c r="BU275" s="215"/>
      <c r="BV275" s="226"/>
      <c r="BW275" s="222" t="str">
        <f t="shared" si="55"/>
        <v/>
      </c>
      <c r="BX275" s="223" t="str">
        <f t="shared" si="56"/>
        <v/>
      </c>
      <c r="BY275" s="215"/>
      <c r="BZ275" s="227"/>
      <c r="CA275" s="227"/>
      <c r="CB275" s="228"/>
      <c r="CC275" s="229"/>
      <c r="CD275" s="230" t="str">
        <f t="shared" si="57"/>
        <v/>
      </c>
      <c r="CE275" s="231" t="str">
        <f t="shared" si="58"/>
        <v/>
      </c>
      <c r="CF275" s="232" t="str">
        <f t="shared" si="59"/>
        <v/>
      </c>
      <c r="CG275" s="233" t="str">
        <f t="shared" si="60"/>
        <v/>
      </c>
      <c r="CH275" s="207" t="str">
        <f>IF(OR(G275="",CC275= ""), "", IF(ISERROR(SMALL((CJ275,CN275,CV275), 1)-CC275), "",  SMALL((CJ275,CN275,CV275), 1)-CC275))</f>
        <v/>
      </c>
      <c r="CI275" s="234"/>
      <c r="CJ275" s="235"/>
      <c r="CK275" s="236"/>
      <c r="CL275" s="222" t="str">
        <f t="shared" si="61"/>
        <v/>
      </c>
      <c r="CM275" s="237" t="str">
        <f>IF(OR(G275="", CJ275="",CK275=""), "", IF(ISERROR(SMALL((CN275,CV275), 1)-CK275), "",  SMALL((CN275,CV275), 1)-CK275))</f>
        <v/>
      </c>
      <c r="CN275" s="235"/>
      <c r="CO275" s="236"/>
      <c r="CP275" s="224" t="str">
        <f t="shared" si="62"/>
        <v/>
      </c>
      <c r="CQ275" s="235"/>
      <c r="CR275" s="236"/>
      <c r="CS275" s="222" t="str">
        <f t="shared" si="63"/>
        <v/>
      </c>
      <c r="CT275" s="237" t="str">
        <f t="shared" si="64"/>
        <v/>
      </c>
      <c r="CU275" s="238"/>
      <c r="CV275" s="239"/>
      <c r="CW275" s="240"/>
    </row>
    <row r="276" spans="2:101" ht="16.5" customHeight="1">
      <c r="B276" s="122"/>
      <c r="E276" s="122"/>
      <c r="F276" s="194"/>
      <c r="G276" s="195"/>
      <c r="H276" s="195"/>
      <c r="I276" s="195"/>
      <c r="J276" s="196"/>
      <c r="K276" s="197"/>
      <c r="L276" s="198"/>
      <c r="M276" s="199"/>
      <c r="N276" s="200"/>
      <c r="O276" s="201"/>
      <c r="P276" s="201"/>
      <c r="Q276" s="201"/>
      <c r="R276" s="201"/>
      <c r="S276" s="201"/>
      <c r="T276" s="201"/>
      <c r="U276" s="201"/>
      <c r="V276" s="201"/>
      <c r="W276" s="201"/>
      <c r="X276" s="202"/>
      <c r="Y276" s="203"/>
      <c r="Z276" s="204"/>
      <c r="AA276" s="205"/>
      <c r="AB276" s="206"/>
      <c r="AC276" s="206"/>
      <c r="AD276" s="194"/>
      <c r="AE276" s="201"/>
      <c r="AF276" s="207"/>
      <c r="AG276" s="208"/>
      <c r="AH276" s="209"/>
      <c r="AI276" s="210"/>
      <c r="AJ276" s="197"/>
      <c r="AK276" s="201"/>
      <c r="AL276" s="196"/>
      <c r="AM276" s="201"/>
      <c r="AN276" s="201"/>
      <c r="AO276" s="201"/>
      <c r="AP276" s="211"/>
      <c r="AQ276" s="212"/>
      <c r="AR276" s="201"/>
      <c r="AS276" s="201"/>
      <c r="AT276" s="201"/>
      <c r="AU276" s="201"/>
      <c r="AV276" s="202"/>
      <c r="AW276" s="194"/>
      <c r="AX276" s="201"/>
      <c r="AY276" s="213"/>
      <c r="AZ276" s="214"/>
      <c r="BA276" s="215"/>
      <c r="BB276" s="216"/>
      <c r="BC276" s="217" t="str">
        <f t="shared" si="52"/>
        <v/>
      </c>
      <c r="BD276" s="218"/>
      <c r="BE276" s="219"/>
      <c r="BF276" s="220"/>
      <c r="BG276" s="219"/>
      <c r="BH276" s="219"/>
      <c r="BI276" s="220"/>
      <c r="BJ276" s="218"/>
      <c r="BK276" s="219"/>
      <c r="BL276" s="197"/>
      <c r="BM276" s="215"/>
      <c r="BN276" s="221"/>
      <c r="BO276" s="222" t="str">
        <f t="shared" si="53"/>
        <v/>
      </c>
      <c r="BP276" s="217" t="str">
        <f t="shared" si="54"/>
        <v/>
      </c>
      <c r="BQ276" s="215"/>
      <c r="BR276" s="224"/>
      <c r="BS276" s="225"/>
      <c r="BT276" s="223"/>
      <c r="BU276" s="215"/>
      <c r="BV276" s="226"/>
      <c r="BW276" s="222" t="str">
        <f t="shared" si="55"/>
        <v/>
      </c>
      <c r="BX276" s="223" t="str">
        <f t="shared" si="56"/>
        <v/>
      </c>
      <c r="BY276" s="215"/>
      <c r="BZ276" s="227"/>
      <c r="CA276" s="227"/>
      <c r="CB276" s="228"/>
      <c r="CC276" s="229"/>
      <c r="CD276" s="230" t="str">
        <f t="shared" si="57"/>
        <v/>
      </c>
      <c r="CE276" s="231" t="str">
        <f t="shared" si="58"/>
        <v/>
      </c>
      <c r="CF276" s="232" t="str">
        <f t="shared" si="59"/>
        <v/>
      </c>
      <c r="CG276" s="233" t="str">
        <f t="shared" si="60"/>
        <v/>
      </c>
      <c r="CH276" s="207" t="str">
        <f>IF(OR(G276="",CC276= ""), "", IF(ISERROR(SMALL((CJ276,CN276,CV276), 1)-CC276), "",  SMALL((CJ276,CN276,CV276), 1)-CC276))</f>
        <v/>
      </c>
      <c r="CI276" s="234"/>
      <c r="CJ276" s="235"/>
      <c r="CK276" s="236"/>
      <c r="CL276" s="222" t="str">
        <f t="shared" si="61"/>
        <v/>
      </c>
      <c r="CM276" s="237" t="str">
        <f>IF(OR(G276="", CJ276="",CK276=""), "", IF(ISERROR(SMALL((CN276,CV276), 1)-CK276), "",  SMALL((CN276,CV276), 1)-CK276))</f>
        <v/>
      </c>
      <c r="CN276" s="235"/>
      <c r="CO276" s="236"/>
      <c r="CP276" s="224" t="str">
        <f t="shared" si="62"/>
        <v/>
      </c>
      <c r="CQ276" s="235"/>
      <c r="CR276" s="236"/>
      <c r="CS276" s="222" t="str">
        <f t="shared" si="63"/>
        <v/>
      </c>
      <c r="CT276" s="237" t="str">
        <f t="shared" si="64"/>
        <v/>
      </c>
      <c r="CU276" s="238"/>
      <c r="CV276" s="239"/>
      <c r="CW276" s="240"/>
    </row>
    <row r="277" spans="2:101" ht="16.5" customHeight="1">
      <c r="B277" s="122"/>
      <c r="E277" s="122"/>
      <c r="F277" s="194"/>
      <c r="G277" s="195"/>
      <c r="H277" s="195"/>
      <c r="I277" s="195"/>
      <c r="J277" s="196"/>
      <c r="K277" s="197"/>
      <c r="L277" s="198"/>
      <c r="M277" s="199"/>
      <c r="N277" s="200"/>
      <c r="O277" s="201"/>
      <c r="P277" s="201"/>
      <c r="Q277" s="201"/>
      <c r="R277" s="201"/>
      <c r="S277" s="201"/>
      <c r="T277" s="201"/>
      <c r="U277" s="201"/>
      <c r="V277" s="201"/>
      <c r="W277" s="201"/>
      <c r="X277" s="202"/>
      <c r="Y277" s="203"/>
      <c r="Z277" s="204"/>
      <c r="AA277" s="205"/>
      <c r="AB277" s="206"/>
      <c r="AC277" s="206"/>
      <c r="AD277" s="194"/>
      <c r="AE277" s="201"/>
      <c r="AF277" s="207"/>
      <c r="AG277" s="208"/>
      <c r="AH277" s="209"/>
      <c r="AI277" s="210"/>
      <c r="AJ277" s="197"/>
      <c r="AK277" s="201"/>
      <c r="AL277" s="196"/>
      <c r="AM277" s="201"/>
      <c r="AN277" s="201"/>
      <c r="AO277" s="201"/>
      <c r="AP277" s="211"/>
      <c r="AQ277" s="212"/>
      <c r="AR277" s="201"/>
      <c r="AS277" s="201"/>
      <c r="AT277" s="201"/>
      <c r="AU277" s="201"/>
      <c r="AV277" s="202"/>
      <c r="AW277" s="194"/>
      <c r="AX277" s="201"/>
      <c r="AY277" s="213"/>
      <c r="AZ277" s="214"/>
      <c r="BA277" s="215"/>
      <c r="BB277" s="216"/>
      <c r="BC277" s="217" t="str">
        <f t="shared" si="52"/>
        <v/>
      </c>
      <c r="BD277" s="218"/>
      <c r="BE277" s="219"/>
      <c r="BF277" s="220"/>
      <c r="BG277" s="219"/>
      <c r="BH277" s="219"/>
      <c r="BI277" s="220"/>
      <c r="BJ277" s="218"/>
      <c r="BK277" s="219"/>
      <c r="BL277" s="197"/>
      <c r="BM277" s="215"/>
      <c r="BN277" s="221"/>
      <c r="BO277" s="222" t="str">
        <f t="shared" si="53"/>
        <v/>
      </c>
      <c r="BP277" s="217" t="str">
        <f t="shared" si="54"/>
        <v/>
      </c>
      <c r="BQ277" s="215"/>
      <c r="BR277" s="224"/>
      <c r="BS277" s="225"/>
      <c r="BT277" s="223"/>
      <c r="BU277" s="215"/>
      <c r="BV277" s="226"/>
      <c r="BW277" s="222" t="str">
        <f t="shared" si="55"/>
        <v/>
      </c>
      <c r="BX277" s="223" t="str">
        <f t="shared" si="56"/>
        <v/>
      </c>
      <c r="BY277" s="215"/>
      <c r="BZ277" s="227"/>
      <c r="CA277" s="227"/>
      <c r="CB277" s="228"/>
      <c r="CC277" s="229"/>
      <c r="CD277" s="230" t="str">
        <f t="shared" si="57"/>
        <v/>
      </c>
      <c r="CE277" s="231" t="str">
        <f t="shared" si="58"/>
        <v/>
      </c>
      <c r="CF277" s="232" t="str">
        <f t="shared" si="59"/>
        <v/>
      </c>
      <c r="CG277" s="233" t="str">
        <f t="shared" si="60"/>
        <v/>
      </c>
      <c r="CH277" s="207" t="str">
        <f>IF(OR(G277="",CC277= ""), "", IF(ISERROR(SMALL((CJ277,CN277,CV277), 1)-CC277), "",  SMALL((CJ277,CN277,CV277), 1)-CC277))</f>
        <v/>
      </c>
      <c r="CI277" s="234"/>
      <c r="CJ277" s="235"/>
      <c r="CK277" s="236"/>
      <c r="CL277" s="222" t="str">
        <f t="shared" si="61"/>
        <v/>
      </c>
      <c r="CM277" s="237" t="str">
        <f>IF(OR(G277="", CJ277="",CK277=""), "", IF(ISERROR(SMALL((CN277,CV277), 1)-CK277), "",  SMALL((CN277,CV277), 1)-CK277))</f>
        <v/>
      </c>
      <c r="CN277" s="235"/>
      <c r="CO277" s="236"/>
      <c r="CP277" s="224" t="str">
        <f t="shared" si="62"/>
        <v/>
      </c>
      <c r="CQ277" s="235"/>
      <c r="CR277" s="236"/>
      <c r="CS277" s="222" t="str">
        <f t="shared" si="63"/>
        <v/>
      </c>
      <c r="CT277" s="237" t="str">
        <f t="shared" si="64"/>
        <v/>
      </c>
      <c r="CU277" s="238"/>
      <c r="CV277" s="239"/>
      <c r="CW277" s="240"/>
    </row>
    <row r="278" spans="2:101" ht="16.5" customHeight="1">
      <c r="B278" s="122"/>
      <c r="E278" s="122"/>
      <c r="F278" s="194"/>
      <c r="G278" s="195"/>
      <c r="H278" s="195"/>
      <c r="I278" s="195"/>
      <c r="J278" s="196"/>
      <c r="K278" s="197"/>
      <c r="L278" s="198"/>
      <c r="M278" s="199"/>
      <c r="N278" s="200"/>
      <c r="O278" s="201"/>
      <c r="P278" s="201"/>
      <c r="Q278" s="201"/>
      <c r="R278" s="201"/>
      <c r="S278" s="201"/>
      <c r="T278" s="201"/>
      <c r="U278" s="201"/>
      <c r="V278" s="201"/>
      <c r="W278" s="201"/>
      <c r="X278" s="202"/>
      <c r="Y278" s="203"/>
      <c r="Z278" s="204"/>
      <c r="AA278" s="205"/>
      <c r="AB278" s="206"/>
      <c r="AC278" s="206"/>
      <c r="AD278" s="194"/>
      <c r="AE278" s="201"/>
      <c r="AF278" s="207"/>
      <c r="AG278" s="208"/>
      <c r="AH278" s="209"/>
      <c r="AI278" s="210"/>
      <c r="AJ278" s="197"/>
      <c r="AK278" s="201"/>
      <c r="AL278" s="196"/>
      <c r="AM278" s="201"/>
      <c r="AN278" s="201"/>
      <c r="AO278" s="201"/>
      <c r="AP278" s="211"/>
      <c r="AQ278" s="212"/>
      <c r="AR278" s="201"/>
      <c r="AS278" s="201"/>
      <c r="AT278" s="201"/>
      <c r="AU278" s="201"/>
      <c r="AV278" s="202"/>
      <c r="AW278" s="194"/>
      <c r="AX278" s="201"/>
      <c r="AY278" s="213"/>
      <c r="AZ278" s="214"/>
      <c r="BA278" s="215"/>
      <c r="BB278" s="216"/>
      <c r="BC278" s="217" t="str">
        <f t="shared" si="52"/>
        <v/>
      </c>
      <c r="BD278" s="218"/>
      <c r="BE278" s="219"/>
      <c r="BF278" s="220"/>
      <c r="BG278" s="219"/>
      <c r="BH278" s="219"/>
      <c r="BI278" s="220"/>
      <c r="BJ278" s="218"/>
      <c r="BK278" s="219"/>
      <c r="BL278" s="197"/>
      <c r="BM278" s="215"/>
      <c r="BN278" s="221"/>
      <c r="BO278" s="222" t="str">
        <f t="shared" si="53"/>
        <v/>
      </c>
      <c r="BP278" s="217" t="str">
        <f t="shared" si="54"/>
        <v/>
      </c>
      <c r="BQ278" s="215"/>
      <c r="BR278" s="224"/>
      <c r="BS278" s="225"/>
      <c r="BT278" s="223"/>
      <c r="BU278" s="215"/>
      <c r="BV278" s="226"/>
      <c r="BW278" s="222" t="str">
        <f t="shared" si="55"/>
        <v/>
      </c>
      <c r="BX278" s="223" t="str">
        <f t="shared" si="56"/>
        <v/>
      </c>
      <c r="BY278" s="215"/>
      <c r="BZ278" s="227"/>
      <c r="CA278" s="227"/>
      <c r="CB278" s="228"/>
      <c r="CC278" s="229"/>
      <c r="CD278" s="230" t="str">
        <f t="shared" si="57"/>
        <v/>
      </c>
      <c r="CE278" s="231" t="str">
        <f t="shared" si="58"/>
        <v/>
      </c>
      <c r="CF278" s="232" t="str">
        <f t="shared" si="59"/>
        <v/>
      </c>
      <c r="CG278" s="233" t="str">
        <f t="shared" si="60"/>
        <v/>
      </c>
      <c r="CH278" s="207" t="str">
        <f>IF(OR(G278="",CC278= ""), "", IF(ISERROR(SMALL((CJ278,CN278,CV278), 1)-CC278), "",  SMALL((CJ278,CN278,CV278), 1)-CC278))</f>
        <v/>
      </c>
      <c r="CI278" s="234"/>
      <c r="CJ278" s="235"/>
      <c r="CK278" s="236"/>
      <c r="CL278" s="222" t="str">
        <f t="shared" si="61"/>
        <v/>
      </c>
      <c r="CM278" s="237" t="str">
        <f>IF(OR(G278="", CJ278="",CK278=""), "", IF(ISERROR(SMALL((CN278,CV278), 1)-CK278), "",  SMALL((CN278,CV278), 1)-CK278))</f>
        <v/>
      </c>
      <c r="CN278" s="235"/>
      <c r="CO278" s="236"/>
      <c r="CP278" s="224" t="str">
        <f t="shared" si="62"/>
        <v/>
      </c>
      <c r="CQ278" s="235"/>
      <c r="CR278" s="236"/>
      <c r="CS278" s="222" t="str">
        <f t="shared" si="63"/>
        <v/>
      </c>
      <c r="CT278" s="237" t="str">
        <f t="shared" si="64"/>
        <v/>
      </c>
      <c r="CU278" s="238"/>
      <c r="CV278" s="239"/>
      <c r="CW278" s="240"/>
    </row>
    <row r="279" spans="2:101" ht="16.5" customHeight="1">
      <c r="B279" s="122"/>
      <c r="E279" s="122"/>
      <c r="F279" s="194"/>
      <c r="G279" s="195"/>
      <c r="H279" s="195"/>
      <c r="I279" s="195"/>
      <c r="J279" s="196"/>
      <c r="K279" s="197"/>
      <c r="L279" s="198"/>
      <c r="M279" s="199"/>
      <c r="N279" s="200"/>
      <c r="O279" s="201"/>
      <c r="P279" s="201"/>
      <c r="Q279" s="201"/>
      <c r="R279" s="201"/>
      <c r="S279" s="201"/>
      <c r="T279" s="201"/>
      <c r="U279" s="201"/>
      <c r="V279" s="201"/>
      <c r="W279" s="201"/>
      <c r="X279" s="202"/>
      <c r="Y279" s="203"/>
      <c r="Z279" s="204"/>
      <c r="AA279" s="205"/>
      <c r="AB279" s="206"/>
      <c r="AC279" s="206"/>
      <c r="AD279" s="194"/>
      <c r="AE279" s="201"/>
      <c r="AF279" s="207"/>
      <c r="AG279" s="208"/>
      <c r="AH279" s="209"/>
      <c r="AI279" s="210"/>
      <c r="AJ279" s="197"/>
      <c r="AK279" s="201"/>
      <c r="AL279" s="196"/>
      <c r="AM279" s="201"/>
      <c r="AN279" s="201"/>
      <c r="AO279" s="201"/>
      <c r="AP279" s="211"/>
      <c r="AQ279" s="212"/>
      <c r="AR279" s="201"/>
      <c r="AS279" s="201"/>
      <c r="AT279" s="201"/>
      <c r="AU279" s="201"/>
      <c r="AV279" s="202"/>
      <c r="AW279" s="194"/>
      <c r="AX279" s="201"/>
      <c r="AY279" s="213"/>
      <c r="AZ279" s="214"/>
      <c r="BA279" s="215"/>
      <c r="BB279" s="216"/>
      <c r="BC279" s="217" t="str">
        <f t="shared" si="52"/>
        <v/>
      </c>
      <c r="BD279" s="218"/>
      <c r="BE279" s="219"/>
      <c r="BF279" s="220"/>
      <c r="BG279" s="219"/>
      <c r="BH279" s="219"/>
      <c r="BI279" s="220"/>
      <c r="BJ279" s="218"/>
      <c r="BK279" s="219"/>
      <c r="BL279" s="197"/>
      <c r="BM279" s="215"/>
      <c r="BN279" s="221"/>
      <c r="BO279" s="222" t="str">
        <f t="shared" si="53"/>
        <v/>
      </c>
      <c r="BP279" s="217" t="str">
        <f t="shared" si="54"/>
        <v/>
      </c>
      <c r="BQ279" s="215"/>
      <c r="BR279" s="224"/>
      <c r="BS279" s="225"/>
      <c r="BT279" s="223"/>
      <c r="BU279" s="215"/>
      <c r="BV279" s="226"/>
      <c r="BW279" s="222" t="str">
        <f t="shared" si="55"/>
        <v/>
      </c>
      <c r="BX279" s="223" t="str">
        <f t="shared" si="56"/>
        <v/>
      </c>
      <c r="BY279" s="215"/>
      <c r="BZ279" s="227"/>
      <c r="CA279" s="227"/>
      <c r="CB279" s="228"/>
      <c r="CC279" s="229"/>
      <c r="CD279" s="230" t="str">
        <f t="shared" si="57"/>
        <v/>
      </c>
      <c r="CE279" s="231" t="str">
        <f t="shared" si="58"/>
        <v/>
      </c>
      <c r="CF279" s="232" t="str">
        <f t="shared" si="59"/>
        <v/>
      </c>
      <c r="CG279" s="233" t="str">
        <f t="shared" si="60"/>
        <v/>
      </c>
      <c r="CH279" s="207" t="str">
        <f>IF(OR(G279="",CC279= ""), "", IF(ISERROR(SMALL((CJ279,CN279,CV279), 1)-CC279), "",  SMALL((CJ279,CN279,CV279), 1)-CC279))</f>
        <v/>
      </c>
      <c r="CI279" s="234"/>
      <c r="CJ279" s="235"/>
      <c r="CK279" s="236"/>
      <c r="CL279" s="222" t="str">
        <f t="shared" si="61"/>
        <v/>
      </c>
      <c r="CM279" s="237" t="str">
        <f>IF(OR(G279="", CJ279="",CK279=""), "", IF(ISERROR(SMALL((CN279,CV279), 1)-CK279), "",  SMALL((CN279,CV279), 1)-CK279))</f>
        <v/>
      </c>
      <c r="CN279" s="235"/>
      <c r="CO279" s="236"/>
      <c r="CP279" s="224" t="str">
        <f t="shared" si="62"/>
        <v/>
      </c>
      <c r="CQ279" s="235"/>
      <c r="CR279" s="236"/>
      <c r="CS279" s="222" t="str">
        <f t="shared" si="63"/>
        <v/>
      </c>
      <c r="CT279" s="237" t="str">
        <f t="shared" si="64"/>
        <v/>
      </c>
      <c r="CU279" s="238"/>
      <c r="CV279" s="239"/>
      <c r="CW279" s="240"/>
    </row>
    <row r="280" spans="2:101" ht="16.5" customHeight="1">
      <c r="B280" s="122"/>
      <c r="E280" s="122"/>
      <c r="F280" s="194"/>
      <c r="G280" s="195"/>
      <c r="H280" s="195"/>
      <c r="I280" s="195"/>
      <c r="J280" s="196"/>
      <c r="K280" s="197"/>
      <c r="L280" s="198"/>
      <c r="M280" s="199"/>
      <c r="N280" s="200"/>
      <c r="O280" s="201"/>
      <c r="P280" s="201"/>
      <c r="Q280" s="201"/>
      <c r="R280" s="201"/>
      <c r="S280" s="201"/>
      <c r="T280" s="201"/>
      <c r="U280" s="201"/>
      <c r="V280" s="201"/>
      <c r="W280" s="201"/>
      <c r="X280" s="202"/>
      <c r="Y280" s="203"/>
      <c r="Z280" s="204"/>
      <c r="AA280" s="205"/>
      <c r="AB280" s="206"/>
      <c r="AC280" s="206"/>
      <c r="AD280" s="194"/>
      <c r="AE280" s="201"/>
      <c r="AF280" s="207"/>
      <c r="AG280" s="208"/>
      <c r="AH280" s="209"/>
      <c r="AI280" s="210"/>
      <c r="AJ280" s="197"/>
      <c r="AK280" s="201"/>
      <c r="AL280" s="196"/>
      <c r="AM280" s="201"/>
      <c r="AN280" s="201"/>
      <c r="AO280" s="201"/>
      <c r="AP280" s="211"/>
      <c r="AQ280" s="212"/>
      <c r="AR280" s="201"/>
      <c r="AS280" s="201"/>
      <c r="AT280" s="201"/>
      <c r="AU280" s="201"/>
      <c r="AV280" s="202"/>
      <c r="AW280" s="194"/>
      <c r="AX280" s="201"/>
      <c r="AY280" s="213"/>
      <c r="AZ280" s="214"/>
      <c r="BA280" s="215"/>
      <c r="BB280" s="216"/>
      <c r="BC280" s="217" t="str">
        <f t="shared" si="52"/>
        <v/>
      </c>
      <c r="BD280" s="218"/>
      <c r="BE280" s="219"/>
      <c r="BF280" s="220"/>
      <c r="BG280" s="219"/>
      <c r="BH280" s="219"/>
      <c r="BI280" s="220"/>
      <c r="BJ280" s="218"/>
      <c r="BK280" s="219"/>
      <c r="BL280" s="197"/>
      <c r="BM280" s="215"/>
      <c r="BN280" s="221"/>
      <c r="BO280" s="222" t="str">
        <f t="shared" si="53"/>
        <v/>
      </c>
      <c r="BP280" s="217" t="str">
        <f t="shared" si="54"/>
        <v/>
      </c>
      <c r="BQ280" s="215"/>
      <c r="BR280" s="224"/>
      <c r="BS280" s="225"/>
      <c r="BT280" s="223"/>
      <c r="BU280" s="215"/>
      <c r="BV280" s="226"/>
      <c r="BW280" s="222" t="str">
        <f t="shared" si="55"/>
        <v/>
      </c>
      <c r="BX280" s="223" t="str">
        <f t="shared" si="56"/>
        <v/>
      </c>
      <c r="BY280" s="215"/>
      <c r="BZ280" s="227"/>
      <c r="CA280" s="227"/>
      <c r="CB280" s="228"/>
      <c r="CC280" s="229"/>
      <c r="CD280" s="230" t="str">
        <f t="shared" si="57"/>
        <v/>
      </c>
      <c r="CE280" s="231" t="str">
        <f t="shared" si="58"/>
        <v/>
      </c>
      <c r="CF280" s="232" t="str">
        <f t="shared" si="59"/>
        <v/>
      </c>
      <c r="CG280" s="233" t="str">
        <f t="shared" si="60"/>
        <v/>
      </c>
      <c r="CH280" s="207" t="str">
        <f>IF(OR(G280="",CC280= ""), "", IF(ISERROR(SMALL((CJ280,CN280,CV280), 1)-CC280), "",  SMALL((CJ280,CN280,CV280), 1)-CC280))</f>
        <v/>
      </c>
      <c r="CI280" s="234"/>
      <c r="CJ280" s="235"/>
      <c r="CK280" s="236"/>
      <c r="CL280" s="222" t="str">
        <f t="shared" si="61"/>
        <v/>
      </c>
      <c r="CM280" s="237" t="str">
        <f>IF(OR(G280="", CJ280="",CK280=""), "", IF(ISERROR(SMALL((CN280,CV280), 1)-CK280), "",  SMALL((CN280,CV280), 1)-CK280))</f>
        <v/>
      </c>
      <c r="CN280" s="235"/>
      <c r="CO280" s="236"/>
      <c r="CP280" s="224" t="str">
        <f t="shared" si="62"/>
        <v/>
      </c>
      <c r="CQ280" s="235"/>
      <c r="CR280" s="236"/>
      <c r="CS280" s="222" t="str">
        <f t="shared" si="63"/>
        <v/>
      </c>
      <c r="CT280" s="237" t="str">
        <f t="shared" si="64"/>
        <v/>
      </c>
      <c r="CU280" s="238"/>
      <c r="CV280" s="239"/>
      <c r="CW280" s="240"/>
    </row>
    <row r="281" spans="2:101" ht="16.5" customHeight="1">
      <c r="B281" s="122"/>
      <c r="E281" s="122"/>
      <c r="F281" s="194"/>
      <c r="G281" s="195"/>
      <c r="H281" s="195"/>
      <c r="I281" s="195"/>
      <c r="J281" s="196"/>
      <c r="K281" s="197"/>
      <c r="L281" s="198"/>
      <c r="M281" s="199"/>
      <c r="N281" s="200"/>
      <c r="O281" s="201"/>
      <c r="P281" s="201"/>
      <c r="Q281" s="201"/>
      <c r="R281" s="201"/>
      <c r="S281" s="201"/>
      <c r="T281" s="201"/>
      <c r="U281" s="201"/>
      <c r="V281" s="201"/>
      <c r="W281" s="201"/>
      <c r="X281" s="202"/>
      <c r="Y281" s="203"/>
      <c r="Z281" s="204"/>
      <c r="AA281" s="205"/>
      <c r="AB281" s="206"/>
      <c r="AC281" s="206"/>
      <c r="AD281" s="194"/>
      <c r="AE281" s="201"/>
      <c r="AF281" s="207"/>
      <c r="AG281" s="208"/>
      <c r="AH281" s="209"/>
      <c r="AI281" s="210"/>
      <c r="AJ281" s="197"/>
      <c r="AK281" s="201"/>
      <c r="AL281" s="196"/>
      <c r="AM281" s="201"/>
      <c r="AN281" s="201"/>
      <c r="AO281" s="201"/>
      <c r="AP281" s="211"/>
      <c r="AQ281" s="212"/>
      <c r="AR281" s="201"/>
      <c r="AS281" s="201"/>
      <c r="AT281" s="201"/>
      <c r="AU281" s="201"/>
      <c r="AV281" s="202"/>
      <c r="AW281" s="194"/>
      <c r="AX281" s="201"/>
      <c r="AY281" s="213"/>
      <c r="AZ281" s="214"/>
      <c r="BA281" s="215"/>
      <c r="BB281" s="216"/>
      <c r="BC281" s="217" t="str">
        <f t="shared" si="52"/>
        <v/>
      </c>
      <c r="BD281" s="218"/>
      <c r="BE281" s="219"/>
      <c r="BF281" s="220"/>
      <c r="BG281" s="219"/>
      <c r="BH281" s="219"/>
      <c r="BI281" s="220"/>
      <c r="BJ281" s="218"/>
      <c r="BK281" s="219"/>
      <c r="BL281" s="197"/>
      <c r="BM281" s="215"/>
      <c r="BN281" s="221"/>
      <c r="BO281" s="222" t="str">
        <f t="shared" si="53"/>
        <v/>
      </c>
      <c r="BP281" s="217" t="str">
        <f t="shared" si="54"/>
        <v/>
      </c>
      <c r="BQ281" s="215"/>
      <c r="BR281" s="224"/>
      <c r="BS281" s="225"/>
      <c r="BT281" s="223"/>
      <c r="BU281" s="215"/>
      <c r="BV281" s="226"/>
      <c r="BW281" s="222" t="str">
        <f t="shared" si="55"/>
        <v/>
      </c>
      <c r="BX281" s="223" t="str">
        <f t="shared" si="56"/>
        <v/>
      </c>
      <c r="BY281" s="215"/>
      <c r="BZ281" s="227"/>
      <c r="CA281" s="227"/>
      <c r="CB281" s="228"/>
      <c r="CC281" s="229"/>
      <c r="CD281" s="230" t="str">
        <f t="shared" si="57"/>
        <v/>
      </c>
      <c r="CE281" s="231" t="str">
        <f t="shared" si="58"/>
        <v/>
      </c>
      <c r="CF281" s="232" t="str">
        <f t="shared" si="59"/>
        <v/>
      </c>
      <c r="CG281" s="233" t="str">
        <f t="shared" si="60"/>
        <v/>
      </c>
      <c r="CH281" s="207" t="str">
        <f>IF(OR(G281="",CC281= ""), "", IF(ISERROR(SMALL((CJ281,CN281,CV281), 1)-CC281), "",  SMALL((CJ281,CN281,CV281), 1)-CC281))</f>
        <v/>
      </c>
      <c r="CI281" s="234"/>
      <c r="CJ281" s="235"/>
      <c r="CK281" s="236"/>
      <c r="CL281" s="222" t="str">
        <f t="shared" si="61"/>
        <v/>
      </c>
      <c r="CM281" s="237" t="str">
        <f>IF(OR(G281="", CJ281="",CK281=""), "", IF(ISERROR(SMALL((CN281,CV281), 1)-CK281), "",  SMALL((CN281,CV281), 1)-CK281))</f>
        <v/>
      </c>
      <c r="CN281" s="235"/>
      <c r="CO281" s="236"/>
      <c r="CP281" s="224" t="str">
        <f t="shared" si="62"/>
        <v/>
      </c>
      <c r="CQ281" s="235"/>
      <c r="CR281" s="236"/>
      <c r="CS281" s="222" t="str">
        <f t="shared" si="63"/>
        <v/>
      </c>
      <c r="CT281" s="237" t="str">
        <f t="shared" si="64"/>
        <v/>
      </c>
      <c r="CU281" s="238"/>
      <c r="CV281" s="239"/>
      <c r="CW281" s="240"/>
    </row>
    <row r="282" spans="2:101" ht="16.5" customHeight="1">
      <c r="B282" s="122"/>
      <c r="E282" s="122"/>
      <c r="F282" s="194"/>
      <c r="G282" s="195"/>
      <c r="H282" s="195"/>
      <c r="I282" s="195"/>
      <c r="J282" s="196"/>
      <c r="K282" s="197"/>
      <c r="L282" s="198"/>
      <c r="M282" s="199"/>
      <c r="N282" s="200"/>
      <c r="O282" s="201"/>
      <c r="P282" s="201"/>
      <c r="Q282" s="201"/>
      <c r="R282" s="201"/>
      <c r="S282" s="201"/>
      <c r="T282" s="201"/>
      <c r="U282" s="201"/>
      <c r="V282" s="201"/>
      <c r="W282" s="201"/>
      <c r="X282" s="202"/>
      <c r="Y282" s="203"/>
      <c r="Z282" s="204"/>
      <c r="AA282" s="205"/>
      <c r="AB282" s="206"/>
      <c r="AC282" s="206"/>
      <c r="AD282" s="194"/>
      <c r="AE282" s="201"/>
      <c r="AF282" s="207"/>
      <c r="AG282" s="208"/>
      <c r="AH282" s="209"/>
      <c r="AI282" s="210"/>
      <c r="AJ282" s="197"/>
      <c r="AK282" s="201"/>
      <c r="AL282" s="196"/>
      <c r="AM282" s="201"/>
      <c r="AN282" s="201"/>
      <c r="AO282" s="201"/>
      <c r="AP282" s="211"/>
      <c r="AQ282" s="212"/>
      <c r="AR282" s="201"/>
      <c r="AS282" s="201"/>
      <c r="AT282" s="201"/>
      <c r="AU282" s="201"/>
      <c r="AV282" s="202"/>
      <c r="AW282" s="194"/>
      <c r="AX282" s="201"/>
      <c r="AY282" s="213"/>
      <c r="AZ282" s="214"/>
      <c r="BA282" s="215"/>
      <c r="BB282" s="216"/>
      <c r="BC282" s="217" t="str">
        <f t="shared" si="52"/>
        <v/>
      </c>
      <c r="BD282" s="218"/>
      <c r="BE282" s="219"/>
      <c r="BF282" s="220"/>
      <c r="BG282" s="219"/>
      <c r="BH282" s="219"/>
      <c r="BI282" s="220"/>
      <c r="BJ282" s="218"/>
      <c r="BK282" s="219"/>
      <c r="BL282" s="197"/>
      <c r="BM282" s="215"/>
      <c r="BN282" s="221"/>
      <c r="BO282" s="222" t="str">
        <f t="shared" si="53"/>
        <v/>
      </c>
      <c r="BP282" s="217" t="str">
        <f t="shared" si="54"/>
        <v/>
      </c>
      <c r="BQ282" s="215"/>
      <c r="BR282" s="224"/>
      <c r="BS282" s="225"/>
      <c r="BT282" s="223"/>
      <c r="BU282" s="215"/>
      <c r="BV282" s="226"/>
      <c r="BW282" s="222" t="str">
        <f t="shared" si="55"/>
        <v/>
      </c>
      <c r="BX282" s="223" t="str">
        <f t="shared" si="56"/>
        <v/>
      </c>
      <c r="BY282" s="215"/>
      <c r="BZ282" s="227"/>
      <c r="CA282" s="227"/>
      <c r="CB282" s="228"/>
      <c r="CC282" s="229"/>
      <c r="CD282" s="230" t="str">
        <f t="shared" si="57"/>
        <v/>
      </c>
      <c r="CE282" s="231" t="str">
        <f t="shared" si="58"/>
        <v/>
      </c>
      <c r="CF282" s="232" t="str">
        <f t="shared" si="59"/>
        <v/>
      </c>
      <c r="CG282" s="233" t="str">
        <f t="shared" si="60"/>
        <v/>
      </c>
      <c r="CH282" s="207" t="str">
        <f>IF(OR(G282="",CC282= ""), "", IF(ISERROR(SMALL((CJ282,CN282,CV282), 1)-CC282), "",  SMALL((CJ282,CN282,CV282), 1)-CC282))</f>
        <v/>
      </c>
      <c r="CI282" s="234"/>
      <c r="CJ282" s="235"/>
      <c r="CK282" s="236"/>
      <c r="CL282" s="222" t="str">
        <f t="shared" si="61"/>
        <v/>
      </c>
      <c r="CM282" s="237" t="str">
        <f>IF(OR(G282="", CJ282="",CK282=""), "", IF(ISERROR(SMALL((CN282,CV282), 1)-CK282), "",  SMALL((CN282,CV282), 1)-CK282))</f>
        <v/>
      </c>
      <c r="CN282" s="235"/>
      <c r="CO282" s="236"/>
      <c r="CP282" s="224" t="str">
        <f t="shared" si="62"/>
        <v/>
      </c>
      <c r="CQ282" s="235"/>
      <c r="CR282" s="236"/>
      <c r="CS282" s="222" t="str">
        <f t="shared" si="63"/>
        <v/>
      </c>
      <c r="CT282" s="237" t="str">
        <f t="shared" si="64"/>
        <v/>
      </c>
      <c r="CU282" s="238"/>
      <c r="CV282" s="239"/>
      <c r="CW282" s="240"/>
    </row>
    <row r="283" spans="2:101" ht="16.5" customHeight="1">
      <c r="B283" s="122"/>
      <c r="E283" s="122"/>
      <c r="F283" s="194"/>
      <c r="G283" s="195"/>
      <c r="H283" s="195"/>
      <c r="I283" s="195"/>
      <c r="J283" s="196"/>
      <c r="K283" s="197"/>
      <c r="L283" s="198"/>
      <c r="M283" s="199"/>
      <c r="N283" s="200"/>
      <c r="O283" s="201"/>
      <c r="P283" s="201"/>
      <c r="Q283" s="201"/>
      <c r="R283" s="201"/>
      <c r="S283" s="201"/>
      <c r="T283" s="201"/>
      <c r="U283" s="201"/>
      <c r="V283" s="201"/>
      <c r="W283" s="201"/>
      <c r="X283" s="202"/>
      <c r="Y283" s="203"/>
      <c r="Z283" s="204"/>
      <c r="AA283" s="205"/>
      <c r="AB283" s="206"/>
      <c r="AC283" s="206"/>
      <c r="AD283" s="194"/>
      <c r="AE283" s="201"/>
      <c r="AF283" s="207"/>
      <c r="AG283" s="208"/>
      <c r="AH283" s="209"/>
      <c r="AI283" s="210"/>
      <c r="AJ283" s="197"/>
      <c r="AK283" s="201"/>
      <c r="AL283" s="196"/>
      <c r="AM283" s="201"/>
      <c r="AN283" s="201"/>
      <c r="AO283" s="201"/>
      <c r="AP283" s="211"/>
      <c r="AQ283" s="212"/>
      <c r="AR283" s="201"/>
      <c r="AS283" s="201"/>
      <c r="AT283" s="201"/>
      <c r="AU283" s="201"/>
      <c r="AV283" s="202"/>
      <c r="AW283" s="194"/>
      <c r="AX283" s="201"/>
      <c r="AY283" s="213"/>
      <c r="AZ283" s="214"/>
      <c r="BA283" s="215"/>
      <c r="BB283" s="216"/>
      <c r="BC283" s="217" t="str">
        <f t="shared" si="52"/>
        <v/>
      </c>
      <c r="BD283" s="218"/>
      <c r="BE283" s="219"/>
      <c r="BF283" s="220"/>
      <c r="BG283" s="219"/>
      <c r="BH283" s="219"/>
      <c r="BI283" s="220"/>
      <c r="BJ283" s="218"/>
      <c r="BK283" s="219"/>
      <c r="BL283" s="197"/>
      <c r="BM283" s="215"/>
      <c r="BN283" s="221"/>
      <c r="BO283" s="222" t="str">
        <f t="shared" si="53"/>
        <v/>
      </c>
      <c r="BP283" s="217" t="str">
        <f t="shared" si="54"/>
        <v/>
      </c>
      <c r="BQ283" s="215"/>
      <c r="BR283" s="224"/>
      <c r="BS283" s="225"/>
      <c r="BT283" s="223"/>
      <c r="BU283" s="215"/>
      <c r="BV283" s="226"/>
      <c r="BW283" s="222" t="str">
        <f t="shared" si="55"/>
        <v/>
      </c>
      <c r="BX283" s="223" t="str">
        <f t="shared" si="56"/>
        <v/>
      </c>
      <c r="BY283" s="215"/>
      <c r="BZ283" s="227"/>
      <c r="CA283" s="227"/>
      <c r="CB283" s="228"/>
      <c r="CC283" s="229"/>
      <c r="CD283" s="230" t="str">
        <f t="shared" si="57"/>
        <v/>
      </c>
      <c r="CE283" s="231" t="str">
        <f t="shared" si="58"/>
        <v/>
      </c>
      <c r="CF283" s="232" t="str">
        <f t="shared" si="59"/>
        <v/>
      </c>
      <c r="CG283" s="233" t="str">
        <f t="shared" si="60"/>
        <v/>
      </c>
      <c r="CH283" s="207" t="str">
        <f>IF(OR(G283="",CC283= ""), "", IF(ISERROR(SMALL((CJ283,CN283,CV283), 1)-CC283), "",  SMALL((CJ283,CN283,CV283), 1)-CC283))</f>
        <v/>
      </c>
      <c r="CI283" s="234"/>
      <c r="CJ283" s="235"/>
      <c r="CK283" s="236"/>
      <c r="CL283" s="222" t="str">
        <f t="shared" si="61"/>
        <v/>
      </c>
      <c r="CM283" s="237" t="str">
        <f>IF(OR(G283="", CJ283="",CK283=""), "", IF(ISERROR(SMALL((CN283,CV283), 1)-CK283), "",  SMALL((CN283,CV283), 1)-CK283))</f>
        <v/>
      </c>
      <c r="CN283" s="235"/>
      <c r="CO283" s="236"/>
      <c r="CP283" s="224" t="str">
        <f t="shared" si="62"/>
        <v/>
      </c>
      <c r="CQ283" s="235"/>
      <c r="CR283" s="236"/>
      <c r="CS283" s="222" t="str">
        <f t="shared" si="63"/>
        <v/>
      </c>
      <c r="CT283" s="237" t="str">
        <f t="shared" si="64"/>
        <v/>
      </c>
      <c r="CU283" s="238"/>
      <c r="CV283" s="239"/>
      <c r="CW283" s="240"/>
    </row>
    <row r="284" spans="2:101" ht="16.5" customHeight="1">
      <c r="B284" s="122"/>
      <c r="E284" s="122"/>
      <c r="F284" s="194"/>
      <c r="G284" s="195"/>
      <c r="H284" s="195"/>
      <c r="I284" s="195"/>
      <c r="J284" s="196"/>
      <c r="K284" s="197"/>
      <c r="L284" s="198"/>
      <c r="M284" s="199"/>
      <c r="N284" s="200"/>
      <c r="O284" s="201"/>
      <c r="P284" s="201"/>
      <c r="Q284" s="201"/>
      <c r="R284" s="201"/>
      <c r="S284" s="201"/>
      <c r="T284" s="201"/>
      <c r="U284" s="201"/>
      <c r="V284" s="201"/>
      <c r="W284" s="201"/>
      <c r="X284" s="202"/>
      <c r="Y284" s="203"/>
      <c r="Z284" s="204"/>
      <c r="AA284" s="205"/>
      <c r="AB284" s="206"/>
      <c r="AC284" s="206"/>
      <c r="AD284" s="194"/>
      <c r="AE284" s="201"/>
      <c r="AF284" s="207"/>
      <c r="AG284" s="208"/>
      <c r="AH284" s="209"/>
      <c r="AI284" s="210"/>
      <c r="AJ284" s="197"/>
      <c r="AK284" s="201"/>
      <c r="AL284" s="196"/>
      <c r="AM284" s="201"/>
      <c r="AN284" s="201"/>
      <c r="AO284" s="201"/>
      <c r="AP284" s="211"/>
      <c r="AQ284" s="212"/>
      <c r="AR284" s="201"/>
      <c r="AS284" s="201"/>
      <c r="AT284" s="201"/>
      <c r="AU284" s="201"/>
      <c r="AV284" s="202"/>
      <c r="AW284" s="194"/>
      <c r="AX284" s="201"/>
      <c r="AY284" s="213"/>
      <c r="AZ284" s="214"/>
      <c r="BA284" s="215"/>
      <c r="BB284" s="216"/>
      <c r="BC284" s="217" t="str">
        <f t="shared" si="52"/>
        <v/>
      </c>
      <c r="BD284" s="218"/>
      <c r="BE284" s="219"/>
      <c r="BF284" s="220"/>
      <c r="BG284" s="219"/>
      <c r="BH284" s="219"/>
      <c r="BI284" s="220"/>
      <c r="BJ284" s="218"/>
      <c r="BK284" s="219"/>
      <c r="BL284" s="197"/>
      <c r="BM284" s="215"/>
      <c r="BN284" s="221"/>
      <c r="BO284" s="222" t="str">
        <f t="shared" si="53"/>
        <v/>
      </c>
      <c r="BP284" s="217" t="str">
        <f t="shared" si="54"/>
        <v/>
      </c>
      <c r="BQ284" s="215"/>
      <c r="BR284" s="224"/>
      <c r="BS284" s="225"/>
      <c r="BT284" s="223"/>
      <c r="BU284" s="215"/>
      <c r="BV284" s="226"/>
      <c r="BW284" s="222" t="str">
        <f t="shared" si="55"/>
        <v/>
      </c>
      <c r="BX284" s="223" t="str">
        <f t="shared" si="56"/>
        <v/>
      </c>
      <c r="BY284" s="215"/>
      <c r="BZ284" s="227"/>
      <c r="CA284" s="227"/>
      <c r="CB284" s="228"/>
      <c r="CC284" s="229"/>
      <c r="CD284" s="230" t="str">
        <f t="shared" si="57"/>
        <v/>
      </c>
      <c r="CE284" s="231" t="str">
        <f t="shared" si="58"/>
        <v/>
      </c>
      <c r="CF284" s="232" t="str">
        <f t="shared" si="59"/>
        <v/>
      </c>
      <c r="CG284" s="233" t="str">
        <f t="shared" si="60"/>
        <v/>
      </c>
      <c r="CH284" s="207" t="str">
        <f>IF(OR(G284="",CC284= ""), "", IF(ISERROR(SMALL((CJ284,CN284,CV284), 1)-CC284), "",  SMALL((CJ284,CN284,CV284), 1)-CC284))</f>
        <v/>
      </c>
      <c r="CI284" s="234"/>
      <c r="CJ284" s="235"/>
      <c r="CK284" s="236"/>
      <c r="CL284" s="222" t="str">
        <f t="shared" si="61"/>
        <v/>
      </c>
      <c r="CM284" s="237" t="str">
        <f>IF(OR(G284="", CJ284="",CK284=""), "", IF(ISERROR(SMALL((CN284,CV284), 1)-CK284), "",  SMALL((CN284,CV284), 1)-CK284))</f>
        <v/>
      </c>
      <c r="CN284" s="235"/>
      <c r="CO284" s="236"/>
      <c r="CP284" s="224" t="str">
        <f t="shared" si="62"/>
        <v/>
      </c>
      <c r="CQ284" s="235"/>
      <c r="CR284" s="236"/>
      <c r="CS284" s="222" t="str">
        <f t="shared" si="63"/>
        <v/>
      </c>
      <c r="CT284" s="237" t="str">
        <f t="shared" si="64"/>
        <v/>
      </c>
      <c r="CU284" s="238"/>
      <c r="CV284" s="239"/>
      <c r="CW284" s="240"/>
    </row>
    <row r="285" spans="2:101" ht="16.5" customHeight="1">
      <c r="B285" s="122"/>
      <c r="E285" s="122"/>
      <c r="F285" s="194"/>
      <c r="G285" s="195"/>
      <c r="H285" s="195"/>
      <c r="I285" s="195"/>
      <c r="J285" s="196"/>
      <c r="K285" s="197"/>
      <c r="L285" s="198"/>
      <c r="M285" s="199"/>
      <c r="N285" s="200"/>
      <c r="O285" s="201"/>
      <c r="P285" s="201"/>
      <c r="Q285" s="201"/>
      <c r="R285" s="201"/>
      <c r="S285" s="201"/>
      <c r="T285" s="201"/>
      <c r="U285" s="201"/>
      <c r="V285" s="201"/>
      <c r="W285" s="201"/>
      <c r="X285" s="202"/>
      <c r="Y285" s="203"/>
      <c r="Z285" s="204"/>
      <c r="AA285" s="205"/>
      <c r="AB285" s="206"/>
      <c r="AC285" s="206"/>
      <c r="AD285" s="194"/>
      <c r="AE285" s="201"/>
      <c r="AF285" s="207"/>
      <c r="AG285" s="208"/>
      <c r="AH285" s="209"/>
      <c r="AI285" s="210"/>
      <c r="AJ285" s="197"/>
      <c r="AK285" s="201"/>
      <c r="AL285" s="196"/>
      <c r="AM285" s="201"/>
      <c r="AN285" s="201"/>
      <c r="AO285" s="201"/>
      <c r="AP285" s="211"/>
      <c r="AQ285" s="212"/>
      <c r="AR285" s="201"/>
      <c r="AS285" s="201"/>
      <c r="AT285" s="201"/>
      <c r="AU285" s="201"/>
      <c r="AV285" s="202"/>
      <c r="AW285" s="194"/>
      <c r="AX285" s="201"/>
      <c r="AY285" s="213"/>
      <c r="AZ285" s="214"/>
      <c r="BA285" s="215"/>
      <c r="BB285" s="216"/>
      <c r="BC285" s="217" t="str">
        <f t="shared" si="52"/>
        <v/>
      </c>
      <c r="BD285" s="218"/>
      <c r="BE285" s="219"/>
      <c r="BF285" s="220"/>
      <c r="BG285" s="219"/>
      <c r="BH285" s="219"/>
      <c r="BI285" s="220"/>
      <c r="BJ285" s="218"/>
      <c r="BK285" s="219"/>
      <c r="BL285" s="197"/>
      <c r="BM285" s="215"/>
      <c r="BN285" s="221"/>
      <c r="BO285" s="222" t="str">
        <f t="shared" si="53"/>
        <v/>
      </c>
      <c r="BP285" s="217" t="str">
        <f t="shared" si="54"/>
        <v/>
      </c>
      <c r="BQ285" s="215"/>
      <c r="BR285" s="224"/>
      <c r="BS285" s="225"/>
      <c r="BT285" s="223"/>
      <c r="BU285" s="215"/>
      <c r="BV285" s="226"/>
      <c r="BW285" s="222" t="str">
        <f t="shared" si="55"/>
        <v/>
      </c>
      <c r="BX285" s="223" t="str">
        <f t="shared" si="56"/>
        <v/>
      </c>
      <c r="BY285" s="215"/>
      <c r="BZ285" s="227"/>
      <c r="CA285" s="227"/>
      <c r="CB285" s="228"/>
      <c r="CC285" s="229"/>
      <c r="CD285" s="230" t="str">
        <f t="shared" si="57"/>
        <v/>
      </c>
      <c r="CE285" s="231" t="str">
        <f t="shared" si="58"/>
        <v/>
      </c>
      <c r="CF285" s="232" t="str">
        <f t="shared" si="59"/>
        <v/>
      </c>
      <c r="CG285" s="233" t="str">
        <f t="shared" si="60"/>
        <v/>
      </c>
      <c r="CH285" s="207" t="str">
        <f>IF(OR(G285="",CC285= ""), "", IF(ISERROR(SMALL((CJ285,CN285,CV285), 1)-CC285), "",  SMALL((CJ285,CN285,CV285), 1)-CC285))</f>
        <v/>
      </c>
      <c r="CI285" s="234"/>
      <c r="CJ285" s="235"/>
      <c r="CK285" s="236"/>
      <c r="CL285" s="222" t="str">
        <f t="shared" si="61"/>
        <v/>
      </c>
      <c r="CM285" s="237" t="str">
        <f>IF(OR(G285="", CJ285="",CK285=""), "", IF(ISERROR(SMALL((CN285,CV285), 1)-CK285), "",  SMALL((CN285,CV285), 1)-CK285))</f>
        <v/>
      </c>
      <c r="CN285" s="235"/>
      <c r="CO285" s="236"/>
      <c r="CP285" s="224" t="str">
        <f t="shared" si="62"/>
        <v/>
      </c>
      <c r="CQ285" s="235"/>
      <c r="CR285" s="236"/>
      <c r="CS285" s="222" t="str">
        <f t="shared" si="63"/>
        <v/>
      </c>
      <c r="CT285" s="237" t="str">
        <f t="shared" si="64"/>
        <v/>
      </c>
      <c r="CU285" s="238"/>
      <c r="CV285" s="239"/>
      <c r="CW285" s="240"/>
    </row>
    <row r="286" spans="2:101" ht="16.5" customHeight="1">
      <c r="B286" s="122"/>
      <c r="E286" s="122"/>
      <c r="F286" s="194"/>
      <c r="G286" s="195"/>
      <c r="H286" s="195"/>
      <c r="I286" s="195"/>
      <c r="J286" s="196"/>
      <c r="K286" s="197"/>
      <c r="L286" s="198"/>
      <c r="M286" s="199"/>
      <c r="N286" s="200"/>
      <c r="O286" s="201"/>
      <c r="P286" s="201"/>
      <c r="Q286" s="201"/>
      <c r="R286" s="201"/>
      <c r="S286" s="201"/>
      <c r="T286" s="201"/>
      <c r="U286" s="201"/>
      <c r="V286" s="201"/>
      <c r="W286" s="201"/>
      <c r="X286" s="202"/>
      <c r="Y286" s="203"/>
      <c r="Z286" s="204"/>
      <c r="AA286" s="205"/>
      <c r="AB286" s="206"/>
      <c r="AC286" s="206"/>
      <c r="AD286" s="194"/>
      <c r="AE286" s="201"/>
      <c r="AF286" s="207"/>
      <c r="AG286" s="208"/>
      <c r="AH286" s="209"/>
      <c r="AI286" s="210"/>
      <c r="AJ286" s="197"/>
      <c r="AK286" s="201"/>
      <c r="AL286" s="196"/>
      <c r="AM286" s="201"/>
      <c r="AN286" s="201"/>
      <c r="AO286" s="201"/>
      <c r="AP286" s="211"/>
      <c r="AQ286" s="212"/>
      <c r="AR286" s="201"/>
      <c r="AS286" s="201"/>
      <c r="AT286" s="201"/>
      <c r="AU286" s="201"/>
      <c r="AV286" s="202"/>
      <c r="AW286" s="194"/>
      <c r="AX286" s="201"/>
      <c r="AY286" s="213"/>
      <c r="AZ286" s="214"/>
      <c r="BA286" s="215"/>
      <c r="BB286" s="216"/>
      <c r="BC286" s="217" t="str">
        <f t="shared" si="52"/>
        <v/>
      </c>
      <c r="BD286" s="218"/>
      <c r="BE286" s="219"/>
      <c r="BF286" s="220"/>
      <c r="BG286" s="219"/>
      <c r="BH286" s="219"/>
      <c r="BI286" s="220"/>
      <c r="BJ286" s="218"/>
      <c r="BK286" s="219"/>
      <c r="BL286" s="197"/>
      <c r="BM286" s="215"/>
      <c r="BN286" s="221"/>
      <c r="BO286" s="222" t="str">
        <f t="shared" si="53"/>
        <v/>
      </c>
      <c r="BP286" s="217" t="str">
        <f t="shared" si="54"/>
        <v/>
      </c>
      <c r="BQ286" s="215"/>
      <c r="BR286" s="224"/>
      <c r="BS286" s="225"/>
      <c r="BT286" s="223"/>
      <c r="BU286" s="215"/>
      <c r="BV286" s="226"/>
      <c r="BW286" s="222" t="str">
        <f t="shared" si="55"/>
        <v/>
      </c>
      <c r="BX286" s="223" t="str">
        <f t="shared" si="56"/>
        <v/>
      </c>
      <c r="BY286" s="215"/>
      <c r="BZ286" s="227"/>
      <c r="CA286" s="227"/>
      <c r="CB286" s="228"/>
      <c r="CC286" s="229"/>
      <c r="CD286" s="230" t="str">
        <f t="shared" si="57"/>
        <v/>
      </c>
      <c r="CE286" s="231" t="str">
        <f t="shared" si="58"/>
        <v/>
      </c>
      <c r="CF286" s="232" t="str">
        <f t="shared" si="59"/>
        <v/>
      </c>
      <c r="CG286" s="233" t="str">
        <f t="shared" si="60"/>
        <v/>
      </c>
      <c r="CH286" s="207" t="str">
        <f>IF(OR(G286="",CC286= ""), "", IF(ISERROR(SMALL((CJ286,CN286,CV286), 1)-CC286), "",  SMALL((CJ286,CN286,CV286), 1)-CC286))</f>
        <v/>
      </c>
      <c r="CI286" s="234"/>
      <c r="CJ286" s="235"/>
      <c r="CK286" s="236"/>
      <c r="CL286" s="222" t="str">
        <f t="shared" si="61"/>
        <v/>
      </c>
      <c r="CM286" s="237" t="str">
        <f>IF(OR(G286="", CJ286="",CK286=""), "", IF(ISERROR(SMALL((CN286,CV286), 1)-CK286), "",  SMALL((CN286,CV286), 1)-CK286))</f>
        <v/>
      </c>
      <c r="CN286" s="235"/>
      <c r="CO286" s="236"/>
      <c r="CP286" s="224" t="str">
        <f t="shared" si="62"/>
        <v/>
      </c>
      <c r="CQ286" s="235"/>
      <c r="CR286" s="236"/>
      <c r="CS286" s="222" t="str">
        <f t="shared" si="63"/>
        <v/>
      </c>
      <c r="CT286" s="237" t="str">
        <f t="shared" si="64"/>
        <v/>
      </c>
      <c r="CU286" s="238"/>
      <c r="CV286" s="239"/>
      <c r="CW286" s="240"/>
    </row>
    <row r="287" spans="2:101" ht="16.5" customHeight="1">
      <c r="B287" s="122"/>
      <c r="E287" s="122"/>
      <c r="F287" s="194"/>
      <c r="G287" s="195"/>
      <c r="H287" s="195"/>
      <c r="I287" s="195"/>
      <c r="J287" s="196"/>
      <c r="K287" s="197"/>
      <c r="L287" s="198"/>
      <c r="M287" s="199"/>
      <c r="N287" s="200"/>
      <c r="O287" s="201"/>
      <c r="P287" s="201"/>
      <c r="Q287" s="201"/>
      <c r="R287" s="201"/>
      <c r="S287" s="201"/>
      <c r="T287" s="201"/>
      <c r="U287" s="201"/>
      <c r="V287" s="201"/>
      <c r="W287" s="201"/>
      <c r="X287" s="202"/>
      <c r="Y287" s="203"/>
      <c r="Z287" s="204"/>
      <c r="AA287" s="205"/>
      <c r="AB287" s="206"/>
      <c r="AC287" s="206"/>
      <c r="AD287" s="194"/>
      <c r="AE287" s="201"/>
      <c r="AF287" s="207"/>
      <c r="AG287" s="208"/>
      <c r="AH287" s="209"/>
      <c r="AI287" s="210"/>
      <c r="AJ287" s="197"/>
      <c r="AK287" s="201"/>
      <c r="AL287" s="196"/>
      <c r="AM287" s="201"/>
      <c r="AN287" s="201"/>
      <c r="AO287" s="201"/>
      <c r="AP287" s="211"/>
      <c r="AQ287" s="212"/>
      <c r="AR287" s="201"/>
      <c r="AS287" s="201"/>
      <c r="AT287" s="201"/>
      <c r="AU287" s="201"/>
      <c r="AV287" s="202"/>
      <c r="AW287" s="194"/>
      <c r="AX287" s="201"/>
      <c r="AY287" s="213"/>
      <c r="AZ287" s="214"/>
      <c r="BA287" s="215"/>
      <c r="BB287" s="216"/>
      <c r="BC287" s="217" t="str">
        <f t="shared" si="52"/>
        <v/>
      </c>
      <c r="BD287" s="218"/>
      <c r="BE287" s="219"/>
      <c r="BF287" s="220"/>
      <c r="BG287" s="219"/>
      <c r="BH287" s="219"/>
      <c r="BI287" s="220"/>
      <c r="BJ287" s="218"/>
      <c r="BK287" s="219"/>
      <c r="BL287" s="197"/>
      <c r="BM287" s="215"/>
      <c r="BN287" s="221"/>
      <c r="BO287" s="222" t="str">
        <f t="shared" si="53"/>
        <v/>
      </c>
      <c r="BP287" s="217" t="str">
        <f t="shared" si="54"/>
        <v/>
      </c>
      <c r="BQ287" s="215"/>
      <c r="BR287" s="224"/>
      <c r="BS287" s="225"/>
      <c r="BT287" s="223"/>
      <c r="BU287" s="215"/>
      <c r="BV287" s="226"/>
      <c r="BW287" s="222" t="str">
        <f t="shared" si="55"/>
        <v/>
      </c>
      <c r="BX287" s="223" t="str">
        <f t="shared" si="56"/>
        <v/>
      </c>
      <c r="BY287" s="215"/>
      <c r="BZ287" s="227"/>
      <c r="CA287" s="227"/>
      <c r="CB287" s="228"/>
      <c r="CC287" s="229"/>
      <c r="CD287" s="230" t="str">
        <f t="shared" si="57"/>
        <v/>
      </c>
      <c r="CE287" s="231" t="str">
        <f t="shared" si="58"/>
        <v/>
      </c>
      <c r="CF287" s="232" t="str">
        <f t="shared" si="59"/>
        <v/>
      </c>
      <c r="CG287" s="233" t="str">
        <f t="shared" si="60"/>
        <v/>
      </c>
      <c r="CH287" s="207" t="str">
        <f>IF(OR(G287="",CC287= ""), "", IF(ISERROR(SMALL((CJ287,CN287,CV287), 1)-CC287), "",  SMALL((CJ287,CN287,CV287), 1)-CC287))</f>
        <v/>
      </c>
      <c r="CI287" s="234"/>
      <c r="CJ287" s="235"/>
      <c r="CK287" s="236"/>
      <c r="CL287" s="222" t="str">
        <f t="shared" si="61"/>
        <v/>
      </c>
      <c r="CM287" s="237" t="str">
        <f>IF(OR(G287="", CJ287="",CK287=""), "", IF(ISERROR(SMALL((CN287,CV287), 1)-CK287), "",  SMALL((CN287,CV287), 1)-CK287))</f>
        <v/>
      </c>
      <c r="CN287" s="235"/>
      <c r="CO287" s="236"/>
      <c r="CP287" s="224" t="str">
        <f t="shared" si="62"/>
        <v/>
      </c>
      <c r="CQ287" s="235"/>
      <c r="CR287" s="236"/>
      <c r="CS287" s="222" t="str">
        <f t="shared" si="63"/>
        <v/>
      </c>
      <c r="CT287" s="237" t="str">
        <f t="shared" si="64"/>
        <v/>
      </c>
      <c r="CU287" s="238"/>
      <c r="CV287" s="239"/>
      <c r="CW287" s="240"/>
    </row>
    <row r="288" spans="2:101" ht="16.5" customHeight="1">
      <c r="B288" s="122"/>
      <c r="E288" s="122"/>
      <c r="F288" s="194"/>
      <c r="G288" s="195"/>
      <c r="H288" s="195"/>
      <c r="I288" s="195"/>
      <c r="J288" s="196"/>
      <c r="K288" s="197"/>
      <c r="L288" s="198"/>
      <c r="M288" s="199"/>
      <c r="N288" s="200"/>
      <c r="O288" s="201"/>
      <c r="P288" s="201"/>
      <c r="Q288" s="201"/>
      <c r="R288" s="201"/>
      <c r="S288" s="201"/>
      <c r="T288" s="201"/>
      <c r="U288" s="201"/>
      <c r="V288" s="201"/>
      <c r="W288" s="201"/>
      <c r="X288" s="202"/>
      <c r="Y288" s="203"/>
      <c r="Z288" s="204"/>
      <c r="AA288" s="205"/>
      <c r="AB288" s="206"/>
      <c r="AC288" s="206"/>
      <c r="AD288" s="194"/>
      <c r="AE288" s="201"/>
      <c r="AF288" s="207"/>
      <c r="AG288" s="208"/>
      <c r="AH288" s="209"/>
      <c r="AI288" s="210"/>
      <c r="AJ288" s="197"/>
      <c r="AK288" s="201"/>
      <c r="AL288" s="196"/>
      <c r="AM288" s="201"/>
      <c r="AN288" s="201"/>
      <c r="AO288" s="201"/>
      <c r="AP288" s="211"/>
      <c r="AQ288" s="212"/>
      <c r="AR288" s="201"/>
      <c r="AS288" s="201"/>
      <c r="AT288" s="201"/>
      <c r="AU288" s="201"/>
      <c r="AV288" s="202"/>
      <c r="AW288" s="194"/>
      <c r="AX288" s="201"/>
      <c r="AY288" s="213"/>
      <c r="AZ288" s="214"/>
      <c r="BA288" s="215"/>
      <c r="BB288" s="216"/>
      <c r="BC288" s="217" t="str">
        <f t="shared" si="52"/>
        <v/>
      </c>
      <c r="BD288" s="218"/>
      <c r="BE288" s="219"/>
      <c r="BF288" s="220"/>
      <c r="BG288" s="219"/>
      <c r="BH288" s="219"/>
      <c r="BI288" s="220"/>
      <c r="BJ288" s="218"/>
      <c r="BK288" s="219"/>
      <c r="BL288" s="197"/>
      <c r="BM288" s="215"/>
      <c r="BN288" s="221"/>
      <c r="BO288" s="222" t="str">
        <f t="shared" si="53"/>
        <v/>
      </c>
      <c r="BP288" s="217" t="str">
        <f t="shared" si="54"/>
        <v/>
      </c>
      <c r="BQ288" s="215"/>
      <c r="BR288" s="224"/>
      <c r="BS288" s="225"/>
      <c r="BT288" s="223"/>
      <c r="BU288" s="215"/>
      <c r="BV288" s="226"/>
      <c r="BW288" s="222" t="str">
        <f t="shared" si="55"/>
        <v/>
      </c>
      <c r="BX288" s="223" t="str">
        <f t="shared" si="56"/>
        <v/>
      </c>
      <c r="BY288" s="215"/>
      <c r="BZ288" s="227"/>
      <c r="CA288" s="227"/>
      <c r="CB288" s="228"/>
      <c r="CC288" s="229"/>
      <c r="CD288" s="230" t="str">
        <f t="shared" si="57"/>
        <v/>
      </c>
      <c r="CE288" s="231" t="str">
        <f t="shared" si="58"/>
        <v/>
      </c>
      <c r="CF288" s="232" t="str">
        <f t="shared" si="59"/>
        <v/>
      </c>
      <c r="CG288" s="233" t="str">
        <f t="shared" si="60"/>
        <v/>
      </c>
      <c r="CH288" s="207" t="str">
        <f>IF(OR(G288="",CC288= ""), "", IF(ISERROR(SMALL((CJ288,CN288,CV288), 1)-CC288), "",  SMALL((CJ288,CN288,CV288), 1)-CC288))</f>
        <v/>
      </c>
      <c r="CI288" s="234"/>
      <c r="CJ288" s="235"/>
      <c r="CK288" s="236"/>
      <c r="CL288" s="222" t="str">
        <f t="shared" si="61"/>
        <v/>
      </c>
      <c r="CM288" s="237" t="str">
        <f>IF(OR(G288="", CJ288="",CK288=""), "", IF(ISERROR(SMALL((CN288,CV288), 1)-CK288), "",  SMALL((CN288,CV288), 1)-CK288))</f>
        <v/>
      </c>
      <c r="CN288" s="235"/>
      <c r="CO288" s="236"/>
      <c r="CP288" s="224" t="str">
        <f t="shared" si="62"/>
        <v/>
      </c>
      <c r="CQ288" s="235"/>
      <c r="CR288" s="236"/>
      <c r="CS288" s="222" t="str">
        <f t="shared" si="63"/>
        <v/>
      </c>
      <c r="CT288" s="237" t="str">
        <f t="shared" si="64"/>
        <v/>
      </c>
      <c r="CU288" s="238"/>
      <c r="CV288" s="239"/>
      <c r="CW288" s="240"/>
    </row>
    <row r="289" spans="2:101" ht="16.5" customHeight="1">
      <c r="B289" s="122"/>
      <c r="E289" s="122"/>
      <c r="F289" s="194"/>
      <c r="G289" s="195"/>
      <c r="H289" s="195"/>
      <c r="I289" s="195"/>
      <c r="J289" s="196"/>
      <c r="K289" s="197"/>
      <c r="L289" s="198"/>
      <c r="M289" s="199"/>
      <c r="N289" s="200"/>
      <c r="O289" s="201"/>
      <c r="P289" s="201"/>
      <c r="Q289" s="201"/>
      <c r="R289" s="201"/>
      <c r="S289" s="201"/>
      <c r="T289" s="201"/>
      <c r="U289" s="201"/>
      <c r="V289" s="201"/>
      <c r="W289" s="201"/>
      <c r="X289" s="202"/>
      <c r="Y289" s="203"/>
      <c r="Z289" s="204"/>
      <c r="AA289" s="205"/>
      <c r="AB289" s="206"/>
      <c r="AC289" s="206"/>
      <c r="AD289" s="194"/>
      <c r="AE289" s="201"/>
      <c r="AF289" s="207"/>
      <c r="AG289" s="208"/>
      <c r="AH289" s="209"/>
      <c r="AI289" s="210"/>
      <c r="AJ289" s="197"/>
      <c r="AK289" s="201"/>
      <c r="AL289" s="196"/>
      <c r="AM289" s="201"/>
      <c r="AN289" s="201"/>
      <c r="AO289" s="201"/>
      <c r="AP289" s="211"/>
      <c r="AQ289" s="212"/>
      <c r="AR289" s="201"/>
      <c r="AS289" s="201"/>
      <c r="AT289" s="201"/>
      <c r="AU289" s="201"/>
      <c r="AV289" s="202"/>
      <c r="AW289" s="194"/>
      <c r="AX289" s="201"/>
      <c r="AY289" s="213"/>
      <c r="AZ289" s="214"/>
      <c r="BA289" s="215"/>
      <c r="BB289" s="216"/>
      <c r="BC289" s="217" t="str">
        <f t="shared" si="52"/>
        <v/>
      </c>
      <c r="BD289" s="218"/>
      <c r="BE289" s="219"/>
      <c r="BF289" s="220"/>
      <c r="BG289" s="219"/>
      <c r="BH289" s="219"/>
      <c r="BI289" s="220"/>
      <c r="BJ289" s="218"/>
      <c r="BK289" s="219"/>
      <c r="BL289" s="197"/>
      <c r="BM289" s="215"/>
      <c r="BN289" s="221"/>
      <c r="BO289" s="222" t="str">
        <f t="shared" si="53"/>
        <v/>
      </c>
      <c r="BP289" s="217" t="str">
        <f t="shared" si="54"/>
        <v/>
      </c>
      <c r="BQ289" s="215"/>
      <c r="BR289" s="224"/>
      <c r="BS289" s="225"/>
      <c r="BT289" s="223"/>
      <c r="BU289" s="215"/>
      <c r="BV289" s="226"/>
      <c r="BW289" s="222" t="str">
        <f t="shared" si="55"/>
        <v/>
      </c>
      <c r="BX289" s="223" t="str">
        <f t="shared" si="56"/>
        <v/>
      </c>
      <c r="BY289" s="215"/>
      <c r="BZ289" s="227"/>
      <c r="CA289" s="227"/>
      <c r="CB289" s="228"/>
      <c r="CC289" s="229"/>
      <c r="CD289" s="230" t="str">
        <f t="shared" si="57"/>
        <v/>
      </c>
      <c r="CE289" s="231" t="str">
        <f t="shared" si="58"/>
        <v/>
      </c>
      <c r="CF289" s="232" t="str">
        <f t="shared" si="59"/>
        <v/>
      </c>
      <c r="CG289" s="233" t="str">
        <f t="shared" si="60"/>
        <v/>
      </c>
      <c r="CH289" s="207" t="str">
        <f>IF(OR(G289="",CC289= ""), "", IF(ISERROR(SMALL((CJ289,CN289,CV289), 1)-CC289), "",  SMALL((CJ289,CN289,CV289), 1)-CC289))</f>
        <v/>
      </c>
      <c r="CI289" s="234"/>
      <c r="CJ289" s="235"/>
      <c r="CK289" s="236"/>
      <c r="CL289" s="222" t="str">
        <f t="shared" si="61"/>
        <v/>
      </c>
      <c r="CM289" s="237" t="str">
        <f>IF(OR(G289="", CJ289="",CK289=""), "", IF(ISERROR(SMALL((CN289,CV289), 1)-CK289), "",  SMALL((CN289,CV289), 1)-CK289))</f>
        <v/>
      </c>
      <c r="CN289" s="235"/>
      <c r="CO289" s="236"/>
      <c r="CP289" s="224" t="str">
        <f t="shared" si="62"/>
        <v/>
      </c>
      <c r="CQ289" s="235"/>
      <c r="CR289" s="236"/>
      <c r="CS289" s="222" t="str">
        <f t="shared" si="63"/>
        <v/>
      </c>
      <c r="CT289" s="237" t="str">
        <f t="shared" si="64"/>
        <v/>
      </c>
      <c r="CU289" s="238"/>
      <c r="CV289" s="239"/>
      <c r="CW289" s="240"/>
    </row>
    <row r="290" spans="2:101" ht="16.5" customHeight="1">
      <c r="B290" s="122"/>
      <c r="E290" s="122"/>
      <c r="F290" s="194"/>
      <c r="G290" s="195"/>
      <c r="H290" s="195"/>
      <c r="I290" s="195"/>
      <c r="J290" s="196"/>
      <c r="K290" s="197"/>
      <c r="L290" s="198"/>
      <c r="M290" s="199"/>
      <c r="N290" s="200"/>
      <c r="O290" s="201"/>
      <c r="P290" s="201"/>
      <c r="Q290" s="201"/>
      <c r="R290" s="201"/>
      <c r="S290" s="201"/>
      <c r="T290" s="201"/>
      <c r="U290" s="201"/>
      <c r="V290" s="201"/>
      <c r="W290" s="201"/>
      <c r="X290" s="202"/>
      <c r="Y290" s="203"/>
      <c r="Z290" s="204"/>
      <c r="AA290" s="205"/>
      <c r="AB290" s="206"/>
      <c r="AC290" s="206"/>
      <c r="AD290" s="194"/>
      <c r="AE290" s="201"/>
      <c r="AF290" s="207"/>
      <c r="AG290" s="208"/>
      <c r="AH290" s="209"/>
      <c r="AI290" s="210"/>
      <c r="AJ290" s="197"/>
      <c r="AK290" s="201"/>
      <c r="AL290" s="196"/>
      <c r="AM290" s="201"/>
      <c r="AN290" s="201"/>
      <c r="AO290" s="201"/>
      <c r="AP290" s="211"/>
      <c r="AQ290" s="212"/>
      <c r="AR290" s="201"/>
      <c r="AS290" s="201"/>
      <c r="AT290" s="201"/>
      <c r="AU290" s="201"/>
      <c r="AV290" s="202"/>
      <c r="AW290" s="194"/>
      <c r="AX290" s="201"/>
      <c r="AY290" s="213"/>
      <c r="AZ290" s="214"/>
      <c r="BA290" s="215"/>
      <c r="BB290" s="216"/>
      <c r="BC290" s="217" t="str">
        <f t="shared" si="52"/>
        <v/>
      </c>
      <c r="BD290" s="218"/>
      <c r="BE290" s="219"/>
      <c r="BF290" s="220"/>
      <c r="BG290" s="219"/>
      <c r="BH290" s="219"/>
      <c r="BI290" s="220"/>
      <c r="BJ290" s="218"/>
      <c r="BK290" s="219"/>
      <c r="BL290" s="197"/>
      <c r="BM290" s="215"/>
      <c r="BN290" s="221"/>
      <c r="BO290" s="222" t="str">
        <f t="shared" si="53"/>
        <v/>
      </c>
      <c r="BP290" s="217" t="str">
        <f t="shared" si="54"/>
        <v/>
      </c>
      <c r="BQ290" s="215"/>
      <c r="BR290" s="224"/>
      <c r="BS290" s="225"/>
      <c r="BT290" s="223"/>
      <c r="BU290" s="215"/>
      <c r="BV290" s="226"/>
      <c r="BW290" s="222" t="str">
        <f t="shared" si="55"/>
        <v/>
      </c>
      <c r="BX290" s="223" t="str">
        <f t="shared" si="56"/>
        <v/>
      </c>
      <c r="BY290" s="215"/>
      <c r="BZ290" s="227"/>
      <c r="CA290" s="227"/>
      <c r="CB290" s="228"/>
      <c r="CC290" s="229"/>
      <c r="CD290" s="230" t="str">
        <f t="shared" si="57"/>
        <v/>
      </c>
      <c r="CE290" s="231" t="str">
        <f t="shared" si="58"/>
        <v/>
      </c>
      <c r="CF290" s="232" t="str">
        <f t="shared" si="59"/>
        <v/>
      </c>
      <c r="CG290" s="233" t="str">
        <f t="shared" si="60"/>
        <v/>
      </c>
      <c r="CH290" s="207" t="str">
        <f>IF(OR(G290="",CC290= ""), "", IF(ISERROR(SMALL((CJ290,CN290,CV290), 1)-CC290), "",  SMALL((CJ290,CN290,CV290), 1)-CC290))</f>
        <v/>
      </c>
      <c r="CI290" s="234"/>
      <c r="CJ290" s="235"/>
      <c r="CK290" s="236"/>
      <c r="CL290" s="222" t="str">
        <f t="shared" si="61"/>
        <v/>
      </c>
      <c r="CM290" s="237" t="str">
        <f>IF(OR(G290="", CJ290="",CK290=""), "", IF(ISERROR(SMALL((CN290,CV290), 1)-CK290), "",  SMALL((CN290,CV290), 1)-CK290))</f>
        <v/>
      </c>
      <c r="CN290" s="235"/>
      <c r="CO290" s="236"/>
      <c r="CP290" s="224" t="str">
        <f t="shared" si="62"/>
        <v/>
      </c>
      <c r="CQ290" s="235"/>
      <c r="CR290" s="236"/>
      <c r="CS290" s="222" t="str">
        <f t="shared" si="63"/>
        <v/>
      </c>
      <c r="CT290" s="237" t="str">
        <f t="shared" si="64"/>
        <v/>
      </c>
      <c r="CU290" s="238"/>
      <c r="CV290" s="239"/>
      <c r="CW290" s="240"/>
    </row>
    <row r="291" spans="2:101" ht="16.5" customHeight="1">
      <c r="B291" s="122"/>
      <c r="E291" s="122"/>
      <c r="F291" s="194"/>
      <c r="G291" s="195"/>
      <c r="H291" s="195"/>
      <c r="I291" s="195"/>
      <c r="J291" s="196"/>
      <c r="K291" s="197"/>
      <c r="L291" s="198"/>
      <c r="M291" s="199"/>
      <c r="N291" s="200"/>
      <c r="O291" s="201"/>
      <c r="P291" s="201"/>
      <c r="Q291" s="201"/>
      <c r="R291" s="201"/>
      <c r="S291" s="201"/>
      <c r="T291" s="201"/>
      <c r="U291" s="201"/>
      <c r="V291" s="201"/>
      <c r="W291" s="201"/>
      <c r="X291" s="202"/>
      <c r="Y291" s="203"/>
      <c r="Z291" s="204"/>
      <c r="AA291" s="205"/>
      <c r="AB291" s="206"/>
      <c r="AC291" s="206"/>
      <c r="AD291" s="194"/>
      <c r="AE291" s="201"/>
      <c r="AF291" s="207"/>
      <c r="AG291" s="208"/>
      <c r="AH291" s="209"/>
      <c r="AI291" s="210"/>
      <c r="AJ291" s="197"/>
      <c r="AK291" s="201"/>
      <c r="AL291" s="196"/>
      <c r="AM291" s="201"/>
      <c r="AN291" s="201"/>
      <c r="AO291" s="201"/>
      <c r="AP291" s="211"/>
      <c r="AQ291" s="212"/>
      <c r="AR291" s="201"/>
      <c r="AS291" s="201"/>
      <c r="AT291" s="201"/>
      <c r="AU291" s="201"/>
      <c r="AV291" s="202"/>
      <c r="AW291" s="194"/>
      <c r="AX291" s="201"/>
      <c r="AY291" s="213"/>
      <c r="AZ291" s="214"/>
      <c r="BA291" s="215"/>
      <c r="BB291" s="216"/>
      <c r="BC291" s="217" t="str">
        <f t="shared" si="52"/>
        <v/>
      </c>
      <c r="BD291" s="218"/>
      <c r="BE291" s="219"/>
      <c r="BF291" s="220"/>
      <c r="BG291" s="219"/>
      <c r="BH291" s="219"/>
      <c r="BI291" s="220"/>
      <c r="BJ291" s="218"/>
      <c r="BK291" s="219"/>
      <c r="BL291" s="197"/>
      <c r="BM291" s="215"/>
      <c r="BN291" s="221"/>
      <c r="BO291" s="222" t="str">
        <f t="shared" si="53"/>
        <v/>
      </c>
      <c r="BP291" s="217" t="str">
        <f t="shared" si="54"/>
        <v/>
      </c>
      <c r="BQ291" s="215"/>
      <c r="BR291" s="224"/>
      <c r="BS291" s="225"/>
      <c r="BT291" s="223"/>
      <c r="BU291" s="215"/>
      <c r="BV291" s="226"/>
      <c r="BW291" s="222" t="str">
        <f t="shared" si="55"/>
        <v/>
      </c>
      <c r="BX291" s="223" t="str">
        <f t="shared" si="56"/>
        <v/>
      </c>
      <c r="BY291" s="215"/>
      <c r="BZ291" s="227"/>
      <c r="CA291" s="227"/>
      <c r="CB291" s="228"/>
      <c r="CC291" s="229"/>
      <c r="CD291" s="230" t="str">
        <f t="shared" si="57"/>
        <v/>
      </c>
      <c r="CE291" s="231" t="str">
        <f t="shared" si="58"/>
        <v/>
      </c>
      <c r="CF291" s="232" t="str">
        <f t="shared" si="59"/>
        <v/>
      </c>
      <c r="CG291" s="233" t="str">
        <f t="shared" si="60"/>
        <v/>
      </c>
      <c r="CH291" s="207" t="str">
        <f>IF(OR(G291="",CC291= ""), "", IF(ISERROR(SMALL((CJ291,CN291,CV291), 1)-CC291), "",  SMALL((CJ291,CN291,CV291), 1)-CC291))</f>
        <v/>
      </c>
      <c r="CI291" s="234"/>
      <c r="CJ291" s="235"/>
      <c r="CK291" s="236"/>
      <c r="CL291" s="222" t="str">
        <f t="shared" si="61"/>
        <v/>
      </c>
      <c r="CM291" s="237" t="str">
        <f>IF(OR(G291="", CJ291="",CK291=""), "", IF(ISERROR(SMALL((CN291,CV291), 1)-CK291), "",  SMALL((CN291,CV291), 1)-CK291))</f>
        <v/>
      </c>
      <c r="CN291" s="235"/>
      <c r="CO291" s="236"/>
      <c r="CP291" s="224" t="str">
        <f t="shared" si="62"/>
        <v/>
      </c>
      <c r="CQ291" s="235"/>
      <c r="CR291" s="236"/>
      <c r="CS291" s="222" t="str">
        <f t="shared" si="63"/>
        <v/>
      </c>
      <c r="CT291" s="237" t="str">
        <f t="shared" si="64"/>
        <v/>
      </c>
      <c r="CU291" s="238"/>
      <c r="CV291" s="239"/>
      <c r="CW291" s="240"/>
    </row>
    <row r="292" spans="2:101" ht="16.5" customHeight="1">
      <c r="B292" s="122"/>
      <c r="E292" s="122"/>
      <c r="F292" s="194"/>
      <c r="G292" s="195"/>
      <c r="H292" s="195"/>
      <c r="I292" s="195"/>
      <c r="J292" s="196"/>
      <c r="K292" s="197"/>
      <c r="L292" s="198"/>
      <c r="M292" s="199"/>
      <c r="N292" s="200"/>
      <c r="O292" s="201"/>
      <c r="P292" s="201"/>
      <c r="Q292" s="201"/>
      <c r="R292" s="201"/>
      <c r="S292" s="201"/>
      <c r="T292" s="201"/>
      <c r="U292" s="201"/>
      <c r="V292" s="201"/>
      <c r="W292" s="201"/>
      <c r="X292" s="202"/>
      <c r="Y292" s="203"/>
      <c r="Z292" s="204"/>
      <c r="AA292" s="205"/>
      <c r="AB292" s="206"/>
      <c r="AC292" s="206"/>
      <c r="AD292" s="194"/>
      <c r="AE292" s="201"/>
      <c r="AF292" s="207"/>
      <c r="AG292" s="208"/>
      <c r="AH292" s="209"/>
      <c r="AI292" s="210"/>
      <c r="AJ292" s="197"/>
      <c r="AK292" s="201"/>
      <c r="AL292" s="196"/>
      <c r="AM292" s="201"/>
      <c r="AN292" s="201"/>
      <c r="AO292" s="201"/>
      <c r="AP292" s="211"/>
      <c r="AQ292" s="212"/>
      <c r="AR292" s="201"/>
      <c r="AS292" s="201"/>
      <c r="AT292" s="201"/>
      <c r="AU292" s="201"/>
      <c r="AV292" s="202"/>
      <c r="AW292" s="194"/>
      <c r="AX292" s="201"/>
      <c r="AY292" s="213"/>
      <c r="AZ292" s="214"/>
      <c r="BA292" s="215"/>
      <c r="BB292" s="216"/>
      <c r="BC292" s="217" t="str">
        <f t="shared" si="52"/>
        <v/>
      </c>
      <c r="BD292" s="218"/>
      <c r="BE292" s="219"/>
      <c r="BF292" s="220"/>
      <c r="BG292" s="219"/>
      <c r="BH292" s="219"/>
      <c r="BI292" s="220"/>
      <c r="BJ292" s="218"/>
      <c r="BK292" s="219"/>
      <c r="BL292" s="197"/>
      <c r="BM292" s="215"/>
      <c r="BN292" s="221"/>
      <c r="BO292" s="222" t="str">
        <f t="shared" si="53"/>
        <v/>
      </c>
      <c r="BP292" s="217" t="str">
        <f t="shared" si="54"/>
        <v/>
      </c>
      <c r="BQ292" s="215"/>
      <c r="BR292" s="224"/>
      <c r="BS292" s="225"/>
      <c r="BT292" s="223"/>
      <c r="BU292" s="215"/>
      <c r="BV292" s="226"/>
      <c r="BW292" s="222" t="str">
        <f t="shared" si="55"/>
        <v/>
      </c>
      <c r="BX292" s="223" t="str">
        <f t="shared" si="56"/>
        <v/>
      </c>
      <c r="BY292" s="215"/>
      <c r="BZ292" s="227"/>
      <c r="CA292" s="227"/>
      <c r="CB292" s="228"/>
      <c r="CC292" s="229"/>
      <c r="CD292" s="230" t="str">
        <f t="shared" si="57"/>
        <v/>
      </c>
      <c r="CE292" s="231" t="str">
        <f t="shared" si="58"/>
        <v/>
      </c>
      <c r="CF292" s="232" t="str">
        <f t="shared" si="59"/>
        <v/>
      </c>
      <c r="CG292" s="233" t="str">
        <f t="shared" si="60"/>
        <v/>
      </c>
      <c r="CH292" s="207" t="str">
        <f>IF(OR(G292="",CC292= ""), "", IF(ISERROR(SMALL((CJ292,CN292,CV292), 1)-CC292), "",  SMALL((CJ292,CN292,CV292), 1)-CC292))</f>
        <v/>
      </c>
      <c r="CI292" s="234"/>
      <c r="CJ292" s="235"/>
      <c r="CK292" s="236"/>
      <c r="CL292" s="222" t="str">
        <f t="shared" si="61"/>
        <v/>
      </c>
      <c r="CM292" s="237" t="str">
        <f>IF(OR(G292="", CJ292="",CK292=""), "", IF(ISERROR(SMALL((CN292,CV292), 1)-CK292), "",  SMALL((CN292,CV292), 1)-CK292))</f>
        <v/>
      </c>
      <c r="CN292" s="235"/>
      <c r="CO292" s="236"/>
      <c r="CP292" s="224" t="str">
        <f t="shared" si="62"/>
        <v/>
      </c>
      <c r="CQ292" s="235"/>
      <c r="CR292" s="236"/>
      <c r="CS292" s="222" t="str">
        <f t="shared" si="63"/>
        <v/>
      </c>
      <c r="CT292" s="237" t="str">
        <f t="shared" si="64"/>
        <v/>
      </c>
      <c r="CU292" s="238"/>
      <c r="CV292" s="239"/>
      <c r="CW292" s="240"/>
    </row>
    <row r="293" spans="2:101" ht="16.5" customHeight="1">
      <c r="B293" s="122"/>
      <c r="E293" s="122"/>
      <c r="F293" s="194"/>
      <c r="G293" s="195"/>
      <c r="H293" s="195"/>
      <c r="I293" s="195"/>
      <c r="J293" s="196"/>
      <c r="K293" s="197"/>
      <c r="L293" s="198"/>
      <c r="M293" s="199"/>
      <c r="N293" s="200"/>
      <c r="O293" s="201"/>
      <c r="P293" s="201"/>
      <c r="Q293" s="201"/>
      <c r="R293" s="201"/>
      <c r="S293" s="201"/>
      <c r="T293" s="201"/>
      <c r="U293" s="201"/>
      <c r="V293" s="201"/>
      <c r="W293" s="201"/>
      <c r="X293" s="202"/>
      <c r="Y293" s="203"/>
      <c r="Z293" s="204"/>
      <c r="AA293" s="205"/>
      <c r="AB293" s="206"/>
      <c r="AC293" s="206"/>
      <c r="AD293" s="194"/>
      <c r="AE293" s="201"/>
      <c r="AF293" s="207"/>
      <c r="AG293" s="208"/>
      <c r="AH293" s="209"/>
      <c r="AI293" s="210"/>
      <c r="AJ293" s="197"/>
      <c r="AK293" s="201"/>
      <c r="AL293" s="196"/>
      <c r="AM293" s="201"/>
      <c r="AN293" s="201"/>
      <c r="AO293" s="201"/>
      <c r="AP293" s="211"/>
      <c r="AQ293" s="212"/>
      <c r="AR293" s="201"/>
      <c r="AS293" s="201"/>
      <c r="AT293" s="201"/>
      <c r="AU293" s="201"/>
      <c r="AV293" s="202"/>
      <c r="AW293" s="194"/>
      <c r="AX293" s="201"/>
      <c r="AY293" s="213"/>
      <c r="AZ293" s="214"/>
      <c r="BA293" s="215"/>
      <c r="BB293" s="216"/>
      <c r="BC293" s="217" t="str">
        <f t="shared" si="52"/>
        <v/>
      </c>
      <c r="BD293" s="218"/>
      <c r="BE293" s="219"/>
      <c r="BF293" s="220"/>
      <c r="BG293" s="219"/>
      <c r="BH293" s="219"/>
      <c r="BI293" s="220"/>
      <c r="BJ293" s="218"/>
      <c r="BK293" s="219"/>
      <c r="BL293" s="197"/>
      <c r="BM293" s="215"/>
      <c r="BN293" s="221"/>
      <c r="BO293" s="222" t="str">
        <f t="shared" si="53"/>
        <v/>
      </c>
      <c r="BP293" s="217" t="str">
        <f t="shared" si="54"/>
        <v/>
      </c>
      <c r="BQ293" s="215"/>
      <c r="BR293" s="224"/>
      <c r="BS293" s="225"/>
      <c r="BT293" s="223"/>
      <c r="BU293" s="215"/>
      <c r="BV293" s="226"/>
      <c r="BW293" s="222" t="str">
        <f t="shared" si="55"/>
        <v/>
      </c>
      <c r="BX293" s="223" t="str">
        <f t="shared" si="56"/>
        <v/>
      </c>
      <c r="BY293" s="215"/>
      <c r="BZ293" s="227"/>
      <c r="CA293" s="227"/>
      <c r="CB293" s="228"/>
      <c r="CC293" s="229"/>
      <c r="CD293" s="230" t="str">
        <f t="shared" si="57"/>
        <v/>
      </c>
      <c r="CE293" s="231" t="str">
        <f t="shared" si="58"/>
        <v/>
      </c>
      <c r="CF293" s="232" t="str">
        <f t="shared" si="59"/>
        <v/>
      </c>
      <c r="CG293" s="233" t="str">
        <f t="shared" si="60"/>
        <v/>
      </c>
      <c r="CH293" s="207" t="str">
        <f>IF(OR(G293="",CC293= ""), "", IF(ISERROR(SMALL((CJ293,CN293,CV293), 1)-CC293), "",  SMALL((CJ293,CN293,CV293), 1)-CC293))</f>
        <v/>
      </c>
      <c r="CI293" s="234"/>
      <c r="CJ293" s="235"/>
      <c r="CK293" s="236"/>
      <c r="CL293" s="222" t="str">
        <f t="shared" si="61"/>
        <v/>
      </c>
      <c r="CM293" s="237" t="str">
        <f>IF(OR(G293="", CJ293="",CK293=""), "", IF(ISERROR(SMALL((CN293,CV293), 1)-CK293), "",  SMALL((CN293,CV293), 1)-CK293))</f>
        <v/>
      </c>
      <c r="CN293" s="235"/>
      <c r="CO293" s="236"/>
      <c r="CP293" s="224" t="str">
        <f t="shared" si="62"/>
        <v/>
      </c>
      <c r="CQ293" s="235"/>
      <c r="CR293" s="236"/>
      <c r="CS293" s="222" t="str">
        <f t="shared" si="63"/>
        <v/>
      </c>
      <c r="CT293" s="237" t="str">
        <f t="shared" si="64"/>
        <v/>
      </c>
      <c r="CU293" s="238"/>
      <c r="CV293" s="239"/>
      <c r="CW293" s="240"/>
    </row>
    <row r="294" spans="2:101" ht="16.5" customHeight="1">
      <c r="B294" s="122"/>
      <c r="E294" s="122"/>
      <c r="F294" s="194"/>
      <c r="G294" s="195"/>
      <c r="H294" s="195"/>
      <c r="I294" s="195"/>
      <c r="J294" s="196"/>
      <c r="K294" s="197"/>
      <c r="L294" s="198"/>
      <c r="M294" s="199"/>
      <c r="N294" s="200"/>
      <c r="O294" s="201"/>
      <c r="P294" s="201"/>
      <c r="Q294" s="201"/>
      <c r="R294" s="201"/>
      <c r="S294" s="201"/>
      <c r="T294" s="201"/>
      <c r="U294" s="201"/>
      <c r="V294" s="201"/>
      <c r="W294" s="201"/>
      <c r="X294" s="202"/>
      <c r="Y294" s="203"/>
      <c r="Z294" s="204"/>
      <c r="AA294" s="205"/>
      <c r="AB294" s="206"/>
      <c r="AC294" s="206"/>
      <c r="AD294" s="194"/>
      <c r="AE294" s="201"/>
      <c r="AF294" s="207"/>
      <c r="AG294" s="208"/>
      <c r="AH294" s="209"/>
      <c r="AI294" s="210"/>
      <c r="AJ294" s="197"/>
      <c r="AK294" s="201"/>
      <c r="AL294" s="196"/>
      <c r="AM294" s="201"/>
      <c r="AN294" s="201"/>
      <c r="AO294" s="201"/>
      <c r="AP294" s="211"/>
      <c r="AQ294" s="212"/>
      <c r="AR294" s="201"/>
      <c r="AS294" s="201"/>
      <c r="AT294" s="201"/>
      <c r="AU294" s="201"/>
      <c r="AV294" s="202"/>
      <c r="AW294" s="194"/>
      <c r="AX294" s="201"/>
      <c r="AY294" s="213"/>
      <c r="AZ294" s="214"/>
      <c r="BA294" s="215"/>
      <c r="BB294" s="216"/>
      <c r="BC294" s="217" t="str">
        <f t="shared" si="52"/>
        <v/>
      </c>
      <c r="BD294" s="218"/>
      <c r="BE294" s="219"/>
      <c r="BF294" s="220"/>
      <c r="BG294" s="219"/>
      <c r="BH294" s="219"/>
      <c r="BI294" s="220"/>
      <c r="BJ294" s="218"/>
      <c r="BK294" s="219"/>
      <c r="BL294" s="197"/>
      <c r="BM294" s="215"/>
      <c r="BN294" s="221"/>
      <c r="BO294" s="222" t="str">
        <f t="shared" si="53"/>
        <v/>
      </c>
      <c r="BP294" s="217" t="str">
        <f t="shared" si="54"/>
        <v/>
      </c>
      <c r="BQ294" s="215"/>
      <c r="BR294" s="224"/>
      <c r="BS294" s="225"/>
      <c r="BT294" s="223"/>
      <c r="BU294" s="215"/>
      <c r="BV294" s="226"/>
      <c r="BW294" s="222" t="str">
        <f t="shared" si="55"/>
        <v/>
      </c>
      <c r="BX294" s="223" t="str">
        <f t="shared" si="56"/>
        <v/>
      </c>
      <c r="BY294" s="215"/>
      <c r="BZ294" s="227"/>
      <c r="CA294" s="227"/>
      <c r="CB294" s="228"/>
      <c r="CC294" s="229"/>
      <c r="CD294" s="230" t="str">
        <f t="shared" si="57"/>
        <v/>
      </c>
      <c r="CE294" s="231" t="str">
        <f t="shared" si="58"/>
        <v/>
      </c>
      <c r="CF294" s="232" t="str">
        <f t="shared" si="59"/>
        <v/>
      </c>
      <c r="CG294" s="233" t="str">
        <f t="shared" si="60"/>
        <v/>
      </c>
      <c r="CH294" s="207" t="str">
        <f>IF(OR(G294="",CC294= ""), "", IF(ISERROR(SMALL((CJ294,CN294,CV294), 1)-CC294), "",  SMALL((CJ294,CN294,CV294), 1)-CC294))</f>
        <v/>
      </c>
      <c r="CI294" s="234"/>
      <c r="CJ294" s="235"/>
      <c r="CK294" s="236"/>
      <c r="CL294" s="222" t="str">
        <f t="shared" si="61"/>
        <v/>
      </c>
      <c r="CM294" s="237" t="str">
        <f>IF(OR(G294="", CJ294="",CK294=""), "", IF(ISERROR(SMALL((CN294,CV294), 1)-CK294), "",  SMALL((CN294,CV294), 1)-CK294))</f>
        <v/>
      </c>
      <c r="CN294" s="235"/>
      <c r="CO294" s="236"/>
      <c r="CP294" s="224" t="str">
        <f t="shared" si="62"/>
        <v/>
      </c>
      <c r="CQ294" s="235"/>
      <c r="CR294" s="236"/>
      <c r="CS294" s="222" t="str">
        <f t="shared" si="63"/>
        <v/>
      </c>
      <c r="CT294" s="237" t="str">
        <f t="shared" si="64"/>
        <v/>
      </c>
      <c r="CU294" s="238"/>
      <c r="CV294" s="239"/>
      <c r="CW294" s="240"/>
    </row>
    <row r="295" spans="2:101" ht="16.5" customHeight="1">
      <c r="B295" s="122"/>
      <c r="E295" s="122"/>
      <c r="F295" s="194"/>
      <c r="G295" s="195"/>
      <c r="H295" s="195"/>
      <c r="I295" s="195"/>
      <c r="J295" s="196"/>
      <c r="K295" s="197"/>
      <c r="L295" s="198"/>
      <c r="M295" s="199"/>
      <c r="N295" s="200"/>
      <c r="O295" s="201"/>
      <c r="P295" s="201"/>
      <c r="Q295" s="201"/>
      <c r="R295" s="201"/>
      <c r="S295" s="201"/>
      <c r="T295" s="201"/>
      <c r="U295" s="201"/>
      <c r="V295" s="201"/>
      <c r="W295" s="201"/>
      <c r="X295" s="202"/>
      <c r="Y295" s="203"/>
      <c r="Z295" s="204"/>
      <c r="AA295" s="205"/>
      <c r="AB295" s="206"/>
      <c r="AC295" s="206"/>
      <c r="AD295" s="194"/>
      <c r="AE295" s="201"/>
      <c r="AF295" s="207"/>
      <c r="AG295" s="208"/>
      <c r="AH295" s="209"/>
      <c r="AI295" s="210"/>
      <c r="AJ295" s="197"/>
      <c r="AK295" s="201"/>
      <c r="AL295" s="196"/>
      <c r="AM295" s="201"/>
      <c r="AN295" s="201"/>
      <c r="AO295" s="201"/>
      <c r="AP295" s="211"/>
      <c r="AQ295" s="212"/>
      <c r="AR295" s="201"/>
      <c r="AS295" s="201"/>
      <c r="AT295" s="201"/>
      <c r="AU295" s="201"/>
      <c r="AV295" s="202"/>
      <c r="AW295" s="194"/>
      <c r="AX295" s="201"/>
      <c r="AY295" s="213"/>
      <c r="AZ295" s="214"/>
      <c r="BA295" s="215"/>
      <c r="BB295" s="216"/>
      <c r="BC295" s="217" t="str">
        <f t="shared" si="52"/>
        <v/>
      </c>
      <c r="BD295" s="218"/>
      <c r="BE295" s="219"/>
      <c r="BF295" s="220"/>
      <c r="BG295" s="219"/>
      <c r="BH295" s="219"/>
      <c r="BI295" s="220"/>
      <c r="BJ295" s="218"/>
      <c r="BK295" s="219"/>
      <c r="BL295" s="197"/>
      <c r="BM295" s="215"/>
      <c r="BN295" s="221"/>
      <c r="BO295" s="222" t="str">
        <f t="shared" si="53"/>
        <v/>
      </c>
      <c r="BP295" s="217" t="str">
        <f t="shared" si="54"/>
        <v/>
      </c>
      <c r="BQ295" s="215"/>
      <c r="BR295" s="224"/>
      <c r="BS295" s="225"/>
      <c r="BT295" s="223"/>
      <c r="BU295" s="215"/>
      <c r="BV295" s="226"/>
      <c r="BW295" s="222" t="str">
        <f t="shared" si="55"/>
        <v/>
      </c>
      <c r="BX295" s="223" t="str">
        <f t="shared" si="56"/>
        <v/>
      </c>
      <c r="BY295" s="215"/>
      <c r="BZ295" s="227"/>
      <c r="CA295" s="227"/>
      <c r="CB295" s="228"/>
      <c r="CC295" s="229"/>
      <c r="CD295" s="230" t="str">
        <f t="shared" si="57"/>
        <v/>
      </c>
      <c r="CE295" s="231" t="str">
        <f t="shared" si="58"/>
        <v/>
      </c>
      <c r="CF295" s="232" t="str">
        <f t="shared" si="59"/>
        <v/>
      </c>
      <c r="CG295" s="233" t="str">
        <f t="shared" si="60"/>
        <v/>
      </c>
      <c r="CH295" s="207" t="str">
        <f>IF(OR(G295="",CC295= ""), "", IF(ISERROR(SMALL((CJ295,CN295,CV295), 1)-CC295), "",  SMALL((CJ295,CN295,CV295), 1)-CC295))</f>
        <v/>
      </c>
      <c r="CI295" s="234"/>
      <c r="CJ295" s="235"/>
      <c r="CK295" s="236"/>
      <c r="CL295" s="222" t="str">
        <f t="shared" si="61"/>
        <v/>
      </c>
      <c r="CM295" s="237" t="str">
        <f>IF(OR(G295="", CJ295="",CK295=""), "", IF(ISERROR(SMALL((CN295,CV295), 1)-CK295), "",  SMALL((CN295,CV295), 1)-CK295))</f>
        <v/>
      </c>
      <c r="CN295" s="235"/>
      <c r="CO295" s="236"/>
      <c r="CP295" s="224" t="str">
        <f t="shared" si="62"/>
        <v/>
      </c>
      <c r="CQ295" s="235"/>
      <c r="CR295" s="236"/>
      <c r="CS295" s="222" t="str">
        <f t="shared" si="63"/>
        <v/>
      </c>
      <c r="CT295" s="237" t="str">
        <f t="shared" si="64"/>
        <v/>
      </c>
      <c r="CU295" s="238"/>
      <c r="CV295" s="239"/>
      <c r="CW295" s="240"/>
    </row>
    <row r="296" spans="2:101" ht="16.5" customHeight="1">
      <c r="B296" s="122"/>
      <c r="E296" s="122"/>
      <c r="F296" s="194"/>
      <c r="G296" s="195"/>
      <c r="H296" s="195"/>
      <c r="I296" s="195"/>
      <c r="J296" s="196"/>
      <c r="K296" s="197"/>
      <c r="L296" s="198"/>
      <c r="M296" s="199"/>
      <c r="N296" s="200"/>
      <c r="O296" s="201"/>
      <c r="P296" s="201"/>
      <c r="Q296" s="201"/>
      <c r="R296" s="201"/>
      <c r="S296" s="201"/>
      <c r="T296" s="201"/>
      <c r="U296" s="201"/>
      <c r="V296" s="201"/>
      <c r="W296" s="201"/>
      <c r="X296" s="202"/>
      <c r="Y296" s="203"/>
      <c r="Z296" s="204"/>
      <c r="AA296" s="205"/>
      <c r="AB296" s="206"/>
      <c r="AC296" s="206"/>
      <c r="AD296" s="194"/>
      <c r="AE296" s="201"/>
      <c r="AF296" s="207"/>
      <c r="AG296" s="208"/>
      <c r="AH296" s="209"/>
      <c r="AI296" s="210"/>
      <c r="AJ296" s="197"/>
      <c r="AK296" s="201"/>
      <c r="AL296" s="196"/>
      <c r="AM296" s="201"/>
      <c r="AN296" s="201"/>
      <c r="AO296" s="201"/>
      <c r="AP296" s="211"/>
      <c r="AQ296" s="212"/>
      <c r="AR296" s="201"/>
      <c r="AS296" s="201"/>
      <c r="AT296" s="201"/>
      <c r="AU296" s="201"/>
      <c r="AV296" s="202"/>
      <c r="AW296" s="194"/>
      <c r="AX296" s="201"/>
      <c r="AY296" s="213"/>
      <c r="AZ296" s="214"/>
      <c r="BA296" s="215"/>
      <c r="BB296" s="216"/>
      <c r="BC296" s="217" t="str">
        <f t="shared" si="52"/>
        <v/>
      </c>
      <c r="BD296" s="218"/>
      <c r="BE296" s="219"/>
      <c r="BF296" s="220"/>
      <c r="BG296" s="219"/>
      <c r="BH296" s="219"/>
      <c r="BI296" s="220"/>
      <c r="BJ296" s="218"/>
      <c r="BK296" s="219"/>
      <c r="BL296" s="197"/>
      <c r="BM296" s="215"/>
      <c r="BN296" s="221"/>
      <c r="BO296" s="222" t="str">
        <f t="shared" si="53"/>
        <v/>
      </c>
      <c r="BP296" s="217" t="str">
        <f t="shared" si="54"/>
        <v/>
      </c>
      <c r="BQ296" s="215"/>
      <c r="BR296" s="224"/>
      <c r="BS296" s="225"/>
      <c r="BT296" s="223"/>
      <c r="BU296" s="215"/>
      <c r="BV296" s="226"/>
      <c r="BW296" s="222" t="str">
        <f t="shared" si="55"/>
        <v/>
      </c>
      <c r="BX296" s="223" t="str">
        <f t="shared" si="56"/>
        <v/>
      </c>
      <c r="BY296" s="215"/>
      <c r="BZ296" s="227"/>
      <c r="CA296" s="227"/>
      <c r="CB296" s="228"/>
      <c r="CC296" s="229"/>
      <c r="CD296" s="230" t="str">
        <f t="shared" si="57"/>
        <v/>
      </c>
      <c r="CE296" s="231" t="str">
        <f t="shared" si="58"/>
        <v/>
      </c>
      <c r="CF296" s="232" t="str">
        <f t="shared" si="59"/>
        <v/>
      </c>
      <c r="CG296" s="233" t="str">
        <f t="shared" si="60"/>
        <v/>
      </c>
      <c r="CH296" s="207" t="str">
        <f>IF(OR(G296="",CC296= ""), "", IF(ISERROR(SMALL((CJ296,CN296,CV296), 1)-CC296), "",  SMALL((CJ296,CN296,CV296), 1)-CC296))</f>
        <v/>
      </c>
      <c r="CI296" s="234"/>
      <c r="CJ296" s="235"/>
      <c r="CK296" s="236"/>
      <c r="CL296" s="222" t="str">
        <f t="shared" si="61"/>
        <v/>
      </c>
      <c r="CM296" s="237" t="str">
        <f>IF(OR(G296="", CJ296="",CK296=""), "", IF(ISERROR(SMALL((CN296,CV296), 1)-CK296), "",  SMALL((CN296,CV296), 1)-CK296))</f>
        <v/>
      </c>
      <c r="CN296" s="235"/>
      <c r="CO296" s="236"/>
      <c r="CP296" s="224" t="str">
        <f t="shared" si="62"/>
        <v/>
      </c>
      <c r="CQ296" s="235"/>
      <c r="CR296" s="236"/>
      <c r="CS296" s="222" t="str">
        <f t="shared" si="63"/>
        <v/>
      </c>
      <c r="CT296" s="237" t="str">
        <f t="shared" si="64"/>
        <v/>
      </c>
      <c r="CU296" s="238"/>
      <c r="CV296" s="239"/>
      <c r="CW296" s="240"/>
    </row>
    <row r="297" spans="2:101" ht="16.5" customHeight="1">
      <c r="B297" s="122"/>
      <c r="E297" s="122"/>
      <c r="F297" s="194"/>
      <c r="G297" s="195"/>
      <c r="H297" s="195"/>
      <c r="I297" s="195"/>
      <c r="J297" s="196"/>
      <c r="K297" s="197"/>
      <c r="L297" s="198"/>
      <c r="M297" s="199"/>
      <c r="N297" s="200"/>
      <c r="O297" s="201"/>
      <c r="P297" s="201"/>
      <c r="Q297" s="201"/>
      <c r="R297" s="201"/>
      <c r="S297" s="201"/>
      <c r="T297" s="201"/>
      <c r="U297" s="201"/>
      <c r="V297" s="201"/>
      <c r="W297" s="201"/>
      <c r="X297" s="202"/>
      <c r="Y297" s="203"/>
      <c r="Z297" s="204"/>
      <c r="AA297" s="205"/>
      <c r="AB297" s="206"/>
      <c r="AC297" s="206"/>
      <c r="AD297" s="194"/>
      <c r="AE297" s="201"/>
      <c r="AF297" s="207"/>
      <c r="AG297" s="208"/>
      <c r="AH297" s="209"/>
      <c r="AI297" s="210"/>
      <c r="AJ297" s="197"/>
      <c r="AK297" s="201"/>
      <c r="AL297" s="196"/>
      <c r="AM297" s="201"/>
      <c r="AN297" s="201"/>
      <c r="AO297" s="201"/>
      <c r="AP297" s="211"/>
      <c r="AQ297" s="212"/>
      <c r="AR297" s="201"/>
      <c r="AS297" s="201"/>
      <c r="AT297" s="201"/>
      <c r="AU297" s="201"/>
      <c r="AV297" s="202"/>
      <c r="AW297" s="194"/>
      <c r="AX297" s="201"/>
      <c r="AY297" s="213"/>
      <c r="AZ297" s="214"/>
      <c r="BA297" s="215"/>
      <c r="BB297" s="216"/>
      <c r="BC297" s="217" t="str">
        <f t="shared" si="52"/>
        <v/>
      </c>
      <c r="BD297" s="218"/>
      <c r="BE297" s="219"/>
      <c r="BF297" s="220"/>
      <c r="BG297" s="219"/>
      <c r="BH297" s="219"/>
      <c r="BI297" s="220"/>
      <c r="BJ297" s="218"/>
      <c r="BK297" s="219"/>
      <c r="BL297" s="197"/>
      <c r="BM297" s="215"/>
      <c r="BN297" s="221"/>
      <c r="BO297" s="222" t="str">
        <f t="shared" si="53"/>
        <v/>
      </c>
      <c r="BP297" s="217" t="str">
        <f t="shared" si="54"/>
        <v/>
      </c>
      <c r="BQ297" s="215"/>
      <c r="BR297" s="224"/>
      <c r="BS297" s="225"/>
      <c r="BT297" s="223"/>
      <c r="BU297" s="215"/>
      <c r="BV297" s="226"/>
      <c r="BW297" s="222" t="str">
        <f t="shared" si="55"/>
        <v/>
      </c>
      <c r="BX297" s="223" t="str">
        <f t="shared" si="56"/>
        <v/>
      </c>
      <c r="BY297" s="215"/>
      <c r="BZ297" s="227"/>
      <c r="CA297" s="227"/>
      <c r="CB297" s="228"/>
      <c r="CC297" s="229"/>
      <c r="CD297" s="230" t="str">
        <f t="shared" si="57"/>
        <v/>
      </c>
      <c r="CE297" s="231" t="str">
        <f t="shared" si="58"/>
        <v/>
      </c>
      <c r="CF297" s="232" t="str">
        <f t="shared" si="59"/>
        <v/>
      </c>
      <c r="CG297" s="233" t="str">
        <f t="shared" si="60"/>
        <v/>
      </c>
      <c r="CH297" s="207" t="str">
        <f>IF(OR(G297="",CC297= ""), "", IF(ISERROR(SMALL((CJ297,CN297,CV297), 1)-CC297), "",  SMALL((CJ297,CN297,CV297), 1)-CC297))</f>
        <v/>
      </c>
      <c r="CI297" s="234"/>
      <c r="CJ297" s="235"/>
      <c r="CK297" s="236"/>
      <c r="CL297" s="222" t="str">
        <f t="shared" si="61"/>
        <v/>
      </c>
      <c r="CM297" s="237" t="str">
        <f>IF(OR(G297="", CJ297="",CK297=""), "", IF(ISERROR(SMALL((CN297,CV297), 1)-CK297), "",  SMALL((CN297,CV297), 1)-CK297))</f>
        <v/>
      </c>
      <c r="CN297" s="235"/>
      <c r="CO297" s="236"/>
      <c r="CP297" s="224" t="str">
        <f t="shared" si="62"/>
        <v/>
      </c>
      <c r="CQ297" s="235"/>
      <c r="CR297" s="236"/>
      <c r="CS297" s="222" t="str">
        <f t="shared" si="63"/>
        <v/>
      </c>
      <c r="CT297" s="237" t="str">
        <f t="shared" si="64"/>
        <v/>
      </c>
      <c r="CU297" s="238"/>
      <c r="CV297" s="239"/>
      <c r="CW297" s="240"/>
    </row>
    <row r="298" spans="2:101" ht="16.5" customHeight="1">
      <c r="B298" s="122"/>
      <c r="E298" s="122"/>
      <c r="F298" s="194"/>
      <c r="G298" s="195"/>
      <c r="H298" s="195"/>
      <c r="I298" s="195"/>
      <c r="J298" s="196"/>
      <c r="K298" s="197"/>
      <c r="L298" s="198"/>
      <c r="M298" s="199"/>
      <c r="N298" s="200"/>
      <c r="O298" s="201"/>
      <c r="P298" s="201"/>
      <c r="Q298" s="201"/>
      <c r="R298" s="201"/>
      <c r="S298" s="201"/>
      <c r="T298" s="201"/>
      <c r="U298" s="201"/>
      <c r="V298" s="201"/>
      <c r="W298" s="201"/>
      <c r="X298" s="202"/>
      <c r="Y298" s="203"/>
      <c r="Z298" s="204"/>
      <c r="AA298" s="205"/>
      <c r="AB298" s="206"/>
      <c r="AC298" s="206"/>
      <c r="AD298" s="194"/>
      <c r="AE298" s="201"/>
      <c r="AF298" s="207"/>
      <c r="AG298" s="208"/>
      <c r="AH298" s="209"/>
      <c r="AI298" s="210"/>
      <c r="AJ298" s="197"/>
      <c r="AK298" s="201"/>
      <c r="AL298" s="196"/>
      <c r="AM298" s="201"/>
      <c r="AN298" s="201"/>
      <c r="AO298" s="201"/>
      <c r="AP298" s="211"/>
      <c r="AQ298" s="212"/>
      <c r="AR298" s="201"/>
      <c r="AS298" s="201"/>
      <c r="AT298" s="201"/>
      <c r="AU298" s="201"/>
      <c r="AV298" s="202"/>
      <c r="AW298" s="194"/>
      <c r="AX298" s="201"/>
      <c r="AY298" s="213"/>
      <c r="AZ298" s="214"/>
      <c r="BA298" s="215"/>
      <c r="BB298" s="216"/>
      <c r="BC298" s="217" t="str">
        <f t="shared" si="52"/>
        <v/>
      </c>
      <c r="BD298" s="218"/>
      <c r="BE298" s="219"/>
      <c r="BF298" s="220"/>
      <c r="BG298" s="219"/>
      <c r="BH298" s="219"/>
      <c r="BI298" s="220"/>
      <c r="BJ298" s="218"/>
      <c r="BK298" s="219"/>
      <c r="BL298" s="197"/>
      <c r="BM298" s="215"/>
      <c r="BN298" s="221"/>
      <c r="BO298" s="222" t="str">
        <f t="shared" si="53"/>
        <v/>
      </c>
      <c r="BP298" s="217" t="str">
        <f t="shared" si="54"/>
        <v/>
      </c>
      <c r="BQ298" s="215"/>
      <c r="BR298" s="224"/>
      <c r="BS298" s="225"/>
      <c r="BT298" s="223"/>
      <c r="BU298" s="215"/>
      <c r="BV298" s="226"/>
      <c r="BW298" s="222" t="str">
        <f t="shared" si="55"/>
        <v/>
      </c>
      <c r="BX298" s="223" t="str">
        <f t="shared" si="56"/>
        <v/>
      </c>
      <c r="BY298" s="215"/>
      <c r="BZ298" s="227"/>
      <c r="CA298" s="227"/>
      <c r="CB298" s="228"/>
      <c r="CC298" s="229"/>
      <c r="CD298" s="230" t="str">
        <f t="shared" si="57"/>
        <v/>
      </c>
      <c r="CE298" s="231" t="str">
        <f t="shared" si="58"/>
        <v/>
      </c>
      <c r="CF298" s="232" t="str">
        <f t="shared" si="59"/>
        <v/>
      </c>
      <c r="CG298" s="233" t="str">
        <f t="shared" si="60"/>
        <v/>
      </c>
      <c r="CH298" s="207" t="str">
        <f>IF(OR(G298="",CC298= ""), "", IF(ISERROR(SMALL((CJ298,CN298,CV298), 1)-CC298), "",  SMALL((CJ298,CN298,CV298), 1)-CC298))</f>
        <v/>
      </c>
      <c r="CI298" s="234"/>
      <c r="CJ298" s="235"/>
      <c r="CK298" s="236"/>
      <c r="CL298" s="222" t="str">
        <f t="shared" si="61"/>
        <v/>
      </c>
      <c r="CM298" s="237" t="str">
        <f>IF(OR(G298="", CJ298="",CK298=""), "", IF(ISERROR(SMALL((CN298,CV298), 1)-CK298), "",  SMALL((CN298,CV298), 1)-CK298))</f>
        <v/>
      </c>
      <c r="CN298" s="235"/>
      <c r="CO298" s="236"/>
      <c r="CP298" s="224" t="str">
        <f t="shared" si="62"/>
        <v/>
      </c>
      <c r="CQ298" s="235"/>
      <c r="CR298" s="236"/>
      <c r="CS298" s="222" t="str">
        <f t="shared" si="63"/>
        <v/>
      </c>
      <c r="CT298" s="237" t="str">
        <f t="shared" si="64"/>
        <v/>
      </c>
      <c r="CU298" s="238"/>
      <c r="CV298" s="239"/>
      <c r="CW298" s="240"/>
    </row>
    <row r="299" spans="2:101" ht="16.5" customHeight="1">
      <c r="B299" s="122"/>
      <c r="E299" s="122"/>
      <c r="F299" s="194"/>
      <c r="G299" s="195"/>
      <c r="H299" s="195"/>
      <c r="I299" s="195"/>
      <c r="J299" s="196"/>
      <c r="K299" s="197"/>
      <c r="L299" s="198"/>
      <c r="M299" s="199"/>
      <c r="N299" s="200"/>
      <c r="O299" s="201"/>
      <c r="P299" s="201"/>
      <c r="Q299" s="201"/>
      <c r="R299" s="201"/>
      <c r="S299" s="201"/>
      <c r="T299" s="201"/>
      <c r="U299" s="201"/>
      <c r="V299" s="201"/>
      <c r="W299" s="201"/>
      <c r="X299" s="202"/>
      <c r="Y299" s="203"/>
      <c r="Z299" s="204"/>
      <c r="AA299" s="205"/>
      <c r="AB299" s="206"/>
      <c r="AC299" s="206"/>
      <c r="AD299" s="194"/>
      <c r="AE299" s="201"/>
      <c r="AF299" s="207"/>
      <c r="AG299" s="208"/>
      <c r="AH299" s="209"/>
      <c r="AI299" s="210"/>
      <c r="AJ299" s="197"/>
      <c r="AK299" s="201"/>
      <c r="AL299" s="196"/>
      <c r="AM299" s="201"/>
      <c r="AN299" s="201"/>
      <c r="AO299" s="201"/>
      <c r="AP299" s="211"/>
      <c r="AQ299" s="212"/>
      <c r="AR299" s="201"/>
      <c r="AS299" s="201"/>
      <c r="AT299" s="201"/>
      <c r="AU299" s="201"/>
      <c r="AV299" s="202"/>
      <c r="AW299" s="194"/>
      <c r="AX299" s="201"/>
      <c r="AY299" s="213"/>
      <c r="AZ299" s="214"/>
      <c r="BA299" s="215"/>
      <c r="BB299" s="216"/>
      <c r="BC299" s="217" t="str">
        <f t="shared" si="52"/>
        <v/>
      </c>
      <c r="BD299" s="218"/>
      <c r="BE299" s="219"/>
      <c r="BF299" s="220"/>
      <c r="BG299" s="219"/>
      <c r="BH299" s="219"/>
      <c r="BI299" s="220"/>
      <c r="BJ299" s="218"/>
      <c r="BK299" s="219"/>
      <c r="BL299" s="197"/>
      <c r="BM299" s="215"/>
      <c r="BN299" s="221"/>
      <c r="BO299" s="222" t="str">
        <f t="shared" si="53"/>
        <v/>
      </c>
      <c r="BP299" s="217" t="str">
        <f t="shared" si="54"/>
        <v/>
      </c>
      <c r="BQ299" s="215"/>
      <c r="BR299" s="224"/>
      <c r="BS299" s="225"/>
      <c r="BT299" s="223"/>
      <c r="BU299" s="215"/>
      <c r="BV299" s="226"/>
      <c r="BW299" s="222" t="str">
        <f t="shared" si="55"/>
        <v/>
      </c>
      <c r="BX299" s="223" t="str">
        <f t="shared" si="56"/>
        <v/>
      </c>
      <c r="BY299" s="215"/>
      <c r="BZ299" s="227"/>
      <c r="CA299" s="227"/>
      <c r="CB299" s="228"/>
      <c r="CC299" s="229"/>
      <c r="CD299" s="230" t="str">
        <f t="shared" si="57"/>
        <v/>
      </c>
      <c r="CE299" s="231" t="str">
        <f t="shared" si="58"/>
        <v/>
      </c>
      <c r="CF299" s="232" t="str">
        <f t="shared" si="59"/>
        <v/>
      </c>
      <c r="CG299" s="233" t="str">
        <f t="shared" si="60"/>
        <v/>
      </c>
      <c r="CH299" s="207" t="str">
        <f>IF(OR(G299="",CC299= ""), "", IF(ISERROR(SMALL((CJ299,CN299,CV299), 1)-CC299), "",  SMALL((CJ299,CN299,CV299), 1)-CC299))</f>
        <v/>
      </c>
      <c r="CI299" s="234"/>
      <c r="CJ299" s="235"/>
      <c r="CK299" s="236"/>
      <c r="CL299" s="222" t="str">
        <f t="shared" si="61"/>
        <v/>
      </c>
      <c r="CM299" s="237" t="str">
        <f>IF(OR(G299="", CJ299="",CK299=""), "", IF(ISERROR(SMALL((CN299,CV299), 1)-CK299), "",  SMALL((CN299,CV299), 1)-CK299))</f>
        <v/>
      </c>
      <c r="CN299" s="235"/>
      <c r="CO299" s="236"/>
      <c r="CP299" s="224" t="str">
        <f t="shared" si="62"/>
        <v/>
      </c>
      <c r="CQ299" s="235"/>
      <c r="CR299" s="236"/>
      <c r="CS299" s="222" t="str">
        <f t="shared" si="63"/>
        <v/>
      </c>
      <c r="CT299" s="237" t="str">
        <f t="shared" si="64"/>
        <v/>
      </c>
      <c r="CU299" s="238"/>
      <c r="CV299" s="239"/>
      <c r="CW299" s="240"/>
    </row>
    <row r="300" spans="2:101" ht="16.5" customHeight="1">
      <c r="B300" s="122"/>
      <c r="E300" s="122"/>
      <c r="F300" s="194"/>
      <c r="G300" s="195"/>
      <c r="H300" s="195"/>
      <c r="I300" s="195"/>
      <c r="J300" s="196"/>
      <c r="K300" s="197"/>
      <c r="L300" s="198"/>
      <c r="M300" s="199"/>
      <c r="N300" s="200"/>
      <c r="O300" s="201"/>
      <c r="P300" s="201"/>
      <c r="Q300" s="201"/>
      <c r="R300" s="201"/>
      <c r="S300" s="201"/>
      <c r="T300" s="201"/>
      <c r="U300" s="201"/>
      <c r="V300" s="201"/>
      <c r="W300" s="201"/>
      <c r="X300" s="202"/>
      <c r="Y300" s="203"/>
      <c r="Z300" s="204"/>
      <c r="AA300" s="205"/>
      <c r="AB300" s="206"/>
      <c r="AC300" s="206"/>
      <c r="AD300" s="194"/>
      <c r="AE300" s="201"/>
      <c r="AF300" s="207"/>
      <c r="AG300" s="208"/>
      <c r="AH300" s="209"/>
      <c r="AI300" s="210"/>
      <c r="AJ300" s="197"/>
      <c r="AK300" s="201"/>
      <c r="AL300" s="196"/>
      <c r="AM300" s="201"/>
      <c r="AN300" s="201"/>
      <c r="AO300" s="201"/>
      <c r="AP300" s="211"/>
      <c r="AQ300" s="212"/>
      <c r="AR300" s="201"/>
      <c r="AS300" s="201"/>
      <c r="AT300" s="201"/>
      <c r="AU300" s="201"/>
      <c r="AV300" s="202"/>
      <c r="AW300" s="194"/>
      <c r="AX300" s="201"/>
      <c r="AY300" s="213"/>
      <c r="AZ300" s="214"/>
      <c r="BA300" s="215"/>
      <c r="BB300" s="216"/>
      <c r="BC300" s="217" t="str">
        <f t="shared" si="52"/>
        <v/>
      </c>
      <c r="BD300" s="218"/>
      <c r="BE300" s="219"/>
      <c r="BF300" s="220"/>
      <c r="BG300" s="219"/>
      <c r="BH300" s="219"/>
      <c r="BI300" s="220"/>
      <c r="BJ300" s="218"/>
      <c r="BK300" s="219"/>
      <c r="BL300" s="197"/>
      <c r="BM300" s="215"/>
      <c r="BN300" s="221"/>
      <c r="BO300" s="222" t="str">
        <f t="shared" si="53"/>
        <v/>
      </c>
      <c r="BP300" s="217" t="str">
        <f t="shared" si="54"/>
        <v/>
      </c>
      <c r="BQ300" s="215"/>
      <c r="BR300" s="224"/>
      <c r="BS300" s="225"/>
      <c r="BT300" s="223"/>
      <c r="BU300" s="215"/>
      <c r="BV300" s="226"/>
      <c r="BW300" s="222" t="str">
        <f t="shared" si="55"/>
        <v/>
      </c>
      <c r="BX300" s="223" t="str">
        <f t="shared" si="56"/>
        <v/>
      </c>
      <c r="BY300" s="215"/>
      <c r="BZ300" s="227"/>
      <c r="CA300" s="227"/>
      <c r="CB300" s="228"/>
      <c r="CC300" s="229"/>
      <c r="CD300" s="230" t="str">
        <f t="shared" si="57"/>
        <v/>
      </c>
      <c r="CE300" s="231" t="str">
        <f t="shared" si="58"/>
        <v/>
      </c>
      <c r="CF300" s="232" t="str">
        <f t="shared" si="59"/>
        <v/>
      </c>
      <c r="CG300" s="233" t="str">
        <f t="shared" si="60"/>
        <v/>
      </c>
      <c r="CH300" s="207" t="str">
        <f>IF(OR(G300="",CC300= ""), "", IF(ISERROR(SMALL((CJ300,CN300,CV300), 1)-CC300), "",  SMALL((CJ300,CN300,CV300), 1)-CC300))</f>
        <v/>
      </c>
      <c r="CI300" s="234"/>
      <c r="CJ300" s="235"/>
      <c r="CK300" s="236"/>
      <c r="CL300" s="222" t="str">
        <f t="shared" si="61"/>
        <v/>
      </c>
      <c r="CM300" s="237" t="str">
        <f>IF(OR(G300="", CJ300="",CK300=""), "", IF(ISERROR(SMALL((CN300,CV300), 1)-CK300), "",  SMALL((CN300,CV300), 1)-CK300))</f>
        <v/>
      </c>
      <c r="CN300" s="235"/>
      <c r="CO300" s="236"/>
      <c r="CP300" s="224" t="str">
        <f t="shared" si="62"/>
        <v/>
      </c>
      <c r="CQ300" s="235"/>
      <c r="CR300" s="236"/>
      <c r="CS300" s="222" t="str">
        <f t="shared" si="63"/>
        <v/>
      </c>
      <c r="CT300" s="237" t="str">
        <f t="shared" si="64"/>
        <v/>
      </c>
      <c r="CU300" s="238"/>
      <c r="CV300" s="239"/>
      <c r="CW300" s="240"/>
    </row>
    <row r="301" spans="2:101" ht="16.5" customHeight="1">
      <c r="B301" s="122"/>
      <c r="E301" s="122"/>
      <c r="F301" s="194"/>
      <c r="G301" s="195"/>
      <c r="H301" s="195"/>
      <c r="I301" s="195"/>
      <c r="J301" s="196"/>
      <c r="K301" s="197"/>
      <c r="L301" s="198"/>
      <c r="M301" s="199"/>
      <c r="N301" s="200"/>
      <c r="O301" s="201"/>
      <c r="P301" s="201"/>
      <c r="Q301" s="201"/>
      <c r="R301" s="201"/>
      <c r="S301" s="201"/>
      <c r="T301" s="201"/>
      <c r="U301" s="201"/>
      <c r="V301" s="201"/>
      <c r="W301" s="201"/>
      <c r="X301" s="202"/>
      <c r="Y301" s="203"/>
      <c r="Z301" s="204"/>
      <c r="AA301" s="205"/>
      <c r="AB301" s="206"/>
      <c r="AC301" s="206"/>
      <c r="AD301" s="194"/>
      <c r="AE301" s="201"/>
      <c r="AF301" s="207"/>
      <c r="AG301" s="208"/>
      <c r="AH301" s="209"/>
      <c r="AI301" s="210"/>
      <c r="AJ301" s="197"/>
      <c r="AK301" s="201"/>
      <c r="AL301" s="196"/>
      <c r="AM301" s="201"/>
      <c r="AN301" s="201"/>
      <c r="AO301" s="201"/>
      <c r="AP301" s="211"/>
      <c r="AQ301" s="212"/>
      <c r="AR301" s="201"/>
      <c r="AS301" s="201"/>
      <c r="AT301" s="201"/>
      <c r="AU301" s="201"/>
      <c r="AV301" s="202"/>
      <c r="AW301" s="194"/>
      <c r="AX301" s="201"/>
      <c r="AY301" s="213"/>
      <c r="AZ301" s="214"/>
      <c r="BA301" s="215"/>
      <c r="BB301" s="216"/>
      <c r="BC301" s="217" t="str">
        <f t="shared" si="52"/>
        <v/>
      </c>
      <c r="BD301" s="218"/>
      <c r="BE301" s="219"/>
      <c r="BF301" s="220"/>
      <c r="BG301" s="219"/>
      <c r="BH301" s="219"/>
      <c r="BI301" s="220"/>
      <c r="BJ301" s="218"/>
      <c r="BK301" s="219"/>
      <c r="BL301" s="197"/>
      <c r="BM301" s="215"/>
      <c r="BN301" s="221"/>
      <c r="BO301" s="222" t="str">
        <f t="shared" si="53"/>
        <v/>
      </c>
      <c r="BP301" s="217" t="str">
        <f t="shared" si="54"/>
        <v/>
      </c>
      <c r="BQ301" s="215"/>
      <c r="BR301" s="224"/>
      <c r="BS301" s="225"/>
      <c r="BT301" s="223"/>
      <c r="BU301" s="215"/>
      <c r="BV301" s="226"/>
      <c r="BW301" s="222" t="str">
        <f t="shared" si="55"/>
        <v/>
      </c>
      <c r="BX301" s="223" t="str">
        <f t="shared" si="56"/>
        <v/>
      </c>
      <c r="BY301" s="215"/>
      <c r="BZ301" s="227"/>
      <c r="CA301" s="227"/>
      <c r="CB301" s="228"/>
      <c r="CC301" s="229"/>
      <c r="CD301" s="230" t="str">
        <f t="shared" si="57"/>
        <v/>
      </c>
      <c r="CE301" s="231" t="str">
        <f t="shared" si="58"/>
        <v/>
      </c>
      <c r="CF301" s="232" t="str">
        <f t="shared" si="59"/>
        <v/>
      </c>
      <c r="CG301" s="233" t="str">
        <f t="shared" si="60"/>
        <v/>
      </c>
      <c r="CH301" s="207" t="str">
        <f>IF(OR(G301="",CC301= ""), "", IF(ISERROR(SMALL((CJ301,CN301,CV301), 1)-CC301), "",  SMALL((CJ301,CN301,CV301), 1)-CC301))</f>
        <v/>
      </c>
      <c r="CI301" s="234"/>
      <c r="CJ301" s="235"/>
      <c r="CK301" s="236"/>
      <c r="CL301" s="222" t="str">
        <f t="shared" si="61"/>
        <v/>
      </c>
      <c r="CM301" s="237" t="str">
        <f>IF(OR(G301="", CJ301="",CK301=""), "", IF(ISERROR(SMALL((CN301,CV301), 1)-CK301), "",  SMALL((CN301,CV301), 1)-CK301))</f>
        <v/>
      </c>
      <c r="CN301" s="235"/>
      <c r="CO301" s="236"/>
      <c r="CP301" s="224" t="str">
        <f t="shared" si="62"/>
        <v/>
      </c>
      <c r="CQ301" s="235"/>
      <c r="CR301" s="236"/>
      <c r="CS301" s="222" t="str">
        <f t="shared" si="63"/>
        <v/>
      </c>
      <c r="CT301" s="237" t="str">
        <f t="shared" si="64"/>
        <v/>
      </c>
      <c r="CU301" s="238"/>
      <c r="CV301" s="239"/>
      <c r="CW301" s="240"/>
    </row>
    <row r="302" spans="2:101" ht="16.5" customHeight="1">
      <c r="B302" s="122"/>
      <c r="E302" s="122"/>
      <c r="F302" s="194"/>
      <c r="G302" s="195"/>
      <c r="H302" s="195"/>
      <c r="I302" s="195"/>
      <c r="J302" s="196"/>
      <c r="K302" s="197"/>
      <c r="L302" s="198"/>
      <c r="M302" s="199"/>
      <c r="N302" s="200"/>
      <c r="O302" s="201"/>
      <c r="P302" s="201"/>
      <c r="Q302" s="201"/>
      <c r="R302" s="201"/>
      <c r="S302" s="201"/>
      <c r="T302" s="201"/>
      <c r="U302" s="201"/>
      <c r="V302" s="201"/>
      <c r="W302" s="201"/>
      <c r="X302" s="202"/>
      <c r="Y302" s="203"/>
      <c r="Z302" s="204"/>
      <c r="AA302" s="205"/>
      <c r="AB302" s="206"/>
      <c r="AC302" s="206"/>
      <c r="AD302" s="194"/>
      <c r="AE302" s="201"/>
      <c r="AF302" s="207"/>
      <c r="AG302" s="208"/>
      <c r="AH302" s="209"/>
      <c r="AI302" s="210"/>
      <c r="AJ302" s="197"/>
      <c r="AK302" s="201"/>
      <c r="AL302" s="196"/>
      <c r="AM302" s="201"/>
      <c r="AN302" s="201"/>
      <c r="AO302" s="201"/>
      <c r="AP302" s="211"/>
      <c r="AQ302" s="212"/>
      <c r="AR302" s="201"/>
      <c r="AS302" s="201"/>
      <c r="AT302" s="201"/>
      <c r="AU302" s="201"/>
      <c r="AV302" s="202"/>
      <c r="AW302" s="194"/>
      <c r="AX302" s="201"/>
      <c r="AY302" s="213"/>
      <c r="AZ302" s="214"/>
      <c r="BA302" s="215"/>
      <c r="BB302" s="216"/>
      <c r="BC302" s="217" t="str">
        <f t="shared" si="52"/>
        <v/>
      </c>
      <c r="BD302" s="218"/>
      <c r="BE302" s="219"/>
      <c r="BF302" s="220"/>
      <c r="BG302" s="219"/>
      <c r="BH302" s="219"/>
      <c r="BI302" s="220"/>
      <c r="BJ302" s="218"/>
      <c r="BK302" s="219"/>
      <c r="BL302" s="197"/>
      <c r="BM302" s="215"/>
      <c r="BN302" s="221"/>
      <c r="BO302" s="222" t="str">
        <f t="shared" si="53"/>
        <v/>
      </c>
      <c r="BP302" s="217" t="str">
        <f t="shared" si="54"/>
        <v/>
      </c>
      <c r="BQ302" s="215"/>
      <c r="BR302" s="224"/>
      <c r="BS302" s="225"/>
      <c r="BT302" s="223"/>
      <c r="BU302" s="215"/>
      <c r="BV302" s="226"/>
      <c r="BW302" s="222" t="str">
        <f t="shared" si="55"/>
        <v/>
      </c>
      <c r="BX302" s="223" t="str">
        <f t="shared" si="56"/>
        <v/>
      </c>
      <c r="BY302" s="215"/>
      <c r="BZ302" s="227"/>
      <c r="CA302" s="227"/>
      <c r="CB302" s="228"/>
      <c r="CC302" s="229"/>
      <c r="CD302" s="230" t="str">
        <f t="shared" si="57"/>
        <v/>
      </c>
      <c r="CE302" s="231" t="str">
        <f t="shared" si="58"/>
        <v/>
      </c>
      <c r="CF302" s="232" t="str">
        <f t="shared" si="59"/>
        <v/>
      </c>
      <c r="CG302" s="233" t="str">
        <f t="shared" si="60"/>
        <v/>
      </c>
      <c r="CH302" s="207" t="str">
        <f>IF(OR(G302="",CC302= ""), "", IF(ISERROR(SMALL((CJ302,CN302,CV302), 1)-CC302), "",  SMALL((CJ302,CN302,CV302), 1)-CC302))</f>
        <v/>
      </c>
      <c r="CI302" s="234"/>
      <c r="CJ302" s="235"/>
      <c r="CK302" s="236"/>
      <c r="CL302" s="222" t="str">
        <f t="shared" si="61"/>
        <v/>
      </c>
      <c r="CM302" s="237" t="str">
        <f>IF(OR(G302="", CJ302="",CK302=""), "", IF(ISERROR(SMALL((CN302,CV302), 1)-CK302), "",  SMALL((CN302,CV302), 1)-CK302))</f>
        <v/>
      </c>
      <c r="CN302" s="235"/>
      <c r="CO302" s="236"/>
      <c r="CP302" s="224" t="str">
        <f t="shared" si="62"/>
        <v/>
      </c>
      <c r="CQ302" s="235"/>
      <c r="CR302" s="236"/>
      <c r="CS302" s="222" t="str">
        <f t="shared" si="63"/>
        <v/>
      </c>
      <c r="CT302" s="237" t="str">
        <f t="shared" si="64"/>
        <v/>
      </c>
      <c r="CU302" s="238"/>
      <c r="CV302" s="239"/>
      <c r="CW302" s="240"/>
    </row>
    <row r="303" spans="2:101" ht="16.5" customHeight="1">
      <c r="B303" s="122"/>
      <c r="E303" s="122"/>
      <c r="F303" s="194"/>
      <c r="G303" s="195"/>
      <c r="H303" s="195"/>
      <c r="I303" s="195"/>
      <c r="J303" s="196"/>
      <c r="K303" s="197"/>
      <c r="L303" s="198"/>
      <c r="M303" s="199"/>
      <c r="N303" s="200"/>
      <c r="O303" s="201"/>
      <c r="P303" s="201"/>
      <c r="Q303" s="201"/>
      <c r="R303" s="201"/>
      <c r="S303" s="201"/>
      <c r="T303" s="201"/>
      <c r="U303" s="201"/>
      <c r="V303" s="201"/>
      <c r="W303" s="201"/>
      <c r="X303" s="202"/>
      <c r="Y303" s="203"/>
      <c r="Z303" s="204"/>
      <c r="AA303" s="205"/>
      <c r="AB303" s="206"/>
      <c r="AC303" s="206"/>
      <c r="AD303" s="194"/>
      <c r="AE303" s="201"/>
      <c r="AF303" s="207"/>
      <c r="AG303" s="208"/>
      <c r="AH303" s="209"/>
      <c r="AI303" s="210"/>
      <c r="AJ303" s="197"/>
      <c r="AK303" s="201"/>
      <c r="AL303" s="196"/>
      <c r="AM303" s="201"/>
      <c r="AN303" s="201"/>
      <c r="AO303" s="201"/>
      <c r="AP303" s="211"/>
      <c r="AQ303" s="212"/>
      <c r="AR303" s="201"/>
      <c r="AS303" s="201"/>
      <c r="AT303" s="201"/>
      <c r="AU303" s="201"/>
      <c r="AV303" s="202"/>
      <c r="AW303" s="194"/>
      <c r="AX303" s="201"/>
      <c r="AY303" s="213"/>
      <c r="AZ303" s="214"/>
      <c r="BA303" s="215"/>
      <c r="BB303" s="216"/>
      <c r="BC303" s="217" t="str">
        <f t="shared" si="52"/>
        <v/>
      </c>
      <c r="BD303" s="218"/>
      <c r="BE303" s="219"/>
      <c r="BF303" s="220"/>
      <c r="BG303" s="219"/>
      <c r="BH303" s="219"/>
      <c r="BI303" s="220"/>
      <c r="BJ303" s="218"/>
      <c r="BK303" s="219"/>
      <c r="BL303" s="197"/>
      <c r="BM303" s="215"/>
      <c r="BN303" s="221"/>
      <c r="BO303" s="222" t="str">
        <f t="shared" si="53"/>
        <v/>
      </c>
      <c r="BP303" s="217" t="str">
        <f t="shared" si="54"/>
        <v/>
      </c>
      <c r="BQ303" s="215"/>
      <c r="BR303" s="224"/>
      <c r="BS303" s="225"/>
      <c r="BT303" s="223"/>
      <c r="BU303" s="215"/>
      <c r="BV303" s="226"/>
      <c r="BW303" s="222" t="str">
        <f t="shared" si="55"/>
        <v/>
      </c>
      <c r="BX303" s="223" t="str">
        <f t="shared" si="56"/>
        <v/>
      </c>
      <c r="BY303" s="215"/>
      <c r="BZ303" s="227"/>
      <c r="CA303" s="227"/>
      <c r="CB303" s="228"/>
      <c r="CC303" s="229"/>
      <c r="CD303" s="230" t="str">
        <f t="shared" si="57"/>
        <v/>
      </c>
      <c r="CE303" s="231" t="str">
        <f t="shared" si="58"/>
        <v/>
      </c>
      <c r="CF303" s="232" t="str">
        <f t="shared" si="59"/>
        <v/>
      </c>
      <c r="CG303" s="233" t="str">
        <f t="shared" si="60"/>
        <v/>
      </c>
      <c r="CH303" s="207" t="str">
        <f>IF(OR(G303="",CC303= ""), "", IF(ISERROR(SMALL((CJ303,CN303,CV303), 1)-CC303), "",  SMALL((CJ303,CN303,CV303), 1)-CC303))</f>
        <v/>
      </c>
      <c r="CI303" s="234"/>
      <c r="CJ303" s="235"/>
      <c r="CK303" s="236"/>
      <c r="CL303" s="222" t="str">
        <f t="shared" si="61"/>
        <v/>
      </c>
      <c r="CM303" s="237" t="str">
        <f>IF(OR(G303="", CJ303="",CK303=""), "", IF(ISERROR(SMALL((CN303,CV303), 1)-CK303), "",  SMALL((CN303,CV303), 1)-CK303))</f>
        <v/>
      </c>
      <c r="CN303" s="235"/>
      <c r="CO303" s="236"/>
      <c r="CP303" s="224" t="str">
        <f t="shared" si="62"/>
        <v/>
      </c>
      <c r="CQ303" s="235"/>
      <c r="CR303" s="236"/>
      <c r="CS303" s="222" t="str">
        <f t="shared" si="63"/>
        <v/>
      </c>
      <c r="CT303" s="237" t="str">
        <f t="shared" si="64"/>
        <v/>
      </c>
      <c r="CU303" s="238"/>
      <c r="CV303" s="239"/>
      <c r="CW303" s="240"/>
    </row>
    <row r="304" spans="2:101" ht="16.5" customHeight="1">
      <c r="B304" s="122"/>
      <c r="E304" s="122"/>
      <c r="F304" s="194"/>
      <c r="G304" s="195"/>
      <c r="H304" s="195"/>
      <c r="I304" s="195"/>
      <c r="J304" s="196"/>
      <c r="K304" s="197"/>
      <c r="L304" s="198"/>
      <c r="M304" s="199"/>
      <c r="N304" s="200"/>
      <c r="O304" s="201"/>
      <c r="P304" s="201"/>
      <c r="Q304" s="201"/>
      <c r="R304" s="201"/>
      <c r="S304" s="201"/>
      <c r="T304" s="201"/>
      <c r="U304" s="201"/>
      <c r="V304" s="201"/>
      <c r="W304" s="201"/>
      <c r="X304" s="202"/>
      <c r="Y304" s="203"/>
      <c r="Z304" s="204"/>
      <c r="AA304" s="205"/>
      <c r="AB304" s="206"/>
      <c r="AC304" s="206"/>
      <c r="AD304" s="194"/>
      <c r="AE304" s="201"/>
      <c r="AF304" s="207"/>
      <c r="AG304" s="208"/>
      <c r="AH304" s="209"/>
      <c r="AI304" s="210"/>
      <c r="AJ304" s="197"/>
      <c r="AK304" s="201"/>
      <c r="AL304" s="196"/>
      <c r="AM304" s="201"/>
      <c r="AN304" s="201"/>
      <c r="AO304" s="201"/>
      <c r="AP304" s="211"/>
      <c r="AQ304" s="212"/>
      <c r="AR304" s="201"/>
      <c r="AS304" s="201"/>
      <c r="AT304" s="201"/>
      <c r="AU304" s="201"/>
      <c r="AV304" s="202"/>
      <c r="AW304" s="194"/>
      <c r="AX304" s="201"/>
      <c r="AY304" s="213"/>
      <c r="AZ304" s="214"/>
      <c r="BA304" s="215"/>
      <c r="BB304" s="216"/>
      <c r="BC304" s="217" t="str">
        <f t="shared" si="52"/>
        <v/>
      </c>
      <c r="BD304" s="218"/>
      <c r="BE304" s="219"/>
      <c r="BF304" s="220"/>
      <c r="BG304" s="219"/>
      <c r="BH304" s="219"/>
      <c r="BI304" s="220"/>
      <c r="BJ304" s="218"/>
      <c r="BK304" s="219"/>
      <c r="BL304" s="197"/>
      <c r="BM304" s="215"/>
      <c r="BN304" s="221"/>
      <c r="BO304" s="222" t="str">
        <f t="shared" si="53"/>
        <v/>
      </c>
      <c r="BP304" s="217" t="str">
        <f t="shared" si="54"/>
        <v/>
      </c>
      <c r="BQ304" s="215"/>
      <c r="BR304" s="224"/>
      <c r="BS304" s="225"/>
      <c r="BT304" s="223"/>
      <c r="BU304" s="215"/>
      <c r="BV304" s="226"/>
      <c r="BW304" s="222" t="str">
        <f t="shared" si="55"/>
        <v/>
      </c>
      <c r="BX304" s="223" t="str">
        <f t="shared" si="56"/>
        <v/>
      </c>
      <c r="BY304" s="215"/>
      <c r="BZ304" s="227"/>
      <c r="CA304" s="227"/>
      <c r="CB304" s="228"/>
      <c r="CC304" s="229"/>
      <c r="CD304" s="230" t="str">
        <f t="shared" si="57"/>
        <v/>
      </c>
      <c r="CE304" s="231" t="str">
        <f t="shared" si="58"/>
        <v/>
      </c>
      <c r="CF304" s="232" t="str">
        <f t="shared" si="59"/>
        <v/>
      </c>
      <c r="CG304" s="233" t="str">
        <f t="shared" si="60"/>
        <v/>
      </c>
      <c r="CH304" s="207" t="str">
        <f>IF(OR(G304="",CC304= ""), "", IF(ISERROR(SMALL((CJ304,CN304,CV304), 1)-CC304), "",  SMALL((CJ304,CN304,CV304), 1)-CC304))</f>
        <v/>
      </c>
      <c r="CI304" s="234"/>
      <c r="CJ304" s="235"/>
      <c r="CK304" s="236"/>
      <c r="CL304" s="222" t="str">
        <f t="shared" si="61"/>
        <v/>
      </c>
      <c r="CM304" s="237" t="str">
        <f>IF(OR(G304="", CJ304="",CK304=""), "", IF(ISERROR(SMALL((CN304,CV304), 1)-CK304), "",  SMALL((CN304,CV304), 1)-CK304))</f>
        <v/>
      </c>
      <c r="CN304" s="235"/>
      <c r="CO304" s="236"/>
      <c r="CP304" s="224" t="str">
        <f t="shared" si="62"/>
        <v/>
      </c>
      <c r="CQ304" s="235"/>
      <c r="CR304" s="236"/>
      <c r="CS304" s="222" t="str">
        <f t="shared" si="63"/>
        <v/>
      </c>
      <c r="CT304" s="237" t="str">
        <f t="shared" si="64"/>
        <v/>
      </c>
      <c r="CU304" s="238"/>
      <c r="CV304" s="239"/>
      <c r="CW304" s="240"/>
    </row>
    <row r="305" spans="2:101" ht="16.5" customHeight="1">
      <c r="B305" s="122"/>
      <c r="E305" s="122"/>
      <c r="F305" s="194"/>
      <c r="G305" s="195"/>
      <c r="H305" s="195"/>
      <c r="I305" s="195"/>
      <c r="J305" s="196"/>
      <c r="K305" s="197"/>
      <c r="L305" s="198"/>
      <c r="M305" s="199"/>
      <c r="N305" s="200"/>
      <c r="O305" s="201"/>
      <c r="P305" s="201"/>
      <c r="Q305" s="201"/>
      <c r="R305" s="201"/>
      <c r="S305" s="201"/>
      <c r="T305" s="201"/>
      <c r="U305" s="201"/>
      <c r="V305" s="201"/>
      <c r="W305" s="201"/>
      <c r="X305" s="202"/>
      <c r="Y305" s="203"/>
      <c r="Z305" s="204"/>
      <c r="AA305" s="205"/>
      <c r="AB305" s="206"/>
      <c r="AC305" s="206"/>
      <c r="AD305" s="194"/>
      <c r="AE305" s="201"/>
      <c r="AF305" s="207"/>
      <c r="AG305" s="208"/>
      <c r="AH305" s="209"/>
      <c r="AI305" s="210"/>
      <c r="AJ305" s="197"/>
      <c r="AK305" s="201"/>
      <c r="AL305" s="196"/>
      <c r="AM305" s="201"/>
      <c r="AN305" s="201"/>
      <c r="AO305" s="201"/>
      <c r="AP305" s="211"/>
      <c r="AQ305" s="212"/>
      <c r="AR305" s="201"/>
      <c r="AS305" s="201"/>
      <c r="AT305" s="201"/>
      <c r="AU305" s="201"/>
      <c r="AV305" s="202"/>
      <c r="AW305" s="194"/>
      <c r="AX305" s="201"/>
      <c r="AY305" s="213"/>
      <c r="AZ305" s="214"/>
      <c r="BA305" s="215"/>
      <c r="BB305" s="216"/>
      <c r="BC305" s="217" t="str">
        <f t="shared" si="52"/>
        <v/>
      </c>
      <c r="BD305" s="218"/>
      <c r="BE305" s="219"/>
      <c r="BF305" s="220"/>
      <c r="BG305" s="219"/>
      <c r="BH305" s="219"/>
      <c r="BI305" s="220"/>
      <c r="BJ305" s="218"/>
      <c r="BK305" s="219"/>
      <c r="BL305" s="197"/>
      <c r="BM305" s="215"/>
      <c r="BN305" s="221"/>
      <c r="BO305" s="222" t="str">
        <f t="shared" si="53"/>
        <v/>
      </c>
      <c r="BP305" s="217" t="str">
        <f t="shared" si="54"/>
        <v/>
      </c>
      <c r="BQ305" s="215"/>
      <c r="BR305" s="224"/>
      <c r="BS305" s="225"/>
      <c r="BT305" s="223"/>
      <c r="BU305" s="215"/>
      <c r="BV305" s="226"/>
      <c r="BW305" s="222" t="str">
        <f t="shared" si="55"/>
        <v/>
      </c>
      <c r="BX305" s="223" t="str">
        <f t="shared" si="56"/>
        <v/>
      </c>
      <c r="BY305" s="215"/>
      <c r="BZ305" s="227"/>
      <c r="CA305" s="227"/>
      <c r="CB305" s="228"/>
      <c r="CC305" s="229"/>
      <c r="CD305" s="230" t="str">
        <f t="shared" si="57"/>
        <v/>
      </c>
      <c r="CE305" s="231" t="str">
        <f t="shared" si="58"/>
        <v/>
      </c>
      <c r="CF305" s="232" t="str">
        <f t="shared" si="59"/>
        <v/>
      </c>
      <c r="CG305" s="233" t="str">
        <f t="shared" si="60"/>
        <v/>
      </c>
      <c r="CH305" s="207" t="str">
        <f>IF(OR(G305="",CC305= ""), "", IF(ISERROR(SMALL((CJ305,CN305,CV305), 1)-CC305), "",  SMALL((CJ305,CN305,CV305), 1)-CC305))</f>
        <v/>
      </c>
      <c r="CI305" s="234"/>
      <c r="CJ305" s="235"/>
      <c r="CK305" s="236"/>
      <c r="CL305" s="222" t="str">
        <f t="shared" si="61"/>
        <v/>
      </c>
      <c r="CM305" s="237" t="str">
        <f>IF(OR(G305="", CJ305="",CK305=""), "", IF(ISERROR(SMALL((CN305,CV305), 1)-CK305), "",  SMALL((CN305,CV305), 1)-CK305))</f>
        <v/>
      </c>
      <c r="CN305" s="235"/>
      <c r="CO305" s="236"/>
      <c r="CP305" s="224" t="str">
        <f t="shared" si="62"/>
        <v/>
      </c>
      <c r="CQ305" s="235"/>
      <c r="CR305" s="236"/>
      <c r="CS305" s="222" t="str">
        <f t="shared" si="63"/>
        <v/>
      </c>
      <c r="CT305" s="237" t="str">
        <f t="shared" si="64"/>
        <v/>
      </c>
      <c r="CU305" s="238"/>
      <c r="CV305" s="239"/>
      <c r="CW305" s="240"/>
    </row>
    <row r="306" spans="2:101" ht="16.5" customHeight="1">
      <c r="B306" s="122"/>
      <c r="E306" s="122"/>
      <c r="F306" s="194"/>
      <c r="G306" s="195"/>
      <c r="H306" s="195"/>
      <c r="I306" s="195"/>
      <c r="J306" s="196"/>
      <c r="K306" s="197"/>
      <c r="L306" s="198"/>
      <c r="M306" s="199"/>
      <c r="N306" s="200"/>
      <c r="O306" s="201"/>
      <c r="P306" s="201"/>
      <c r="Q306" s="201"/>
      <c r="R306" s="201"/>
      <c r="S306" s="201"/>
      <c r="T306" s="201"/>
      <c r="U306" s="201"/>
      <c r="V306" s="201"/>
      <c r="W306" s="201"/>
      <c r="X306" s="202"/>
      <c r="Y306" s="203"/>
      <c r="Z306" s="204"/>
      <c r="AA306" s="205"/>
      <c r="AB306" s="206"/>
      <c r="AC306" s="206"/>
      <c r="AD306" s="194"/>
      <c r="AE306" s="201"/>
      <c r="AF306" s="207"/>
      <c r="AG306" s="208"/>
      <c r="AH306" s="209"/>
      <c r="AI306" s="210"/>
      <c r="AJ306" s="197"/>
      <c r="AK306" s="201"/>
      <c r="AL306" s="196"/>
      <c r="AM306" s="201"/>
      <c r="AN306" s="201"/>
      <c r="AO306" s="201"/>
      <c r="AP306" s="211"/>
      <c r="AQ306" s="212"/>
      <c r="AR306" s="201"/>
      <c r="AS306" s="201"/>
      <c r="AT306" s="201"/>
      <c r="AU306" s="201"/>
      <c r="AV306" s="202"/>
      <c r="AW306" s="194"/>
      <c r="AX306" s="201"/>
      <c r="AY306" s="213"/>
      <c r="AZ306" s="214"/>
      <c r="BA306" s="215"/>
      <c r="BB306" s="216"/>
      <c r="BC306" s="217" t="str">
        <f t="shared" si="52"/>
        <v/>
      </c>
      <c r="BD306" s="218"/>
      <c r="BE306" s="219"/>
      <c r="BF306" s="220"/>
      <c r="BG306" s="219"/>
      <c r="BH306" s="219"/>
      <c r="BI306" s="220"/>
      <c r="BJ306" s="218"/>
      <c r="BK306" s="219"/>
      <c r="BL306" s="197"/>
      <c r="BM306" s="215"/>
      <c r="BN306" s="221"/>
      <c r="BO306" s="222" t="str">
        <f t="shared" si="53"/>
        <v/>
      </c>
      <c r="BP306" s="217" t="str">
        <f t="shared" si="54"/>
        <v/>
      </c>
      <c r="BQ306" s="215"/>
      <c r="BR306" s="224"/>
      <c r="BS306" s="225"/>
      <c r="BT306" s="223"/>
      <c r="BU306" s="215"/>
      <c r="BV306" s="226"/>
      <c r="BW306" s="222" t="str">
        <f t="shared" si="55"/>
        <v/>
      </c>
      <c r="BX306" s="223" t="str">
        <f t="shared" si="56"/>
        <v/>
      </c>
      <c r="BY306" s="215"/>
      <c r="BZ306" s="227"/>
      <c r="CA306" s="227"/>
      <c r="CB306" s="228"/>
      <c r="CC306" s="229"/>
      <c r="CD306" s="230" t="str">
        <f t="shared" si="57"/>
        <v/>
      </c>
      <c r="CE306" s="231" t="str">
        <f t="shared" si="58"/>
        <v/>
      </c>
      <c r="CF306" s="232" t="str">
        <f t="shared" si="59"/>
        <v/>
      </c>
      <c r="CG306" s="233" t="str">
        <f t="shared" si="60"/>
        <v/>
      </c>
      <c r="CH306" s="207" t="str">
        <f>IF(OR(G306="",CC306= ""), "", IF(ISERROR(SMALL((CJ306,CN306,CV306), 1)-CC306), "",  SMALL((CJ306,CN306,CV306), 1)-CC306))</f>
        <v/>
      </c>
      <c r="CI306" s="234"/>
      <c r="CJ306" s="235"/>
      <c r="CK306" s="236"/>
      <c r="CL306" s="222" t="str">
        <f t="shared" si="61"/>
        <v/>
      </c>
      <c r="CM306" s="237" t="str">
        <f>IF(OR(G306="", CJ306="",CK306=""), "", IF(ISERROR(SMALL((CN306,CV306), 1)-CK306), "",  SMALL((CN306,CV306), 1)-CK306))</f>
        <v/>
      </c>
      <c r="CN306" s="235"/>
      <c r="CO306" s="236"/>
      <c r="CP306" s="224" t="str">
        <f t="shared" si="62"/>
        <v/>
      </c>
      <c r="CQ306" s="235"/>
      <c r="CR306" s="236"/>
      <c r="CS306" s="222" t="str">
        <f t="shared" si="63"/>
        <v/>
      </c>
      <c r="CT306" s="237" t="str">
        <f t="shared" si="64"/>
        <v/>
      </c>
      <c r="CU306" s="238"/>
      <c r="CV306" s="239"/>
      <c r="CW306" s="240"/>
    </row>
    <row r="307" spans="2:101" ht="16.5" customHeight="1">
      <c r="B307" s="122"/>
      <c r="E307" s="122"/>
      <c r="F307" s="194"/>
      <c r="G307" s="195"/>
      <c r="H307" s="195"/>
      <c r="I307" s="195"/>
      <c r="J307" s="196"/>
      <c r="K307" s="197"/>
      <c r="L307" s="198"/>
      <c r="M307" s="199"/>
      <c r="N307" s="200"/>
      <c r="O307" s="201"/>
      <c r="P307" s="201"/>
      <c r="Q307" s="201"/>
      <c r="R307" s="201"/>
      <c r="S307" s="201"/>
      <c r="T307" s="201"/>
      <c r="U307" s="201"/>
      <c r="V307" s="201"/>
      <c r="W307" s="201"/>
      <c r="X307" s="202"/>
      <c r="Y307" s="203"/>
      <c r="Z307" s="204"/>
      <c r="AA307" s="205"/>
      <c r="AB307" s="206"/>
      <c r="AC307" s="206"/>
      <c r="AD307" s="194"/>
      <c r="AE307" s="201"/>
      <c r="AF307" s="207"/>
      <c r="AG307" s="208"/>
      <c r="AH307" s="209"/>
      <c r="AI307" s="210"/>
      <c r="AJ307" s="197"/>
      <c r="AK307" s="201"/>
      <c r="AL307" s="196"/>
      <c r="AM307" s="201"/>
      <c r="AN307" s="201"/>
      <c r="AO307" s="201"/>
      <c r="AP307" s="211"/>
      <c r="AQ307" s="212"/>
      <c r="AR307" s="201"/>
      <c r="AS307" s="201"/>
      <c r="AT307" s="201"/>
      <c r="AU307" s="201"/>
      <c r="AV307" s="202"/>
      <c r="AW307" s="194"/>
      <c r="AX307" s="201"/>
      <c r="AY307" s="213"/>
      <c r="AZ307" s="214"/>
      <c r="BA307" s="215"/>
      <c r="BB307" s="216"/>
      <c r="BC307" s="217" t="str">
        <f t="shared" si="52"/>
        <v/>
      </c>
      <c r="BD307" s="218"/>
      <c r="BE307" s="219"/>
      <c r="BF307" s="220"/>
      <c r="BG307" s="219"/>
      <c r="BH307" s="219"/>
      <c r="BI307" s="220"/>
      <c r="BJ307" s="218"/>
      <c r="BK307" s="219"/>
      <c r="BL307" s="197"/>
      <c r="BM307" s="215"/>
      <c r="BN307" s="221"/>
      <c r="BO307" s="222" t="str">
        <f t="shared" si="53"/>
        <v/>
      </c>
      <c r="BP307" s="217" t="str">
        <f t="shared" si="54"/>
        <v/>
      </c>
      <c r="BQ307" s="215"/>
      <c r="BR307" s="224"/>
      <c r="BS307" s="225"/>
      <c r="BT307" s="223"/>
      <c r="BU307" s="215"/>
      <c r="BV307" s="226"/>
      <c r="BW307" s="222" t="str">
        <f t="shared" si="55"/>
        <v/>
      </c>
      <c r="BX307" s="223" t="str">
        <f t="shared" si="56"/>
        <v/>
      </c>
      <c r="BY307" s="215"/>
      <c r="BZ307" s="227"/>
      <c r="CA307" s="227"/>
      <c r="CB307" s="228"/>
      <c r="CC307" s="229"/>
      <c r="CD307" s="230" t="str">
        <f t="shared" si="57"/>
        <v/>
      </c>
      <c r="CE307" s="231" t="str">
        <f t="shared" si="58"/>
        <v/>
      </c>
      <c r="CF307" s="232" t="str">
        <f t="shared" si="59"/>
        <v/>
      </c>
      <c r="CG307" s="233" t="str">
        <f t="shared" si="60"/>
        <v/>
      </c>
      <c r="CH307" s="207" t="str">
        <f>IF(OR(G307="",CC307= ""), "", IF(ISERROR(SMALL((CJ307,CN307,CV307), 1)-CC307), "",  SMALL((CJ307,CN307,CV307), 1)-CC307))</f>
        <v/>
      </c>
      <c r="CI307" s="234"/>
      <c r="CJ307" s="235"/>
      <c r="CK307" s="236"/>
      <c r="CL307" s="222" t="str">
        <f t="shared" si="61"/>
        <v/>
      </c>
      <c r="CM307" s="237" t="str">
        <f>IF(OR(G307="", CJ307="",CK307=""), "", IF(ISERROR(SMALL((CN307,CV307), 1)-CK307), "",  SMALL((CN307,CV307), 1)-CK307))</f>
        <v/>
      </c>
      <c r="CN307" s="235"/>
      <c r="CO307" s="236"/>
      <c r="CP307" s="224" t="str">
        <f t="shared" si="62"/>
        <v/>
      </c>
      <c r="CQ307" s="235"/>
      <c r="CR307" s="236"/>
      <c r="CS307" s="222" t="str">
        <f t="shared" si="63"/>
        <v/>
      </c>
      <c r="CT307" s="237" t="str">
        <f t="shared" si="64"/>
        <v/>
      </c>
      <c r="CU307" s="238"/>
      <c r="CV307" s="239"/>
      <c r="CW307" s="240"/>
    </row>
    <row r="308" spans="2:101" ht="16.5" customHeight="1">
      <c r="B308" s="122"/>
      <c r="E308" s="122"/>
      <c r="F308" s="194"/>
      <c r="G308" s="195"/>
      <c r="H308" s="195"/>
      <c r="I308" s="195"/>
      <c r="J308" s="196"/>
      <c r="K308" s="197"/>
      <c r="L308" s="198"/>
      <c r="M308" s="199"/>
      <c r="N308" s="200"/>
      <c r="O308" s="201"/>
      <c r="P308" s="201"/>
      <c r="Q308" s="201"/>
      <c r="R308" s="201"/>
      <c r="S308" s="201"/>
      <c r="T308" s="201"/>
      <c r="U308" s="201"/>
      <c r="V308" s="201"/>
      <c r="W308" s="201"/>
      <c r="X308" s="202"/>
      <c r="Y308" s="203"/>
      <c r="Z308" s="204"/>
      <c r="AA308" s="205"/>
      <c r="AB308" s="206"/>
      <c r="AC308" s="206"/>
      <c r="AD308" s="194"/>
      <c r="AE308" s="201"/>
      <c r="AF308" s="207"/>
      <c r="AG308" s="208"/>
      <c r="AH308" s="209"/>
      <c r="AI308" s="210"/>
      <c r="AJ308" s="197"/>
      <c r="AK308" s="201"/>
      <c r="AL308" s="196"/>
      <c r="AM308" s="201"/>
      <c r="AN308" s="201"/>
      <c r="AO308" s="201"/>
      <c r="AP308" s="211"/>
      <c r="AQ308" s="212"/>
      <c r="AR308" s="201"/>
      <c r="AS308" s="201"/>
      <c r="AT308" s="201"/>
      <c r="AU308" s="201"/>
      <c r="AV308" s="202"/>
      <c r="AW308" s="194"/>
      <c r="AX308" s="201"/>
      <c r="AY308" s="213"/>
      <c r="AZ308" s="214"/>
      <c r="BA308" s="215"/>
      <c r="BB308" s="216"/>
      <c r="BC308" s="217" t="str">
        <f t="shared" si="52"/>
        <v/>
      </c>
      <c r="BD308" s="218"/>
      <c r="BE308" s="219"/>
      <c r="BF308" s="220"/>
      <c r="BG308" s="219"/>
      <c r="BH308" s="219"/>
      <c r="BI308" s="220"/>
      <c r="BJ308" s="218"/>
      <c r="BK308" s="219"/>
      <c r="BL308" s="197"/>
      <c r="BM308" s="215"/>
      <c r="BN308" s="221"/>
      <c r="BO308" s="222" t="str">
        <f t="shared" si="53"/>
        <v/>
      </c>
      <c r="BP308" s="217" t="str">
        <f t="shared" si="54"/>
        <v/>
      </c>
      <c r="BQ308" s="215"/>
      <c r="BR308" s="224"/>
      <c r="BS308" s="225"/>
      <c r="BT308" s="223"/>
      <c r="BU308" s="215"/>
      <c r="BV308" s="226"/>
      <c r="BW308" s="222" t="str">
        <f t="shared" si="55"/>
        <v/>
      </c>
      <c r="BX308" s="223" t="str">
        <f t="shared" si="56"/>
        <v/>
      </c>
      <c r="BY308" s="215"/>
      <c r="BZ308" s="227"/>
      <c r="CA308" s="227"/>
      <c r="CB308" s="228"/>
      <c r="CC308" s="229"/>
      <c r="CD308" s="230" t="str">
        <f t="shared" si="57"/>
        <v/>
      </c>
      <c r="CE308" s="231" t="str">
        <f t="shared" si="58"/>
        <v/>
      </c>
      <c r="CF308" s="232" t="str">
        <f t="shared" si="59"/>
        <v/>
      </c>
      <c r="CG308" s="233" t="str">
        <f t="shared" si="60"/>
        <v/>
      </c>
      <c r="CH308" s="207" t="str">
        <f>IF(OR(G308="",CC308= ""), "", IF(ISERROR(SMALL((CJ308,CN308,CV308), 1)-CC308), "",  SMALL((CJ308,CN308,CV308), 1)-CC308))</f>
        <v/>
      </c>
      <c r="CI308" s="234"/>
      <c r="CJ308" s="235"/>
      <c r="CK308" s="236"/>
      <c r="CL308" s="222" t="str">
        <f t="shared" si="61"/>
        <v/>
      </c>
      <c r="CM308" s="237" t="str">
        <f>IF(OR(G308="", CJ308="",CK308=""), "", IF(ISERROR(SMALL((CN308,CV308), 1)-CK308), "",  SMALL((CN308,CV308), 1)-CK308))</f>
        <v/>
      </c>
      <c r="CN308" s="235"/>
      <c r="CO308" s="236"/>
      <c r="CP308" s="224" t="str">
        <f t="shared" si="62"/>
        <v/>
      </c>
      <c r="CQ308" s="235"/>
      <c r="CR308" s="236"/>
      <c r="CS308" s="222" t="str">
        <f t="shared" si="63"/>
        <v/>
      </c>
      <c r="CT308" s="237" t="str">
        <f t="shared" si="64"/>
        <v/>
      </c>
      <c r="CU308" s="238"/>
      <c r="CV308" s="239"/>
      <c r="CW308" s="240"/>
    </row>
    <row r="309" spans="2:101" ht="16.5" customHeight="1">
      <c r="B309" s="122"/>
      <c r="E309" s="122"/>
      <c r="F309" s="194"/>
      <c r="G309" s="195"/>
      <c r="H309" s="195"/>
      <c r="I309" s="195"/>
      <c r="J309" s="196"/>
      <c r="K309" s="197"/>
      <c r="L309" s="198"/>
      <c r="M309" s="199"/>
      <c r="N309" s="200"/>
      <c r="O309" s="201"/>
      <c r="P309" s="201"/>
      <c r="Q309" s="201"/>
      <c r="R309" s="201"/>
      <c r="S309" s="201"/>
      <c r="T309" s="201"/>
      <c r="U309" s="201"/>
      <c r="V309" s="201"/>
      <c r="W309" s="201"/>
      <c r="X309" s="202"/>
      <c r="Y309" s="203"/>
      <c r="Z309" s="204"/>
      <c r="AA309" s="205"/>
      <c r="AB309" s="206"/>
      <c r="AC309" s="206"/>
      <c r="AD309" s="194"/>
      <c r="AE309" s="201"/>
      <c r="AF309" s="207"/>
      <c r="AG309" s="208"/>
      <c r="AH309" s="209"/>
      <c r="AI309" s="210"/>
      <c r="AJ309" s="197"/>
      <c r="AK309" s="201"/>
      <c r="AL309" s="196"/>
      <c r="AM309" s="201"/>
      <c r="AN309" s="201"/>
      <c r="AO309" s="201"/>
      <c r="AP309" s="211"/>
      <c r="AQ309" s="212"/>
      <c r="AR309" s="201"/>
      <c r="AS309" s="201"/>
      <c r="AT309" s="201"/>
      <c r="AU309" s="201"/>
      <c r="AV309" s="202"/>
      <c r="AW309" s="194"/>
      <c r="AX309" s="201"/>
      <c r="AY309" s="213"/>
      <c r="AZ309" s="214"/>
      <c r="BA309" s="215"/>
      <c r="BB309" s="216"/>
      <c r="BC309" s="217" t="str">
        <f t="shared" si="52"/>
        <v/>
      </c>
      <c r="BD309" s="218"/>
      <c r="BE309" s="219"/>
      <c r="BF309" s="220"/>
      <c r="BG309" s="219"/>
      <c r="BH309" s="219"/>
      <c r="BI309" s="220"/>
      <c r="BJ309" s="218"/>
      <c r="BK309" s="219"/>
      <c r="BL309" s="197"/>
      <c r="BM309" s="215"/>
      <c r="BN309" s="221"/>
      <c r="BO309" s="222" t="str">
        <f t="shared" si="53"/>
        <v/>
      </c>
      <c r="BP309" s="217" t="str">
        <f t="shared" si="54"/>
        <v/>
      </c>
      <c r="BQ309" s="215"/>
      <c r="BR309" s="224"/>
      <c r="BS309" s="225"/>
      <c r="BT309" s="223"/>
      <c r="BU309" s="215"/>
      <c r="BV309" s="226"/>
      <c r="BW309" s="222" t="str">
        <f t="shared" si="55"/>
        <v/>
      </c>
      <c r="BX309" s="223" t="str">
        <f t="shared" si="56"/>
        <v/>
      </c>
      <c r="BY309" s="215"/>
      <c r="BZ309" s="227"/>
      <c r="CA309" s="227"/>
      <c r="CB309" s="228"/>
      <c r="CC309" s="229"/>
      <c r="CD309" s="230" t="str">
        <f t="shared" si="57"/>
        <v/>
      </c>
      <c r="CE309" s="231" t="str">
        <f t="shared" si="58"/>
        <v/>
      </c>
      <c r="CF309" s="232" t="str">
        <f t="shared" si="59"/>
        <v/>
      </c>
      <c r="CG309" s="233" t="str">
        <f t="shared" si="60"/>
        <v/>
      </c>
      <c r="CH309" s="207" t="str">
        <f>IF(OR(G309="",CC309= ""), "", IF(ISERROR(SMALL((CJ309,CN309,CV309), 1)-CC309), "",  SMALL((CJ309,CN309,CV309), 1)-CC309))</f>
        <v/>
      </c>
      <c r="CI309" s="234"/>
      <c r="CJ309" s="235"/>
      <c r="CK309" s="236"/>
      <c r="CL309" s="222" t="str">
        <f t="shared" si="61"/>
        <v/>
      </c>
      <c r="CM309" s="237" t="str">
        <f>IF(OR(G309="", CJ309="",CK309=""), "", IF(ISERROR(SMALL((CN309,CV309), 1)-CK309), "",  SMALL((CN309,CV309), 1)-CK309))</f>
        <v/>
      </c>
      <c r="CN309" s="235"/>
      <c r="CO309" s="236"/>
      <c r="CP309" s="224" t="str">
        <f t="shared" si="62"/>
        <v/>
      </c>
      <c r="CQ309" s="235"/>
      <c r="CR309" s="236"/>
      <c r="CS309" s="222" t="str">
        <f t="shared" si="63"/>
        <v/>
      </c>
      <c r="CT309" s="237" t="str">
        <f t="shared" si="64"/>
        <v/>
      </c>
      <c r="CU309" s="238"/>
      <c r="CV309" s="239"/>
      <c r="CW309" s="240"/>
    </row>
    <row r="310" spans="2:101" ht="16.5" customHeight="1">
      <c r="B310" s="122"/>
      <c r="E310" s="122"/>
      <c r="F310" s="194"/>
      <c r="G310" s="195"/>
      <c r="H310" s="195"/>
      <c r="I310" s="195"/>
      <c r="J310" s="196"/>
      <c r="K310" s="197"/>
      <c r="L310" s="198"/>
      <c r="M310" s="199"/>
      <c r="N310" s="200"/>
      <c r="O310" s="201"/>
      <c r="P310" s="201"/>
      <c r="Q310" s="201"/>
      <c r="R310" s="201"/>
      <c r="S310" s="201"/>
      <c r="T310" s="201"/>
      <c r="U310" s="201"/>
      <c r="V310" s="201"/>
      <c r="W310" s="201"/>
      <c r="X310" s="202"/>
      <c r="Y310" s="203"/>
      <c r="Z310" s="204"/>
      <c r="AA310" s="205"/>
      <c r="AB310" s="206"/>
      <c r="AC310" s="206"/>
      <c r="AD310" s="194"/>
      <c r="AE310" s="201"/>
      <c r="AF310" s="207"/>
      <c r="AG310" s="208"/>
      <c r="AH310" s="209"/>
      <c r="AI310" s="210"/>
      <c r="AJ310" s="197"/>
      <c r="AK310" s="201"/>
      <c r="AL310" s="196"/>
      <c r="AM310" s="201"/>
      <c r="AN310" s="201"/>
      <c r="AO310" s="201"/>
      <c r="AP310" s="211"/>
      <c r="AQ310" s="212"/>
      <c r="AR310" s="201"/>
      <c r="AS310" s="201"/>
      <c r="AT310" s="201"/>
      <c r="AU310" s="201"/>
      <c r="AV310" s="202"/>
      <c r="AW310" s="194"/>
      <c r="AX310" s="201"/>
      <c r="AY310" s="213"/>
      <c r="AZ310" s="214"/>
      <c r="BA310" s="215"/>
      <c r="BB310" s="216"/>
      <c r="BC310" s="217" t="str">
        <f t="shared" si="52"/>
        <v/>
      </c>
      <c r="BD310" s="218"/>
      <c r="BE310" s="219"/>
      <c r="BF310" s="220"/>
      <c r="BG310" s="219"/>
      <c r="BH310" s="219"/>
      <c r="BI310" s="220"/>
      <c r="BJ310" s="218"/>
      <c r="BK310" s="219"/>
      <c r="BL310" s="197"/>
      <c r="BM310" s="215"/>
      <c r="BN310" s="221"/>
      <c r="BO310" s="222" t="str">
        <f t="shared" si="53"/>
        <v/>
      </c>
      <c r="BP310" s="217" t="str">
        <f t="shared" si="54"/>
        <v/>
      </c>
      <c r="BQ310" s="215"/>
      <c r="BR310" s="224"/>
      <c r="BS310" s="225"/>
      <c r="BT310" s="223"/>
      <c r="BU310" s="215"/>
      <c r="BV310" s="226"/>
      <c r="BW310" s="222" t="str">
        <f t="shared" si="55"/>
        <v/>
      </c>
      <c r="BX310" s="223" t="str">
        <f t="shared" si="56"/>
        <v/>
      </c>
      <c r="BY310" s="215"/>
      <c r="BZ310" s="227"/>
      <c r="CA310" s="227"/>
      <c r="CB310" s="228"/>
      <c r="CC310" s="229"/>
      <c r="CD310" s="230" t="str">
        <f t="shared" si="57"/>
        <v/>
      </c>
      <c r="CE310" s="231" t="str">
        <f t="shared" si="58"/>
        <v/>
      </c>
      <c r="CF310" s="232" t="str">
        <f t="shared" si="59"/>
        <v/>
      </c>
      <c r="CG310" s="233" t="str">
        <f t="shared" si="60"/>
        <v/>
      </c>
      <c r="CH310" s="207" t="str">
        <f>IF(OR(G310="",CC310= ""), "", IF(ISERROR(SMALL((CJ310,CN310,CV310), 1)-CC310), "",  SMALL((CJ310,CN310,CV310), 1)-CC310))</f>
        <v/>
      </c>
      <c r="CI310" s="234"/>
      <c r="CJ310" s="235"/>
      <c r="CK310" s="236"/>
      <c r="CL310" s="222" t="str">
        <f t="shared" si="61"/>
        <v/>
      </c>
      <c r="CM310" s="237" t="str">
        <f>IF(OR(G310="", CJ310="",CK310=""), "", IF(ISERROR(SMALL((CN310,CV310), 1)-CK310), "",  SMALL((CN310,CV310), 1)-CK310))</f>
        <v/>
      </c>
      <c r="CN310" s="235"/>
      <c r="CO310" s="236"/>
      <c r="CP310" s="224" t="str">
        <f t="shared" si="62"/>
        <v/>
      </c>
      <c r="CQ310" s="235"/>
      <c r="CR310" s="236"/>
      <c r="CS310" s="222" t="str">
        <f t="shared" si="63"/>
        <v/>
      </c>
      <c r="CT310" s="237" t="str">
        <f t="shared" si="64"/>
        <v/>
      </c>
      <c r="CU310" s="238"/>
      <c r="CV310" s="239"/>
      <c r="CW310" s="240"/>
    </row>
    <row r="311" spans="2:101" ht="16.5" customHeight="1">
      <c r="B311" s="122"/>
      <c r="E311" s="122"/>
      <c r="F311" s="194"/>
      <c r="G311" s="195"/>
      <c r="H311" s="195"/>
      <c r="I311" s="195"/>
      <c r="J311" s="196"/>
      <c r="K311" s="197"/>
      <c r="L311" s="198"/>
      <c r="M311" s="199"/>
      <c r="N311" s="200"/>
      <c r="O311" s="201"/>
      <c r="P311" s="201"/>
      <c r="Q311" s="201"/>
      <c r="R311" s="201"/>
      <c r="S311" s="201"/>
      <c r="T311" s="201"/>
      <c r="U311" s="201"/>
      <c r="V311" s="201"/>
      <c r="W311" s="201"/>
      <c r="X311" s="202"/>
      <c r="Y311" s="203"/>
      <c r="Z311" s="204"/>
      <c r="AA311" s="205"/>
      <c r="AB311" s="206"/>
      <c r="AC311" s="206"/>
      <c r="AD311" s="194"/>
      <c r="AE311" s="201"/>
      <c r="AF311" s="207"/>
      <c r="AG311" s="208"/>
      <c r="AH311" s="209"/>
      <c r="AI311" s="210"/>
      <c r="AJ311" s="197"/>
      <c r="AK311" s="201"/>
      <c r="AL311" s="196"/>
      <c r="AM311" s="201"/>
      <c r="AN311" s="201"/>
      <c r="AO311" s="201"/>
      <c r="AP311" s="211"/>
      <c r="AQ311" s="212"/>
      <c r="AR311" s="201"/>
      <c r="AS311" s="201"/>
      <c r="AT311" s="201"/>
      <c r="AU311" s="201"/>
      <c r="AV311" s="202"/>
      <c r="AW311" s="194"/>
      <c r="AX311" s="201"/>
      <c r="AY311" s="213"/>
      <c r="AZ311" s="214"/>
      <c r="BA311" s="215"/>
      <c r="BB311" s="216"/>
      <c r="BC311" s="217" t="str">
        <f t="shared" si="52"/>
        <v/>
      </c>
      <c r="BD311" s="218"/>
      <c r="BE311" s="219"/>
      <c r="BF311" s="220"/>
      <c r="BG311" s="219"/>
      <c r="BH311" s="219"/>
      <c r="BI311" s="220"/>
      <c r="BJ311" s="218"/>
      <c r="BK311" s="219"/>
      <c r="BL311" s="197"/>
      <c r="BM311" s="215"/>
      <c r="BN311" s="221"/>
      <c r="BO311" s="222" t="str">
        <f t="shared" si="53"/>
        <v/>
      </c>
      <c r="BP311" s="217" t="str">
        <f t="shared" si="54"/>
        <v/>
      </c>
      <c r="BQ311" s="215"/>
      <c r="BR311" s="224"/>
      <c r="BS311" s="225"/>
      <c r="BT311" s="223"/>
      <c r="BU311" s="215"/>
      <c r="BV311" s="226"/>
      <c r="BW311" s="222" t="str">
        <f t="shared" si="55"/>
        <v/>
      </c>
      <c r="BX311" s="223" t="str">
        <f t="shared" si="56"/>
        <v/>
      </c>
      <c r="BY311" s="215"/>
      <c r="BZ311" s="227"/>
      <c r="CA311" s="227"/>
      <c r="CB311" s="228"/>
      <c r="CC311" s="229"/>
      <c r="CD311" s="230" t="str">
        <f t="shared" si="57"/>
        <v/>
      </c>
      <c r="CE311" s="231" t="str">
        <f t="shared" si="58"/>
        <v/>
      </c>
      <c r="CF311" s="232" t="str">
        <f t="shared" si="59"/>
        <v/>
      </c>
      <c r="CG311" s="233" t="str">
        <f t="shared" si="60"/>
        <v/>
      </c>
      <c r="CH311" s="207" t="str">
        <f>IF(OR(G311="",CC311= ""), "", IF(ISERROR(SMALL((CJ311,CN311,CV311), 1)-CC311), "",  SMALL((CJ311,CN311,CV311), 1)-CC311))</f>
        <v/>
      </c>
      <c r="CI311" s="234"/>
      <c r="CJ311" s="235"/>
      <c r="CK311" s="236"/>
      <c r="CL311" s="222" t="str">
        <f t="shared" si="61"/>
        <v/>
      </c>
      <c r="CM311" s="237" t="str">
        <f>IF(OR(G311="", CJ311="",CK311=""), "", IF(ISERROR(SMALL((CN311,CV311), 1)-CK311), "",  SMALL((CN311,CV311), 1)-CK311))</f>
        <v/>
      </c>
      <c r="CN311" s="235"/>
      <c r="CO311" s="236"/>
      <c r="CP311" s="224" t="str">
        <f t="shared" si="62"/>
        <v/>
      </c>
      <c r="CQ311" s="235"/>
      <c r="CR311" s="236"/>
      <c r="CS311" s="222" t="str">
        <f t="shared" si="63"/>
        <v/>
      </c>
      <c r="CT311" s="237" t="str">
        <f t="shared" si="64"/>
        <v/>
      </c>
      <c r="CU311" s="238"/>
      <c r="CV311" s="239"/>
      <c r="CW311" s="240"/>
    </row>
    <row r="312" spans="2:101" ht="16.5" customHeight="1">
      <c r="B312" s="122"/>
      <c r="E312" s="122"/>
      <c r="F312" s="194"/>
      <c r="G312" s="195"/>
      <c r="H312" s="195"/>
      <c r="I312" s="195"/>
      <c r="J312" s="196"/>
      <c r="K312" s="197"/>
      <c r="L312" s="198"/>
      <c r="M312" s="199"/>
      <c r="N312" s="200"/>
      <c r="O312" s="201"/>
      <c r="P312" s="201"/>
      <c r="Q312" s="201"/>
      <c r="R312" s="201"/>
      <c r="S312" s="201"/>
      <c r="T312" s="201"/>
      <c r="U312" s="201"/>
      <c r="V312" s="201"/>
      <c r="W312" s="201"/>
      <c r="X312" s="202"/>
      <c r="Y312" s="203"/>
      <c r="Z312" s="204"/>
      <c r="AA312" s="205"/>
      <c r="AB312" s="206"/>
      <c r="AC312" s="206"/>
      <c r="AD312" s="194"/>
      <c r="AE312" s="201"/>
      <c r="AF312" s="207"/>
      <c r="AG312" s="208"/>
      <c r="AH312" s="209"/>
      <c r="AI312" s="210"/>
      <c r="AJ312" s="197"/>
      <c r="AK312" s="201"/>
      <c r="AL312" s="196"/>
      <c r="AM312" s="201"/>
      <c r="AN312" s="201"/>
      <c r="AO312" s="201"/>
      <c r="AP312" s="211"/>
      <c r="AQ312" s="212"/>
      <c r="AR312" s="201"/>
      <c r="AS312" s="201"/>
      <c r="AT312" s="201"/>
      <c r="AU312" s="201"/>
      <c r="AV312" s="202"/>
      <c r="AW312" s="194"/>
      <c r="AX312" s="201"/>
      <c r="AY312" s="213"/>
      <c r="AZ312" s="214"/>
      <c r="BA312" s="215"/>
      <c r="BB312" s="216"/>
      <c r="BC312" s="217" t="str">
        <f t="shared" si="52"/>
        <v/>
      </c>
      <c r="BD312" s="218"/>
      <c r="BE312" s="219"/>
      <c r="BF312" s="220"/>
      <c r="BG312" s="219"/>
      <c r="BH312" s="219"/>
      <c r="BI312" s="220"/>
      <c r="BJ312" s="218"/>
      <c r="BK312" s="219"/>
      <c r="BL312" s="197"/>
      <c r="BM312" s="215"/>
      <c r="BN312" s="221"/>
      <c r="BO312" s="222" t="str">
        <f t="shared" si="53"/>
        <v/>
      </c>
      <c r="BP312" s="217" t="str">
        <f t="shared" si="54"/>
        <v/>
      </c>
      <c r="BQ312" s="215"/>
      <c r="BR312" s="224"/>
      <c r="BS312" s="225"/>
      <c r="BT312" s="223"/>
      <c r="BU312" s="215"/>
      <c r="BV312" s="226"/>
      <c r="BW312" s="222" t="str">
        <f t="shared" si="55"/>
        <v/>
      </c>
      <c r="BX312" s="223" t="str">
        <f t="shared" si="56"/>
        <v/>
      </c>
      <c r="BY312" s="215"/>
      <c r="BZ312" s="227"/>
      <c r="CA312" s="227"/>
      <c r="CB312" s="228"/>
      <c r="CC312" s="229"/>
      <c r="CD312" s="230" t="str">
        <f t="shared" si="57"/>
        <v/>
      </c>
      <c r="CE312" s="231" t="str">
        <f t="shared" si="58"/>
        <v/>
      </c>
      <c r="CF312" s="232" t="str">
        <f t="shared" si="59"/>
        <v/>
      </c>
      <c r="CG312" s="233" t="str">
        <f t="shared" si="60"/>
        <v/>
      </c>
      <c r="CH312" s="207" t="str">
        <f>IF(OR(G312="",CC312= ""), "", IF(ISERROR(SMALL((CJ312,CN312,CV312), 1)-CC312), "",  SMALL((CJ312,CN312,CV312), 1)-CC312))</f>
        <v/>
      </c>
      <c r="CI312" s="234"/>
      <c r="CJ312" s="235"/>
      <c r="CK312" s="236"/>
      <c r="CL312" s="222" t="str">
        <f t="shared" si="61"/>
        <v/>
      </c>
      <c r="CM312" s="237" t="str">
        <f>IF(OR(G312="", CJ312="",CK312=""), "", IF(ISERROR(SMALL((CN312,CV312), 1)-CK312), "",  SMALL((CN312,CV312), 1)-CK312))</f>
        <v/>
      </c>
      <c r="CN312" s="235"/>
      <c r="CO312" s="236"/>
      <c r="CP312" s="224" t="str">
        <f t="shared" si="62"/>
        <v/>
      </c>
      <c r="CQ312" s="235"/>
      <c r="CR312" s="236"/>
      <c r="CS312" s="222" t="str">
        <f t="shared" si="63"/>
        <v/>
      </c>
      <c r="CT312" s="237" t="str">
        <f t="shared" si="64"/>
        <v/>
      </c>
      <c r="CU312" s="238"/>
      <c r="CV312" s="239"/>
      <c r="CW312" s="240"/>
    </row>
    <row r="313" spans="2:101" ht="16.5" customHeight="1">
      <c r="B313" s="122"/>
      <c r="E313" s="122"/>
      <c r="F313" s="194"/>
      <c r="G313" s="195"/>
      <c r="H313" s="195"/>
      <c r="I313" s="195"/>
      <c r="J313" s="196"/>
      <c r="K313" s="197"/>
      <c r="L313" s="198"/>
      <c r="M313" s="199"/>
      <c r="N313" s="200"/>
      <c r="O313" s="201"/>
      <c r="P313" s="201"/>
      <c r="Q313" s="201"/>
      <c r="R313" s="201"/>
      <c r="S313" s="201"/>
      <c r="T313" s="201"/>
      <c r="U313" s="201"/>
      <c r="V313" s="201"/>
      <c r="W313" s="201"/>
      <c r="X313" s="202"/>
      <c r="Y313" s="203"/>
      <c r="Z313" s="204"/>
      <c r="AA313" s="205"/>
      <c r="AB313" s="206"/>
      <c r="AC313" s="206"/>
      <c r="AD313" s="194"/>
      <c r="AE313" s="201"/>
      <c r="AF313" s="207"/>
      <c r="AG313" s="208"/>
      <c r="AH313" s="209"/>
      <c r="AI313" s="210"/>
      <c r="AJ313" s="197"/>
      <c r="AK313" s="201"/>
      <c r="AL313" s="196"/>
      <c r="AM313" s="201"/>
      <c r="AN313" s="201"/>
      <c r="AO313" s="201"/>
      <c r="AP313" s="211"/>
      <c r="AQ313" s="212"/>
      <c r="AR313" s="201"/>
      <c r="AS313" s="201"/>
      <c r="AT313" s="201"/>
      <c r="AU313" s="201"/>
      <c r="AV313" s="202"/>
      <c r="AW313" s="194"/>
      <c r="AX313" s="201"/>
      <c r="AY313" s="213"/>
      <c r="AZ313" s="214"/>
      <c r="BA313" s="215"/>
      <c r="BB313" s="216"/>
      <c r="BC313" s="217" t="str">
        <f t="shared" si="52"/>
        <v/>
      </c>
      <c r="BD313" s="218"/>
      <c r="BE313" s="219"/>
      <c r="BF313" s="220"/>
      <c r="BG313" s="219"/>
      <c r="BH313" s="219"/>
      <c r="BI313" s="220"/>
      <c r="BJ313" s="218"/>
      <c r="BK313" s="219"/>
      <c r="BL313" s="197"/>
      <c r="BM313" s="215"/>
      <c r="BN313" s="221"/>
      <c r="BO313" s="222" t="str">
        <f t="shared" si="53"/>
        <v/>
      </c>
      <c r="BP313" s="217" t="str">
        <f t="shared" si="54"/>
        <v/>
      </c>
      <c r="BQ313" s="215"/>
      <c r="BR313" s="224"/>
      <c r="BS313" s="225"/>
      <c r="BT313" s="223"/>
      <c r="BU313" s="215"/>
      <c r="BV313" s="226"/>
      <c r="BW313" s="222" t="str">
        <f t="shared" si="55"/>
        <v/>
      </c>
      <c r="BX313" s="223" t="str">
        <f t="shared" si="56"/>
        <v/>
      </c>
      <c r="BY313" s="215"/>
      <c r="BZ313" s="227"/>
      <c r="CA313" s="227"/>
      <c r="CB313" s="228"/>
      <c r="CC313" s="229"/>
      <c r="CD313" s="230" t="str">
        <f t="shared" si="57"/>
        <v/>
      </c>
      <c r="CE313" s="231" t="str">
        <f t="shared" si="58"/>
        <v/>
      </c>
      <c r="CF313" s="232" t="str">
        <f t="shared" si="59"/>
        <v/>
      </c>
      <c r="CG313" s="233" t="str">
        <f t="shared" si="60"/>
        <v/>
      </c>
      <c r="CH313" s="207" t="str">
        <f>IF(OR(G313="",CC313= ""), "", IF(ISERROR(SMALL((CJ313,CN313,CV313), 1)-CC313), "",  SMALL((CJ313,CN313,CV313), 1)-CC313))</f>
        <v/>
      </c>
      <c r="CI313" s="234"/>
      <c r="CJ313" s="235"/>
      <c r="CK313" s="236"/>
      <c r="CL313" s="222" t="str">
        <f t="shared" si="61"/>
        <v/>
      </c>
      <c r="CM313" s="237" t="str">
        <f>IF(OR(G313="", CJ313="",CK313=""), "", IF(ISERROR(SMALL((CN313,CV313), 1)-CK313), "",  SMALL((CN313,CV313), 1)-CK313))</f>
        <v/>
      </c>
      <c r="CN313" s="235"/>
      <c r="CO313" s="236"/>
      <c r="CP313" s="224" t="str">
        <f t="shared" si="62"/>
        <v/>
      </c>
      <c r="CQ313" s="235"/>
      <c r="CR313" s="236"/>
      <c r="CS313" s="222" t="str">
        <f t="shared" si="63"/>
        <v/>
      </c>
      <c r="CT313" s="237" t="str">
        <f t="shared" si="64"/>
        <v/>
      </c>
      <c r="CU313" s="238"/>
      <c r="CV313" s="239"/>
      <c r="CW313" s="240"/>
    </row>
    <row r="314" spans="2:101" ht="16.5" customHeight="1">
      <c r="B314" s="122"/>
      <c r="E314" s="122"/>
      <c r="F314" s="194"/>
      <c r="G314" s="195"/>
      <c r="H314" s="195"/>
      <c r="I314" s="195"/>
      <c r="J314" s="196"/>
      <c r="K314" s="197"/>
      <c r="L314" s="198"/>
      <c r="M314" s="199"/>
      <c r="N314" s="200"/>
      <c r="O314" s="201"/>
      <c r="P314" s="201"/>
      <c r="Q314" s="201"/>
      <c r="R314" s="201"/>
      <c r="S314" s="201"/>
      <c r="T314" s="201"/>
      <c r="U314" s="201"/>
      <c r="V314" s="201"/>
      <c r="W314" s="201"/>
      <c r="X314" s="202"/>
      <c r="Y314" s="203"/>
      <c r="Z314" s="204"/>
      <c r="AA314" s="205"/>
      <c r="AB314" s="206"/>
      <c r="AC314" s="206"/>
      <c r="AD314" s="194"/>
      <c r="AE314" s="201"/>
      <c r="AF314" s="207"/>
      <c r="AG314" s="208"/>
      <c r="AH314" s="209"/>
      <c r="AI314" s="210"/>
      <c r="AJ314" s="197"/>
      <c r="AK314" s="201"/>
      <c r="AL314" s="196"/>
      <c r="AM314" s="201"/>
      <c r="AN314" s="201"/>
      <c r="AO314" s="201"/>
      <c r="AP314" s="211"/>
      <c r="AQ314" s="212"/>
      <c r="AR314" s="201"/>
      <c r="AS314" s="201"/>
      <c r="AT314" s="201"/>
      <c r="AU314" s="201"/>
      <c r="AV314" s="202"/>
      <c r="AW314" s="194"/>
      <c r="AX314" s="201"/>
      <c r="AY314" s="213"/>
      <c r="AZ314" s="214"/>
      <c r="BA314" s="215"/>
      <c r="BB314" s="216"/>
      <c r="BC314" s="217" t="str">
        <f t="shared" si="52"/>
        <v/>
      </c>
      <c r="BD314" s="218"/>
      <c r="BE314" s="219"/>
      <c r="BF314" s="220"/>
      <c r="BG314" s="219"/>
      <c r="BH314" s="219"/>
      <c r="BI314" s="220"/>
      <c r="BJ314" s="218"/>
      <c r="BK314" s="219"/>
      <c r="BL314" s="197"/>
      <c r="BM314" s="215"/>
      <c r="BN314" s="221"/>
      <c r="BO314" s="222" t="str">
        <f t="shared" si="53"/>
        <v/>
      </c>
      <c r="BP314" s="217" t="str">
        <f t="shared" si="54"/>
        <v/>
      </c>
      <c r="BQ314" s="215"/>
      <c r="BR314" s="224"/>
      <c r="BS314" s="225"/>
      <c r="BT314" s="223"/>
      <c r="BU314" s="215"/>
      <c r="BV314" s="226"/>
      <c r="BW314" s="222" t="str">
        <f t="shared" si="55"/>
        <v/>
      </c>
      <c r="BX314" s="223" t="str">
        <f t="shared" si="56"/>
        <v/>
      </c>
      <c r="BY314" s="215"/>
      <c r="BZ314" s="227"/>
      <c r="CA314" s="227"/>
      <c r="CB314" s="228"/>
      <c r="CC314" s="229"/>
      <c r="CD314" s="230" t="str">
        <f t="shared" si="57"/>
        <v/>
      </c>
      <c r="CE314" s="231" t="str">
        <f t="shared" si="58"/>
        <v/>
      </c>
      <c r="CF314" s="232" t="str">
        <f t="shared" si="59"/>
        <v/>
      </c>
      <c r="CG314" s="233" t="str">
        <f t="shared" si="60"/>
        <v/>
      </c>
      <c r="CH314" s="207" t="str">
        <f>IF(OR(G314="",CC314= ""), "", IF(ISERROR(SMALL((CJ314,CN314,CV314), 1)-CC314), "",  SMALL((CJ314,CN314,CV314), 1)-CC314))</f>
        <v/>
      </c>
      <c r="CI314" s="234"/>
      <c r="CJ314" s="235"/>
      <c r="CK314" s="236"/>
      <c r="CL314" s="222" t="str">
        <f t="shared" si="61"/>
        <v/>
      </c>
      <c r="CM314" s="237" t="str">
        <f>IF(OR(G314="", CJ314="",CK314=""), "", IF(ISERROR(SMALL((CN314,CV314), 1)-CK314), "",  SMALL((CN314,CV314), 1)-CK314))</f>
        <v/>
      </c>
      <c r="CN314" s="235"/>
      <c r="CO314" s="236"/>
      <c r="CP314" s="224" t="str">
        <f t="shared" si="62"/>
        <v/>
      </c>
      <c r="CQ314" s="235"/>
      <c r="CR314" s="236"/>
      <c r="CS314" s="222" t="str">
        <f t="shared" si="63"/>
        <v/>
      </c>
      <c r="CT314" s="237" t="str">
        <f t="shared" si="64"/>
        <v/>
      </c>
      <c r="CU314" s="238"/>
      <c r="CV314" s="239"/>
      <c r="CW314" s="240"/>
    </row>
    <row r="315" spans="2:101" ht="16.5" customHeight="1">
      <c r="B315" s="122"/>
      <c r="E315" s="122"/>
      <c r="F315" s="194"/>
      <c r="G315" s="195"/>
      <c r="H315" s="195"/>
      <c r="I315" s="195"/>
      <c r="J315" s="196"/>
      <c r="K315" s="197"/>
      <c r="L315" s="198"/>
      <c r="M315" s="199"/>
      <c r="N315" s="200"/>
      <c r="O315" s="201"/>
      <c r="P315" s="201"/>
      <c r="Q315" s="201"/>
      <c r="R315" s="201"/>
      <c r="S315" s="201"/>
      <c r="T315" s="201"/>
      <c r="U315" s="201"/>
      <c r="V315" s="201"/>
      <c r="W315" s="201"/>
      <c r="X315" s="202"/>
      <c r="Y315" s="203"/>
      <c r="Z315" s="204"/>
      <c r="AA315" s="205"/>
      <c r="AB315" s="206"/>
      <c r="AC315" s="206"/>
      <c r="AD315" s="194"/>
      <c r="AE315" s="201"/>
      <c r="AF315" s="207"/>
      <c r="AG315" s="208"/>
      <c r="AH315" s="209"/>
      <c r="AI315" s="210"/>
      <c r="AJ315" s="197"/>
      <c r="AK315" s="201"/>
      <c r="AL315" s="196"/>
      <c r="AM315" s="201"/>
      <c r="AN315" s="201"/>
      <c r="AO315" s="201"/>
      <c r="AP315" s="211"/>
      <c r="AQ315" s="212"/>
      <c r="AR315" s="201"/>
      <c r="AS315" s="201"/>
      <c r="AT315" s="201"/>
      <c r="AU315" s="201"/>
      <c r="AV315" s="202"/>
      <c r="AW315" s="194"/>
      <c r="AX315" s="201"/>
      <c r="AY315" s="213"/>
      <c r="AZ315" s="214"/>
      <c r="BA315" s="215"/>
      <c r="BB315" s="216"/>
      <c r="BC315" s="217" t="str">
        <f t="shared" si="52"/>
        <v/>
      </c>
      <c r="BD315" s="218"/>
      <c r="BE315" s="219"/>
      <c r="BF315" s="220"/>
      <c r="BG315" s="219"/>
      <c r="BH315" s="219"/>
      <c r="BI315" s="220"/>
      <c r="BJ315" s="218"/>
      <c r="BK315" s="219"/>
      <c r="BL315" s="197"/>
      <c r="BM315" s="215"/>
      <c r="BN315" s="221"/>
      <c r="BO315" s="222" t="str">
        <f t="shared" si="53"/>
        <v/>
      </c>
      <c r="BP315" s="217" t="str">
        <f t="shared" si="54"/>
        <v/>
      </c>
      <c r="BQ315" s="215"/>
      <c r="BR315" s="224"/>
      <c r="BS315" s="225"/>
      <c r="BT315" s="223"/>
      <c r="BU315" s="215"/>
      <c r="BV315" s="226"/>
      <c r="BW315" s="222" t="str">
        <f t="shared" si="55"/>
        <v/>
      </c>
      <c r="BX315" s="223" t="str">
        <f t="shared" si="56"/>
        <v/>
      </c>
      <c r="BY315" s="215"/>
      <c r="BZ315" s="227"/>
      <c r="CA315" s="227"/>
      <c r="CB315" s="228"/>
      <c r="CC315" s="229"/>
      <c r="CD315" s="230" t="str">
        <f t="shared" si="57"/>
        <v/>
      </c>
      <c r="CE315" s="231" t="str">
        <f t="shared" si="58"/>
        <v/>
      </c>
      <c r="CF315" s="232" t="str">
        <f t="shared" si="59"/>
        <v/>
      </c>
      <c r="CG315" s="233" t="str">
        <f t="shared" si="60"/>
        <v/>
      </c>
      <c r="CH315" s="207" t="str">
        <f>IF(OR(G315="",CC315= ""), "", IF(ISERROR(SMALL((CJ315,CN315,CV315), 1)-CC315), "",  SMALL((CJ315,CN315,CV315), 1)-CC315))</f>
        <v/>
      </c>
      <c r="CI315" s="234"/>
      <c r="CJ315" s="235"/>
      <c r="CK315" s="236"/>
      <c r="CL315" s="222" t="str">
        <f t="shared" si="61"/>
        <v/>
      </c>
      <c r="CM315" s="237" t="str">
        <f>IF(OR(G315="", CJ315="",CK315=""), "", IF(ISERROR(SMALL((CN315,CV315), 1)-CK315), "",  SMALL((CN315,CV315), 1)-CK315))</f>
        <v/>
      </c>
      <c r="CN315" s="235"/>
      <c r="CO315" s="236"/>
      <c r="CP315" s="224" t="str">
        <f t="shared" si="62"/>
        <v/>
      </c>
      <c r="CQ315" s="235"/>
      <c r="CR315" s="236"/>
      <c r="CS315" s="222" t="str">
        <f t="shared" si="63"/>
        <v/>
      </c>
      <c r="CT315" s="237" t="str">
        <f t="shared" si="64"/>
        <v/>
      </c>
      <c r="CU315" s="238"/>
      <c r="CV315" s="239"/>
      <c r="CW315" s="240"/>
    </row>
    <row r="316" spans="2:101" ht="16.5" customHeight="1">
      <c r="B316" s="122"/>
      <c r="E316" s="122"/>
      <c r="F316" s="194"/>
      <c r="G316" s="195"/>
      <c r="H316" s="195"/>
      <c r="I316" s="195"/>
      <c r="J316" s="196"/>
      <c r="K316" s="197"/>
      <c r="L316" s="198"/>
      <c r="M316" s="199"/>
      <c r="N316" s="200"/>
      <c r="O316" s="201"/>
      <c r="P316" s="201"/>
      <c r="Q316" s="201"/>
      <c r="R316" s="201"/>
      <c r="S316" s="201"/>
      <c r="T316" s="201"/>
      <c r="U316" s="201"/>
      <c r="V316" s="201"/>
      <c r="W316" s="201"/>
      <c r="X316" s="202"/>
      <c r="Y316" s="203"/>
      <c r="Z316" s="204"/>
      <c r="AA316" s="205"/>
      <c r="AB316" s="206"/>
      <c r="AC316" s="206"/>
      <c r="AD316" s="194"/>
      <c r="AE316" s="201"/>
      <c r="AF316" s="207"/>
      <c r="AG316" s="208"/>
      <c r="AH316" s="209"/>
      <c r="AI316" s="210"/>
      <c r="AJ316" s="197"/>
      <c r="AK316" s="201"/>
      <c r="AL316" s="196"/>
      <c r="AM316" s="201"/>
      <c r="AN316" s="201"/>
      <c r="AO316" s="201"/>
      <c r="AP316" s="211"/>
      <c r="AQ316" s="212"/>
      <c r="AR316" s="201"/>
      <c r="AS316" s="201"/>
      <c r="AT316" s="201"/>
      <c r="AU316" s="201"/>
      <c r="AV316" s="202"/>
      <c r="AW316" s="194"/>
      <c r="AX316" s="201"/>
      <c r="AY316" s="213"/>
      <c r="AZ316" s="214"/>
      <c r="BA316" s="215"/>
      <c r="BB316" s="216"/>
      <c r="BC316" s="217" t="str">
        <f t="shared" si="52"/>
        <v/>
      </c>
      <c r="BD316" s="218"/>
      <c r="BE316" s="219"/>
      <c r="BF316" s="220"/>
      <c r="BG316" s="219"/>
      <c r="BH316" s="219"/>
      <c r="BI316" s="220"/>
      <c r="BJ316" s="218"/>
      <c r="BK316" s="219"/>
      <c r="BL316" s="197"/>
      <c r="BM316" s="215"/>
      <c r="BN316" s="221"/>
      <c r="BO316" s="222" t="str">
        <f t="shared" si="53"/>
        <v/>
      </c>
      <c r="BP316" s="217" t="str">
        <f t="shared" si="54"/>
        <v/>
      </c>
      <c r="BQ316" s="215"/>
      <c r="BR316" s="224"/>
      <c r="BS316" s="225"/>
      <c r="BT316" s="223"/>
      <c r="BU316" s="215"/>
      <c r="BV316" s="226"/>
      <c r="BW316" s="222" t="str">
        <f t="shared" si="55"/>
        <v/>
      </c>
      <c r="BX316" s="223" t="str">
        <f t="shared" si="56"/>
        <v/>
      </c>
      <c r="BY316" s="215"/>
      <c r="BZ316" s="227"/>
      <c r="CA316" s="227"/>
      <c r="CB316" s="228"/>
      <c r="CC316" s="229"/>
      <c r="CD316" s="230" t="str">
        <f t="shared" si="57"/>
        <v/>
      </c>
      <c r="CE316" s="231" t="str">
        <f t="shared" si="58"/>
        <v/>
      </c>
      <c r="CF316" s="232" t="str">
        <f t="shared" si="59"/>
        <v/>
      </c>
      <c r="CG316" s="233" t="str">
        <f t="shared" si="60"/>
        <v/>
      </c>
      <c r="CH316" s="207" t="str">
        <f>IF(OR(G316="",CC316= ""), "", IF(ISERROR(SMALL((CJ316,CN316,CV316), 1)-CC316), "",  SMALL((CJ316,CN316,CV316), 1)-CC316))</f>
        <v/>
      </c>
      <c r="CI316" s="234"/>
      <c r="CJ316" s="235"/>
      <c r="CK316" s="236"/>
      <c r="CL316" s="222" t="str">
        <f t="shared" si="61"/>
        <v/>
      </c>
      <c r="CM316" s="237" t="str">
        <f>IF(OR(G316="", CJ316="",CK316=""), "", IF(ISERROR(SMALL((CN316,CV316), 1)-CK316), "",  SMALL((CN316,CV316), 1)-CK316))</f>
        <v/>
      </c>
      <c r="CN316" s="235"/>
      <c r="CO316" s="236"/>
      <c r="CP316" s="224" t="str">
        <f t="shared" si="62"/>
        <v/>
      </c>
      <c r="CQ316" s="235"/>
      <c r="CR316" s="236"/>
      <c r="CS316" s="222" t="str">
        <f t="shared" si="63"/>
        <v/>
      </c>
      <c r="CT316" s="237" t="str">
        <f t="shared" si="64"/>
        <v/>
      </c>
      <c r="CU316" s="238"/>
      <c r="CV316" s="239"/>
      <c r="CW316" s="240"/>
    </row>
    <row r="317" spans="2:101" ht="16.5" customHeight="1">
      <c r="B317" s="122"/>
      <c r="E317" s="122"/>
      <c r="F317" s="194"/>
      <c r="G317" s="195"/>
      <c r="H317" s="195"/>
      <c r="I317" s="195"/>
      <c r="J317" s="196"/>
      <c r="K317" s="197"/>
      <c r="L317" s="198"/>
      <c r="M317" s="199"/>
      <c r="N317" s="200"/>
      <c r="O317" s="201"/>
      <c r="P317" s="201"/>
      <c r="Q317" s="201"/>
      <c r="R317" s="201"/>
      <c r="S317" s="201"/>
      <c r="T317" s="201"/>
      <c r="U317" s="201"/>
      <c r="V317" s="201"/>
      <c r="W317" s="201"/>
      <c r="X317" s="202"/>
      <c r="Y317" s="203"/>
      <c r="Z317" s="204"/>
      <c r="AA317" s="205"/>
      <c r="AB317" s="206"/>
      <c r="AC317" s="206"/>
      <c r="AD317" s="194"/>
      <c r="AE317" s="201"/>
      <c r="AF317" s="207"/>
      <c r="AG317" s="208"/>
      <c r="AH317" s="209"/>
      <c r="AI317" s="210"/>
      <c r="AJ317" s="197"/>
      <c r="AK317" s="201"/>
      <c r="AL317" s="196"/>
      <c r="AM317" s="201"/>
      <c r="AN317" s="201"/>
      <c r="AO317" s="201"/>
      <c r="AP317" s="211"/>
      <c r="AQ317" s="212"/>
      <c r="AR317" s="201"/>
      <c r="AS317" s="201"/>
      <c r="AT317" s="201"/>
      <c r="AU317" s="201"/>
      <c r="AV317" s="202"/>
      <c r="AW317" s="194"/>
      <c r="AX317" s="201"/>
      <c r="AY317" s="213"/>
      <c r="AZ317" s="214"/>
      <c r="BA317" s="215"/>
      <c r="BB317" s="216"/>
      <c r="BC317" s="217" t="str">
        <f t="shared" si="52"/>
        <v/>
      </c>
      <c r="BD317" s="218"/>
      <c r="BE317" s="219"/>
      <c r="BF317" s="220"/>
      <c r="BG317" s="219"/>
      <c r="BH317" s="219"/>
      <c r="BI317" s="220"/>
      <c r="BJ317" s="218"/>
      <c r="BK317" s="219"/>
      <c r="BL317" s="197"/>
      <c r="BM317" s="215"/>
      <c r="BN317" s="221"/>
      <c r="BO317" s="222" t="str">
        <f t="shared" si="53"/>
        <v/>
      </c>
      <c r="BP317" s="217" t="str">
        <f t="shared" si="54"/>
        <v/>
      </c>
      <c r="BQ317" s="215"/>
      <c r="BR317" s="224"/>
      <c r="BS317" s="225"/>
      <c r="BT317" s="223"/>
      <c r="BU317" s="215"/>
      <c r="BV317" s="226"/>
      <c r="BW317" s="222" t="str">
        <f t="shared" si="55"/>
        <v/>
      </c>
      <c r="BX317" s="223" t="str">
        <f t="shared" si="56"/>
        <v/>
      </c>
      <c r="BY317" s="215"/>
      <c r="BZ317" s="227"/>
      <c r="CA317" s="227"/>
      <c r="CB317" s="228"/>
      <c r="CC317" s="229"/>
      <c r="CD317" s="230" t="str">
        <f t="shared" si="57"/>
        <v/>
      </c>
      <c r="CE317" s="231" t="str">
        <f t="shared" si="58"/>
        <v/>
      </c>
      <c r="CF317" s="232" t="str">
        <f t="shared" si="59"/>
        <v/>
      </c>
      <c r="CG317" s="233" t="str">
        <f t="shared" si="60"/>
        <v/>
      </c>
      <c r="CH317" s="207" t="str">
        <f>IF(OR(G317="",CC317= ""), "", IF(ISERROR(SMALL((CJ317,CN317,CV317), 1)-CC317), "",  SMALL((CJ317,CN317,CV317), 1)-CC317))</f>
        <v/>
      </c>
      <c r="CI317" s="234"/>
      <c r="CJ317" s="235"/>
      <c r="CK317" s="236"/>
      <c r="CL317" s="222" t="str">
        <f t="shared" si="61"/>
        <v/>
      </c>
      <c r="CM317" s="237" t="str">
        <f>IF(OR(G317="", CJ317="",CK317=""), "", IF(ISERROR(SMALL((CN317,CV317), 1)-CK317), "",  SMALL((CN317,CV317), 1)-CK317))</f>
        <v/>
      </c>
      <c r="CN317" s="235"/>
      <c r="CO317" s="236"/>
      <c r="CP317" s="224" t="str">
        <f t="shared" si="62"/>
        <v/>
      </c>
      <c r="CQ317" s="235"/>
      <c r="CR317" s="236"/>
      <c r="CS317" s="222" t="str">
        <f t="shared" si="63"/>
        <v/>
      </c>
      <c r="CT317" s="237" t="str">
        <f t="shared" si="64"/>
        <v/>
      </c>
      <c r="CU317" s="238"/>
      <c r="CV317" s="239"/>
      <c r="CW317" s="240"/>
    </row>
    <row r="318" spans="2:101" ht="16.5" customHeight="1">
      <c r="B318" s="122"/>
      <c r="E318" s="122"/>
      <c r="F318" s="194"/>
      <c r="G318" s="195"/>
      <c r="H318" s="195"/>
      <c r="I318" s="195"/>
      <c r="J318" s="196"/>
      <c r="K318" s="197"/>
      <c r="L318" s="198"/>
      <c r="M318" s="199"/>
      <c r="N318" s="200"/>
      <c r="O318" s="201"/>
      <c r="P318" s="201"/>
      <c r="Q318" s="201"/>
      <c r="R318" s="201"/>
      <c r="S318" s="201"/>
      <c r="T318" s="201"/>
      <c r="U318" s="201"/>
      <c r="V318" s="201"/>
      <c r="W318" s="201"/>
      <c r="X318" s="202"/>
      <c r="Y318" s="203"/>
      <c r="Z318" s="204"/>
      <c r="AA318" s="205"/>
      <c r="AB318" s="206"/>
      <c r="AC318" s="206"/>
      <c r="AD318" s="194"/>
      <c r="AE318" s="201"/>
      <c r="AF318" s="207"/>
      <c r="AG318" s="208"/>
      <c r="AH318" s="209"/>
      <c r="AI318" s="210"/>
      <c r="AJ318" s="197"/>
      <c r="AK318" s="201"/>
      <c r="AL318" s="196"/>
      <c r="AM318" s="201"/>
      <c r="AN318" s="201"/>
      <c r="AO318" s="201"/>
      <c r="AP318" s="211"/>
      <c r="AQ318" s="212"/>
      <c r="AR318" s="201"/>
      <c r="AS318" s="201"/>
      <c r="AT318" s="201"/>
      <c r="AU318" s="201"/>
      <c r="AV318" s="202"/>
      <c r="AW318" s="194"/>
      <c r="AX318" s="201"/>
      <c r="AY318" s="213"/>
      <c r="AZ318" s="214"/>
      <c r="BA318" s="215"/>
      <c r="BB318" s="216"/>
      <c r="BC318" s="217" t="str">
        <f t="shared" si="52"/>
        <v/>
      </c>
      <c r="BD318" s="218"/>
      <c r="BE318" s="219"/>
      <c r="BF318" s="220"/>
      <c r="BG318" s="219"/>
      <c r="BH318" s="219"/>
      <c r="BI318" s="220"/>
      <c r="BJ318" s="218"/>
      <c r="BK318" s="219"/>
      <c r="BL318" s="197"/>
      <c r="BM318" s="215"/>
      <c r="BN318" s="221"/>
      <c r="BO318" s="222" t="str">
        <f t="shared" si="53"/>
        <v/>
      </c>
      <c r="BP318" s="217" t="str">
        <f t="shared" si="54"/>
        <v/>
      </c>
      <c r="BQ318" s="215"/>
      <c r="BR318" s="224"/>
      <c r="BS318" s="225"/>
      <c r="BT318" s="223"/>
      <c r="BU318" s="215"/>
      <c r="BV318" s="226"/>
      <c r="BW318" s="222" t="str">
        <f t="shared" si="55"/>
        <v/>
      </c>
      <c r="BX318" s="223" t="str">
        <f t="shared" si="56"/>
        <v/>
      </c>
      <c r="BY318" s="215"/>
      <c r="BZ318" s="227"/>
      <c r="CA318" s="227"/>
      <c r="CB318" s="228"/>
      <c r="CC318" s="229"/>
      <c r="CD318" s="230" t="str">
        <f t="shared" si="57"/>
        <v/>
      </c>
      <c r="CE318" s="231" t="str">
        <f t="shared" si="58"/>
        <v/>
      </c>
      <c r="CF318" s="232" t="str">
        <f t="shared" si="59"/>
        <v/>
      </c>
      <c r="CG318" s="233" t="str">
        <f t="shared" si="60"/>
        <v/>
      </c>
      <c r="CH318" s="207" t="str">
        <f>IF(OR(G318="",CC318= ""), "", IF(ISERROR(SMALL((CJ318,CN318,CV318), 1)-CC318), "",  SMALL((CJ318,CN318,CV318), 1)-CC318))</f>
        <v/>
      </c>
      <c r="CI318" s="234"/>
      <c r="CJ318" s="235"/>
      <c r="CK318" s="236"/>
      <c r="CL318" s="222" t="str">
        <f t="shared" si="61"/>
        <v/>
      </c>
      <c r="CM318" s="237" t="str">
        <f>IF(OR(G318="", CJ318="",CK318=""), "", IF(ISERROR(SMALL((CN318,CV318), 1)-CK318), "",  SMALL((CN318,CV318), 1)-CK318))</f>
        <v/>
      </c>
      <c r="CN318" s="235"/>
      <c r="CO318" s="236"/>
      <c r="CP318" s="224" t="str">
        <f t="shared" si="62"/>
        <v/>
      </c>
      <c r="CQ318" s="235"/>
      <c r="CR318" s="236"/>
      <c r="CS318" s="222" t="str">
        <f t="shared" si="63"/>
        <v/>
      </c>
      <c r="CT318" s="237" t="str">
        <f t="shared" si="64"/>
        <v/>
      </c>
      <c r="CU318" s="238"/>
      <c r="CV318" s="239"/>
      <c r="CW318" s="240"/>
    </row>
    <row r="319" spans="2:101" ht="16.5" customHeight="1">
      <c r="B319" s="122"/>
      <c r="E319" s="122"/>
      <c r="F319" s="194"/>
      <c r="G319" s="195"/>
      <c r="H319" s="195"/>
      <c r="I319" s="195"/>
      <c r="J319" s="196"/>
      <c r="K319" s="197"/>
      <c r="L319" s="198"/>
      <c r="M319" s="199"/>
      <c r="N319" s="200"/>
      <c r="O319" s="201"/>
      <c r="P319" s="201"/>
      <c r="Q319" s="201"/>
      <c r="R319" s="201"/>
      <c r="S319" s="201"/>
      <c r="T319" s="201"/>
      <c r="U319" s="201"/>
      <c r="V319" s="201"/>
      <c r="W319" s="201"/>
      <c r="X319" s="202"/>
      <c r="Y319" s="203"/>
      <c r="Z319" s="204"/>
      <c r="AA319" s="205"/>
      <c r="AB319" s="206"/>
      <c r="AC319" s="206"/>
      <c r="AD319" s="194"/>
      <c r="AE319" s="201"/>
      <c r="AF319" s="207"/>
      <c r="AG319" s="208"/>
      <c r="AH319" s="209"/>
      <c r="AI319" s="210"/>
      <c r="AJ319" s="197"/>
      <c r="AK319" s="201"/>
      <c r="AL319" s="196"/>
      <c r="AM319" s="201"/>
      <c r="AN319" s="201"/>
      <c r="AO319" s="201"/>
      <c r="AP319" s="211"/>
      <c r="AQ319" s="212"/>
      <c r="AR319" s="201"/>
      <c r="AS319" s="201"/>
      <c r="AT319" s="201"/>
      <c r="AU319" s="201"/>
      <c r="AV319" s="202"/>
      <c r="AW319" s="194"/>
      <c r="AX319" s="201"/>
      <c r="AY319" s="213"/>
      <c r="AZ319" s="214"/>
      <c r="BA319" s="215"/>
      <c r="BB319" s="216"/>
      <c r="BC319" s="217" t="str">
        <f t="shared" si="52"/>
        <v/>
      </c>
      <c r="BD319" s="218"/>
      <c r="BE319" s="219"/>
      <c r="BF319" s="220"/>
      <c r="BG319" s="219"/>
      <c r="BH319" s="219"/>
      <c r="BI319" s="220"/>
      <c r="BJ319" s="218"/>
      <c r="BK319" s="219"/>
      <c r="BL319" s="197"/>
      <c r="BM319" s="215"/>
      <c r="BN319" s="221"/>
      <c r="BO319" s="222" t="str">
        <f t="shared" si="53"/>
        <v/>
      </c>
      <c r="BP319" s="217" t="str">
        <f t="shared" si="54"/>
        <v/>
      </c>
      <c r="BQ319" s="215"/>
      <c r="BR319" s="224"/>
      <c r="BS319" s="225"/>
      <c r="BT319" s="223"/>
      <c r="BU319" s="215"/>
      <c r="BV319" s="226"/>
      <c r="BW319" s="222" t="str">
        <f t="shared" si="55"/>
        <v/>
      </c>
      <c r="BX319" s="223" t="str">
        <f t="shared" si="56"/>
        <v/>
      </c>
      <c r="BY319" s="215"/>
      <c r="BZ319" s="227"/>
      <c r="CA319" s="227"/>
      <c r="CB319" s="228"/>
      <c r="CC319" s="229"/>
      <c r="CD319" s="230" t="str">
        <f t="shared" si="57"/>
        <v/>
      </c>
      <c r="CE319" s="231" t="str">
        <f t="shared" si="58"/>
        <v/>
      </c>
      <c r="CF319" s="232" t="str">
        <f t="shared" si="59"/>
        <v/>
      </c>
      <c r="CG319" s="233" t="str">
        <f t="shared" si="60"/>
        <v/>
      </c>
      <c r="CH319" s="207" t="str">
        <f>IF(OR(G319="",CC319= ""), "", IF(ISERROR(SMALL((CJ319,CN319,CV319), 1)-CC319), "",  SMALL((CJ319,CN319,CV319), 1)-CC319))</f>
        <v/>
      </c>
      <c r="CI319" s="234"/>
      <c r="CJ319" s="235"/>
      <c r="CK319" s="236"/>
      <c r="CL319" s="222" t="str">
        <f t="shared" si="61"/>
        <v/>
      </c>
      <c r="CM319" s="237" t="str">
        <f>IF(OR(G319="", CJ319="",CK319=""), "", IF(ISERROR(SMALL((CN319,CV319), 1)-CK319), "",  SMALL((CN319,CV319), 1)-CK319))</f>
        <v/>
      </c>
      <c r="CN319" s="235"/>
      <c r="CO319" s="236"/>
      <c r="CP319" s="224" t="str">
        <f t="shared" si="62"/>
        <v/>
      </c>
      <c r="CQ319" s="235"/>
      <c r="CR319" s="236"/>
      <c r="CS319" s="222" t="str">
        <f t="shared" si="63"/>
        <v/>
      </c>
      <c r="CT319" s="237" t="str">
        <f t="shared" si="64"/>
        <v/>
      </c>
      <c r="CU319" s="238"/>
      <c r="CV319" s="239"/>
      <c r="CW319" s="240"/>
    </row>
    <row r="320" spans="2:101" ht="16.5" customHeight="1">
      <c r="B320" s="122"/>
      <c r="E320" s="122"/>
      <c r="F320" s="194"/>
      <c r="G320" s="195"/>
      <c r="H320" s="195"/>
      <c r="I320" s="195"/>
      <c r="J320" s="196"/>
      <c r="K320" s="197"/>
      <c r="L320" s="198"/>
      <c r="M320" s="199"/>
      <c r="N320" s="200"/>
      <c r="O320" s="201"/>
      <c r="P320" s="201"/>
      <c r="Q320" s="201"/>
      <c r="R320" s="201"/>
      <c r="S320" s="201"/>
      <c r="T320" s="201"/>
      <c r="U320" s="201"/>
      <c r="V320" s="201"/>
      <c r="W320" s="201"/>
      <c r="X320" s="202"/>
      <c r="Y320" s="203"/>
      <c r="Z320" s="204"/>
      <c r="AA320" s="205"/>
      <c r="AB320" s="206"/>
      <c r="AC320" s="206"/>
      <c r="AD320" s="194"/>
      <c r="AE320" s="201"/>
      <c r="AF320" s="207"/>
      <c r="AG320" s="208"/>
      <c r="AH320" s="209"/>
      <c r="AI320" s="210"/>
      <c r="AJ320" s="197"/>
      <c r="AK320" s="201"/>
      <c r="AL320" s="196"/>
      <c r="AM320" s="201"/>
      <c r="AN320" s="201"/>
      <c r="AO320" s="201"/>
      <c r="AP320" s="211"/>
      <c r="AQ320" s="212"/>
      <c r="AR320" s="201"/>
      <c r="AS320" s="201"/>
      <c r="AT320" s="201"/>
      <c r="AU320" s="201"/>
      <c r="AV320" s="202"/>
      <c r="AW320" s="194"/>
      <c r="AX320" s="201"/>
      <c r="AY320" s="213"/>
      <c r="AZ320" s="214"/>
      <c r="BA320" s="215"/>
      <c r="BB320" s="216"/>
      <c r="BC320" s="217" t="str">
        <f t="shared" si="52"/>
        <v/>
      </c>
      <c r="BD320" s="218"/>
      <c r="BE320" s="219"/>
      <c r="BF320" s="220"/>
      <c r="BG320" s="219"/>
      <c r="BH320" s="219"/>
      <c r="BI320" s="220"/>
      <c r="BJ320" s="218"/>
      <c r="BK320" s="219"/>
      <c r="BL320" s="197"/>
      <c r="BM320" s="215"/>
      <c r="BN320" s="221"/>
      <c r="BO320" s="222" t="str">
        <f t="shared" si="53"/>
        <v/>
      </c>
      <c r="BP320" s="217" t="str">
        <f t="shared" si="54"/>
        <v/>
      </c>
      <c r="BQ320" s="215"/>
      <c r="BR320" s="224"/>
      <c r="BS320" s="225"/>
      <c r="BT320" s="223"/>
      <c r="BU320" s="215"/>
      <c r="BV320" s="226"/>
      <c r="BW320" s="222" t="str">
        <f t="shared" si="55"/>
        <v/>
      </c>
      <c r="BX320" s="223" t="str">
        <f t="shared" si="56"/>
        <v/>
      </c>
      <c r="BY320" s="215"/>
      <c r="BZ320" s="227"/>
      <c r="CA320" s="227"/>
      <c r="CB320" s="228"/>
      <c r="CC320" s="229"/>
      <c r="CD320" s="230" t="str">
        <f t="shared" si="57"/>
        <v/>
      </c>
      <c r="CE320" s="231" t="str">
        <f t="shared" si="58"/>
        <v/>
      </c>
      <c r="CF320" s="232" t="str">
        <f t="shared" si="59"/>
        <v/>
      </c>
      <c r="CG320" s="233" t="str">
        <f t="shared" si="60"/>
        <v/>
      </c>
      <c r="CH320" s="207" t="str">
        <f>IF(OR(G320="",CC320= ""), "", IF(ISERROR(SMALL((CJ320,CN320,CV320), 1)-CC320), "",  SMALL((CJ320,CN320,CV320), 1)-CC320))</f>
        <v/>
      </c>
      <c r="CI320" s="234"/>
      <c r="CJ320" s="235"/>
      <c r="CK320" s="236"/>
      <c r="CL320" s="222" t="str">
        <f t="shared" si="61"/>
        <v/>
      </c>
      <c r="CM320" s="237" t="str">
        <f>IF(OR(G320="", CJ320="",CK320=""), "", IF(ISERROR(SMALL((CN320,CV320), 1)-CK320), "",  SMALL((CN320,CV320), 1)-CK320))</f>
        <v/>
      </c>
      <c r="CN320" s="235"/>
      <c r="CO320" s="236"/>
      <c r="CP320" s="224" t="str">
        <f t="shared" si="62"/>
        <v/>
      </c>
      <c r="CQ320" s="235"/>
      <c r="CR320" s="236"/>
      <c r="CS320" s="222" t="str">
        <f t="shared" si="63"/>
        <v/>
      </c>
      <c r="CT320" s="237" t="str">
        <f t="shared" si="64"/>
        <v/>
      </c>
      <c r="CU320" s="238"/>
      <c r="CV320" s="239"/>
      <c r="CW320" s="240"/>
    </row>
    <row r="321" spans="2:101" ht="16.5" customHeight="1">
      <c r="B321" s="122"/>
      <c r="E321" s="122"/>
      <c r="F321" s="194"/>
      <c r="G321" s="195"/>
      <c r="H321" s="195"/>
      <c r="I321" s="195"/>
      <c r="J321" s="196"/>
      <c r="K321" s="197"/>
      <c r="L321" s="198"/>
      <c r="M321" s="199"/>
      <c r="N321" s="200"/>
      <c r="O321" s="201"/>
      <c r="P321" s="201"/>
      <c r="Q321" s="201"/>
      <c r="R321" s="201"/>
      <c r="S321" s="201"/>
      <c r="T321" s="201"/>
      <c r="U321" s="201"/>
      <c r="V321" s="201"/>
      <c r="W321" s="201"/>
      <c r="X321" s="202"/>
      <c r="Y321" s="203"/>
      <c r="Z321" s="204"/>
      <c r="AA321" s="205"/>
      <c r="AB321" s="206"/>
      <c r="AC321" s="206"/>
      <c r="AD321" s="194"/>
      <c r="AE321" s="201"/>
      <c r="AF321" s="207"/>
      <c r="AG321" s="208"/>
      <c r="AH321" s="209"/>
      <c r="AI321" s="210"/>
      <c r="AJ321" s="197"/>
      <c r="AK321" s="201"/>
      <c r="AL321" s="196"/>
      <c r="AM321" s="201"/>
      <c r="AN321" s="201"/>
      <c r="AO321" s="201"/>
      <c r="AP321" s="211"/>
      <c r="AQ321" s="212"/>
      <c r="AR321" s="201"/>
      <c r="AS321" s="201"/>
      <c r="AT321" s="201"/>
      <c r="AU321" s="201"/>
      <c r="AV321" s="202"/>
      <c r="AW321" s="194"/>
      <c r="AX321" s="201"/>
      <c r="AY321" s="213"/>
      <c r="AZ321" s="214"/>
      <c r="BA321" s="215"/>
      <c r="BB321" s="216"/>
      <c r="BC321" s="217" t="str">
        <f t="shared" si="52"/>
        <v/>
      </c>
      <c r="BD321" s="218"/>
      <c r="BE321" s="219"/>
      <c r="BF321" s="220"/>
      <c r="BG321" s="219"/>
      <c r="BH321" s="219"/>
      <c r="BI321" s="220"/>
      <c r="BJ321" s="218"/>
      <c r="BK321" s="219"/>
      <c r="BL321" s="197"/>
      <c r="BM321" s="215"/>
      <c r="BN321" s="221"/>
      <c r="BO321" s="222" t="str">
        <f t="shared" si="53"/>
        <v/>
      </c>
      <c r="BP321" s="217" t="str">
        <f t="shared" si="54"/>
        <v/>
      </c>
      <c r="BQ321" s="215"/>
      <c r="BR321" s="224"/>
      <c r="BS321" s="225"/>
      <c r="BT321" s="223"/>
      <c r="BU321" s="215"/>
      <c r="BV321" s="226"/>
      <c r="BW321" s="222" t="str">
        <f t="shared" si="55"/>
        <v/>
      </c>
      <c r="BX321" s="223" t="str">
        <f t="shared" si="56"/>
        <v/>
      </c>
      <c r="BY321" s="215"/>
      <c r="BZ321" s="227"/>
      <c r="CA321" s="227"/>
      <c r="CB321" s="228"/>
      <c r="CC321" s="229"/>
      <c r="CD321" s="230" t="str">
        <f t="shared" si="57"/>
        <v/>
      </c>
      <c r="CE321" s="231" t="str">
        <f t="shared" si="58"/>
        <v/>
      </c>
      <c r="CF321" s="232" t="str">
        <f t="shared" si="59"/>
        <v/>
      </c>
      <c r="CG321" s="233" t="str">
        <f t="shared" si="60"/>
        <v/>
      </c>
      <c r="CH321" s="207" t="str">
        <f>IF(OR(G321="",CC321= ""), "", IF(ISERROR(SMALL((CJ321,CN321,CV321), 1)-CC321), "",  SMALL((CJ321,CN321,CV321), 1)-CC321))</f>
        <v/>
      </c>
      <c r="CI321" s="234"/>
      <c r="CJ321" s="235"/>
      <c r="CK321" s="236"/>
      <c r="CL321" s="222" t="str">
        <f t="shared" si="61"/>
        <v/>
      </c>
      <c r="CM321" s="237" t="str">
        <f>IF(OR(G321="", CJ321="",CK321=""), "", IF(ISERROR(SMALL((CN321,CV321), 1)-CK321), "",  SMALL((CN321,CV321), 1)-CK321))</f>
        <v/>
      </c>
      <c r="CN321" s="235"/>
      <c r="CO321" s="236"/>
      <c r="CP321" s="224" t="str">
        <f t="shared" si="62"/>
        <v/>
      </c>
      <c r="CQ321" s="235"/>
      <c r="CR321" s="236"/>
      <c r="CS321" s="222" t="str">
        <f t="shared" si="63"/>
        <v/>
      </c>
      <c r="CT321" s="237" t="str">
        <f t="shared" si="64"/>
        <v/>
      </c>
      <c r="CU321" s="238"/>
      <c r="CV321" s="239"/>
      <c r="CW321" s="240"/>
    </row>
    <row r="322" spans="2:101" ht="16.5" customHeight="1">
      <c r="B322" s="122"/>
      <c r="E322" s="122"/>
      <c r="F322" s="194"/>
      <c r="G322" s="195"/>
      <c r="H322" s="195"/>
      <c r="I322" s="195"/>
      <c r="J322" s="196"/>
      <c r="K322" s="197"/>
      <c r="L322" s="198"/>
      <c r="M322" s="199"/>
      <c r="N322" s="200"/>
      <c r="O322" s="201"/>
      <c r="P322" s="201"/>
      <c r="Q322" s="201"/>
      <c r="R322" s="201"/>
      <c r="S322" s="201"/>
      <c r="T322" s="201"/>
      <c r="U322" s="201"/>
      <c r="V322" s="201"/>
      <c r="W322" s="201"/>
      <c r="X322" s="202"/>
      <c r="Y322" s="203"/>
      <c r="Z322" s="204"/>
      <c r="AA322" s="205"/>
      <c r="AB322" s="206"/>
      <c r="AC322" s="206"/>
      <c r="AD322" s="194"/>
      <c r="AE322" s="201"/>
      <c r="AF322" s="207"/>
      <c r="AG322" s="208"/>
      <c r="AH322" s="209"/>
      <c r="AI322" s="210"/>
      <c r="AJ322" s="197"/>
      <c r="AK322" s="201"/>
      <c r="AL322" s="196"/>
      <c r="AM322" s="201"/>
      <c r="AN322" s="201"/>
      <c r="AO322" s="201"/>
      <c r="AP322" s="211"/>
      <c r="AQ322" s="212"/>
      <c r="AR322" s="201"/>
      <c r="AS322" s="201"/>
      <c r="AT322" s="201"/>
      <c r="AU322" s="201"/>
      <c r="AV322" s="202"/>
      <c r="AW322" s="194"/>
      <c r="AX322" s="201"/>
      <c r="AY322" s="213"/>
      <c r="AZ322" s="214"/>
      <c r="BA322" s="215"/>
      <c r="BB322" s="216"/>
      <c r="BC322" s="217" t="str">
        <f t="shared" si="52"/>
        <v/>
      </c>
      <c r="BD322" s="218"/>
      <c r="BE322" s="219"/>
      <c r="BF322" s="220"/>
      <c r="BG322" s="219"/>
      <c r="BH322" s="219"/>
      <c r="BI322" s="220"/>
      <c r="BJ322" s="218"/>
      <c r="BK322" s="219"/>
      <c r="BL322" s="197"/>
      <c r="BM322" s="215"/>
      <c r="BN322" s="221"/>
      <c r="BO322" s="222" t="str">
        <f t="shared" si="53"/>
        <v/>
      </c>
      <c r="BP322" s="217" t="str">
        <f t="shared" si="54"/>
        <v/>
      </c>
      <c r="BQ322" s="215"/>
      <c r="BR322" s="224"/>
      <c r="BS322" s="225"/>
      <c r="BT322" s="223"/>
      <c r="BU322" s="215"/>
      <c r="BV322" s="226"/>
      <c r="BW322" s="222" t="str">
        <f t="shared" si="55"/>
        <v/>
      </c>
      <c r="BX322" s="223" t="str">
        <f t="shared" si="56"/>
        <v/>
      </c>
      <c r="BY322" s="215"/>
      <c r="BZ322" s="227"/>
      <c r="CA322" s="227"/>
      <c r="CB322" s="228"/>
      <c r="CC322" s="229"/>
      <c r="CD322" s="230" t="str">
        <f t="shared" si="57"/>
        <v/>
      </c>
      <c r="CE322" s="231" t="str">
        <f t="shared" si="58"/>
        <v/>
      </c>
      <c r="CF322" s="232" t="str">
        <f t="shared" si="59"/>
        <v/>
      </c>
      <c r="CG322" s="233" t="str">
        <f t="shared" si="60"/>
        <v/>
      </c>
      <c r="CH322" s="207" t="str">
        <f>IF(OR(G322="",CC322= ""), "", IF(ISERROR(SMALL((CJ322,CN322,CV322), 1)-CC322), "",  SMALL((CJ322,CN322,CV322), 1)-CC322))</f>
        <v/>
      </c>
      <c r="CI322" s="234"/>
      <c r="CJ322" s="235"/>
      <c r="CK322" s="236"/>
      <c r="CL322" s="222" t="str">
        <f t="shared" si="61"/>
        <v/>
      </c>
      <c r="CM322" s="237" t="str">
        <f>IF(OR(G322="", CJ322="",CK322=""), "", IF(ISERROR(SMALL((CN322,CV322), 1)-CK322), "",  SMALL((CN322,CV322), 1)-CK322))</f>
        <v/>
      </c>
      <c r="CN322" s="235"/>
      <c r="CO322" s="236"/>
      <c r="CP322" s="224" t="str">
        <f t="shared" si="62"/>
        <v/>
      </c>
      <c r="CQ322" s="235"/>
      <c r="CR322" s="236"/>
      <c r="CS322" s="222" t="str">
        <f t="shared" si="63"/>
        <v/>
      </c>
      <c r="CT322" s="237" t="str">
        <f t="shared" si="64"/>
        <v/>
      </c>
      <c r="CU322" s="238"/>
      <c r="CV322" s="239"/>
      <c r="CW322" s="240"/>
    </row>
    <row r="323" spans="2:101" ht="16.5" customHeight="1">
      <c r="B323" s="122"/>
      <c r="E323" s="122"/>
      <c r="F323" s="194"/>
      <c r="G323" s="195"/>
      <c r="H323" s="195"/>
      <c r="I323" s="195"/>
      <c r="J323" s="196"/>
      <c r="K323" s="197"/>
      <c r="L323" s="198"/>
      <c r="M323" s="199"/>
      <c r="N323" s="200"/>
      <c r="O323" s="201"/>
      <c r="P323" s="201"/>
      <c r="Q323" s="201"/>
      <c r="R323" s="201"/>
      <c r="S323" s="201"/>
      <c r="T323" s="201"/>
      <c r="U323" s="201"/>
      <c r="V323" s="201"/>
      <c r="W323" s="201"/>
      <c r="X323" s="202"/>
      <c r="Y323" s="203"/>
      <c r="Z323" s="204"/>
      <c r="AA323" s="205"/>
      <c r="AB323" s="206"/>
      <c r="AC323" s="206"/>
      <c r="AD323" s="194"/>
      <c r="AE323" s="201"/>
      <c r="AF323" s="207"/>
      <c r="AG323" s="208"/>
      <c r="AH323" s="209"/>
      <c r="AI323" s="210"/>
      <c r="AJ323" s="197"/>
      <c r="AK323" s="201"/>
      <c r="AL323" s="196"/>
      <c r="AM323" s="201"/>
      <c r="AN323" s="201"/>
      <c r="AO323" s="201"/>
      <c r="AP323" s="211"/>
      <c r="AQ323" s="212"/>
      <c r="AR323" s="201"/>
      <c r="AS323" s="201"/>
      <c r="AT323" s="201"/>
      <c r="AU323" s="201"/>
      <c r="AV323" s="202"/>
      <c r="AW323" s="194"/>
      <c r="AX323" s="201"/>
      <c r="AY323" s="213"/>
      <c r="AZ323" s="214"/>
      <c r="BA323" s="215"/>
      <c r="BB323" s="216"/>
      <c r="BC323" s="217" t="str">
        <f t="shared" si="52"/>
        <v/>
      </c>
      <c r="BD323" s="218"/>
      <c r="BE323" s="219"/>
      <c r="BF323" s="220"/>
      <c r="BG323" s="219"/>
      <c r="BH323" s="219"/>
      <c r="BI323" s="220"/>
      <c r="BJ323" s="218"/>
      <c r="BK323" s="219"/>
      <c r="BL323" s="197"/>
      <c r="BM323" s="215"/>
      <c r="BN323" s="221"/>
      <c r="BO323" s="222" t="str">
        <f t="shared" si="53"/>
        <v/>
      </c>
      <c r="BP323" s="217" t="str">
        <f t="shared" si="54"/>
        <v/>
      </c>
      <c r="BQ323" s="215"/>
      <c r="BR323" s="224"/>
      <c r="BS323" s="225"/>
      <c r="BT323" s="223"/>
      <c r="BU323" s="215"/>
      <c r="BV323" s="226"/>
      <c r="BW323" s="222" t="str">
        <f t="shared" si="55"/>
        <v/>
      </c>
      <c r="BX323" s="223" t="str">
        <f t="shared" si="56"/>
        <v/>
      </c>
      <c r="BY323" s="215"/>
      <c r="BZ323" s="227"/>
      <c r="CA323" s="227"/>
      <c r="CB323" s="228"/>
      <c r="CC323" s="229"/>
      <c r="CD323" s="230" t="str">
        <f t="shared" si="57"/>
        <v/>
      </c>
      <c r="CE323" s="231" t="str">
        <f t="shared" si="58"/>
        <v/>
      </c>
      <c r="CF323" s="232" t="str">
        <f t="shared" si="59"/>
        <v/>
      </c>
      <c r="CG323" s="233" t="str">
        <f t="shared" si="60"/>
        <v/>
      </c>
      <c r="CH323" s="207" t="str">
        <f>IF(OR(G323="",CC323= ""), "", IF(ISERROR(SMALL((CJ323,CN323,CV323), 1)-CC323), "",  SMALL((CJ323,CN323,CV323), 1)-CC323))</f>
        <v/>
      </c>
      <c r="CI323" s="234"/>
      <c r="CJ323" s="235"/>
      <c r="CK323" s="236"/>
      <c r="CL323" s="222" t="str">
        <f t="shared" si="61"/>
        <v/>
      </c>
      <c r="CM323" s="237" t="str">
        <f>IF(OR(G323="", CJ323="",CK323=""), "", IF(ISERROR(SMALL((CN323,CV323), 1)-CK323), "",  SMALL((CN323,CV323), 1)-CK323))</f>
        <v/>
      </c>
      <c r="CN323" s="235"/>
      <c r="CO323" s="236"/>
      <c r="CP323" s="224" t="str">
        <f t="shared" si="62"/>
        <v/>
      </c>
      <c r="CQ323" s="235"/>
      <c r="CR323" s="236"/>
      <c r="CS323" s="222" t="str">
        <f t="shared" si="63"/>
        <v/>
      </c>
      <c r="CT323" s="237" t="str">
        <f t="shared" si="64"/>
        <v/>
      </c>
      <c r="CU323" s="238"/>
      <c r="CV323" s="239"/>
      <c r="CW323" s="240"/>
    </row>
    <row r="324" spans="2:101" ht="16.5" customHeight="1">
      <c r="B324" s="122"/>
      <c r="E324" s="122"/>
      <c r="F324" s="194"/>
      <c r="G324" s="195"/>
      <c r="H324" s="195"/>
      <c r="I324" s="195"/>
      <c r="J324" s="196"/>
      <c r="K324" s="197"/>
      <c r="L324" s="198"/>
      <c r="M324" s="199"/>
      <c r="N324" s="200"/>
      <c r="O324" s="201"/>
      <c r="P324" s="201"/>
      <c r="Q324" s="201"/>
      <c r="R324" s="201"/>
      <c r="S324" s="201"/>
      <c r="T324" s="201"/>
      <c r="U324" s="201"/>
      <c r="V324" s="201"/>
      <c r="W324" s="201"/>
      <c r="X324" s="202"/>
      <c r="Y324" s="203"/>
      <c r="Z324" s="204"/>
      <c r="AA324" s="205"/>
      <c r="AB324" s="206"/>
      <c r="AC324" s="206"/>
      <c r="AD324" s="194"/>
      <c r="AE324" s="201"/>
      <c r="AF324" s="207"/>
      <c r="AG324" s="208"/>
      <c r="AH324" s="209"/>
      <c r="AI324" s="210"/>
      <c r="AJ324" s="197"/>
      <c r="AK324" s="201"/>
      <c r="AL324" s="196"/>
      <c r="AM324" s="201"/>
      <c r="AN324" s="201"/>
      <c r="AO324" s="201"/>
      <c r="AP324" s="211"/>
      <c r="AQ324" s="212"/>
      <c r="AR324" s="201"/>
      <c r="AS324" s="201"/>
      <c r="AT324" s="201"/>
      <c r="AU324" s="201"/>
      <c r="AV324" s="202"/>
      <c r="AW324" s="194"/>
      <c r="AX324" s="201"/>
      <c r="AY324" s="213"/>
      <c r="AZ324" s="214"/>
      <c r="BA324" s="215"/>
      <c r="BB324" s="216"/>
      <c r="BC324" s="217" t="str">
        <f t="shared" si="52"/>
        <v/>
      </c>
      <c r="BD324" s="218"/>
      <c r="BE324" s="219"/>
      <c r="BF324" s="220"/>
      <c r="BG324" s="219"/>
      <c r="BH324" s="219"/>
      <c r="BI324" s="220"/>
      <c r="BJ324" s="218"/>
      <c r="BK324" s="219"/>
      <c r="BL324" s="197"/>
      <c r="BM324" s="215"/>
      <c r="BN324" s="221"/>
      <c r="BO324" s="222" t="str">
        <f t="shared" si="53"/>
        <v/>
      </c>
      <c r="BP324" s="217" t="str">
        <f t="shared" si="54"/>
        <v/>
      </c>
      <c r="BQ324" s="215"/>
      <c r="BR324" s="224"/>
      <c r="BS324" s="225"/>
      <c r="BT324" s="223"/>
      <c r="BU324" s="215"/>
      <c r="BV324" s="226"/>
      <c r="BW324" s="222" t="str">
        <f t="shared" si="55"/>
        <v/>
      </c>
      <c r="BX324" s="223" t="str">
        <f t="shared" si="56"/>
        <v/>
      </c>
      <c r="BY324" s="215"/>
      <c r="BZ324" s="227"/>
      <c r="CA324" s="227"/>
      <c r="CB324" s="228"/>
      <c r="CC324" s="229"/>
      <c r="CD324" s="230" t="str">
        <f t="shared" si="57"/>
        <v/>
      </c>
      <c r="CE324" s="231" t="str">
        <f t="shared" si="58"/>
        <v/>
      </c>
      <c r="CF324" s="232" t="str">
        <f t="shared" si="59"/>
        <v/>
      </c>
      <c r="CG324" s="233" t="str">
        <f t="shared" si="60"/>
        <v/>
      </c>
      <c r="CH324" s="207" t="str">
        <f>IF(OR(G324="",CC324= ""), "", IF(ISERROR(SMALL((CJ324,CN324,CV324), 1)-CC324), "",  SMALL((CJ324,CN324,CV324), 1)-CC324))</f>
        <v/>
      </c>
      <c r="CI324" s="234"/>
      <c r="CJ324" s="235"/>
      <c r="CK324" s="236"/>
      <c r="CL324" s="222" t="str">
        <f t="shared" si="61"/>
        <v/>
      </c>
      <c r="CM324" s="237" t="str">
        <f>IF(OR(G324="", CJ324="",CK324=""), "", IF(ISERROR(SMALL((CN324,CV324), 1)-CK324), "",  SMALL((CN324,CV324), 1)-CK324))</f>
        <v/>
      </c>
      <c r="CN324" s="235"/>
      <c r="CO324" s="236"/>
      <c r="CP324" s="224" t="str">
        <f t="shared" si="62"/>
        <v/>
      </c>
      <c r="CQ324" s="235"/>
      <c r="CR324" s="236"/>
      <c r="CS324" s="222" t="str">
        <f t="shared" si="63"/>
        <v/>
      </c>
      <c r="CT324" s="237" t="str">
        <f t="shared" si="64"/>
        <v/>
      </c>
      <c r="CU324" s="238"/>
      <c r="CV324" s="239"/>
      <c r="CW324" s="240"/>
    </row>
    <row r="325" spans="2:101" ht="16.5" customHeight="1">
      <c r="B325" s="122"/>
      <c r="E325" s="122"/>
      <c r="F325" s="194"/>
      <c r="G325" s="195"/>
      <c r="H325" s="195"/>
      <c r="I325" s="195"/>
      <c r="J325" s="196"/>
      <c r="K325" s="197"/>
      <c r="L325" s="198"/>
      <c r="M325" s="199"/>
      <c r="N325" s="200"/>
      <c r="O325" s="201"/>
      <c r="P325" s="201"/>
      <c r="Q325" s="201"/>
      <c r="R325" s="201"/>
      <c r="S325" s="201"/>
      <c r="T325" s="201"/>
      <c r="U325" s="201"/>
      <c r="V325" s="201"/>
      <c r="W325" s="201"/>
      <c r="X325" s="202"/>
      <c r="Y325" s="203"/>
      <c r="Z325" s="204"/>
      <c r="AA325" s="205"/>
      <c r="AB325" s="206"/>
      <c r="AC325" s="206"/>
      <c r="AD325" s="194"/>
      <c r="AE325" s="201"/>
      <c r="AF325" s="207"/>
      <c r="AG325" s="208"/>
      <c r="AH325" s="209"/>
      <c r="AI325" s="210"/>
      <c r="AJ325" s="197"/>
      <c r="AK325" s="201"/>
      <c r="AL325" s="196"/>
      <c r="AM325" s="201"/>
      <c r="AN325" s="201"/>
      <c r="AO325" s="201"/>
      <c r="AP325" s="211"/>
      <c r="AQ325" s="212"/>
      <c r="AR325" s="201"/>
      <c r="AS325" s="201"/>
      <c r="AT325" s="201"/>
      <c r="AU325" s="201"/>
      <c r="AV325" s="202"/>
      <c r="AW325" s="194"/>
      <c r="AX325" s="201"/>
      <c r="AY325" s="213"/>
      <c r="AZ325" s="214"/>
      <c r="BA325" s="215"/>
      <c r="BB325" s="216"/>
      <c r="BC325" s="217" t="str">
        <f t="shared" si="52"/>
        <v/>
      </c>
      <c r="BD325" s="218"/>
      <c r="BE325" s="219"/>
      <c r="BF325" s="220"/>
      <c r="BG325" s="219"/>
      <c r="BH325" s="219"/>
      <c r="BI325" s="220"/>
      <c r="BJ325" s="218"/>
      <c r="BK325" s="219"/>
      <c r="BL325" s="197"/>
      <c r="BM325" s="215"/>
      <c r="BN325" s="221"/>
      <c r="BO325" s="222" t="str">
        <f t="shared" si="53"/>
        <v/>
      </c>
      <c r="BP325" s="217" t="str">
        <f t="shared" si="54"/>
        <v/>
      </c>
      <c r="BQ325" s="215"/>
      <c r="BR325" s="224"/>
      <c r="BS325" s="225"/>
      <c r="BT325" s="223"/>
      <c r="BU325" s="215"/>
      <c r="BV325" s="226"/>
      <c r="BW325" s="222" t="str">
        <f t="shared" si="55"/>
        <v/>
      </c>
      <c r="BX325" s="223" t="str">
        <f t="shared" si="56"/>
        <v/>
      </c>
      <c r="BY325" s="215"/>
      <c r="BZ325" s="227"/>
      <c r="CA325" s="227"/>
      <c r="CB325" s="228"/>
      <c r="CC325" s="229"/>
      <c r="CD325" s="230" t="str">
        <f t="shared" si="57"/>
        <v/>
      </c>
      <c r="CE325" s="231" t="str">
        <f t="shared" si="58"/>
        <v/>
      </c>
      <c r="CF325" s="232" t="str">
        <f t="shared" si="59"/>
        <v/>
      </c>
      <c r="CG325" s="233" t="str">
        <f t="shared" si="60"/>
        <v/>
      </c>
      <c r="CH325" s="207" t="str">
        <f>IF(OR(G325="",CC325= ""), "", IF(ISERROR(SMALL((CJ325,CN325,CV325), 1)-CC325), "",  SMALL((CJ325,CN325,CV325), 1)-CC325))</f>
        <v/>
      </c>
      <c r="CI325" s="234"/>
      <c r="CJ325" s="235"/>
      <c r="CK325" s="236"/>
      <c r="CL325" s="222" t="str">
        <f t="shared" si="61"/>
        <v/>
      </c>
      <c r="CM325" s="237" t="str">
        <f>IF(OR(G325="", CJ325="",CK325=""), "", IF(ISERROR(SMALL((CN325,CV325), 1)-CK325), "",  SMALL((CN325,CV325), 1)-CK325))</f>
        <v/>
      </c>
      <c r="CN325" s="235"/>
      <c r="CO325" s="236"/>
      <c r="CP325" s="224" t="str">
        <f t="shared" si="62"/>
        <v/>
      </c>
      <c r="CQ325" s="235"/>
      <c r="CR325" s="236"/>
      <c r="CS325" s="222" t="str">
        <f t="shared" si="63"/>
        <v/>
      </c>
      <c r="CT325" s="237" t="str">
        <f t="shared" si="64"/>
        <v/>
      </c>
      <c r="CU325" s="238"/>
      <c r="CV325" s="239"/>
      <c r="CW325" s="240"/>
    </row>
    <row r="326" spans="2:101" ht="16.5" customHeight="1">
      <c r="B326" s="122"/>
      <c r="E326" s="122"/>
      <c r="F326" s="194"/>
      <c r="G326" s="195"/>
      <c r="H326" s="195"/>
      <c r="I326" s="195"/>
      <c r="J326" s="196"/>
      <c r="K326" s="197"/>
      <c r="L326" s="198"/>
      <c r="M326" s="199"/>
      <c r="N326" s="200"/>
      <c r="O326" s="201"/>
      <c r="P326" s="201"/>
      <c r="Q326" s="201"/>
      <c r="R326" s="201"/>
      <c r="S326" s="201"/>
      <c r="T326" s="201"/>
      <c r="U326" s="201"/>
      <c r="V326" s="201"/>
      <c r="W326" s="201"/>
      <c r="X326" s="202"/>
      <c r="Y326" s="203"/>
      <c r="Z326" s="204"/>
      <c r="AA326" s="205"/>
      <c r="AB326" s="206"/>
      <c r="AC326" s="206"/>
      <c r="AD326" s="194"/>
      <c r="AE326" s="201"/>
      <c r="AF326" s="207"/>
      <c r="AG326" s="208"/>
      <c r="AH326" s="209"/>
      <c r="AI326" s="210"/>
      <c r="AJ326" s="197"/>
      <c r="AK326" s="201"/>
      <c r="AL326" s="196"/>
      <c r="AM326" s="201"/>
      <c r="AN326" s="201"/>
      <c r="AO326" s="201"/>
      <c r="AP326" s="211"/>
      <c r="AQ326" s="212"/>
      <c r="AR326" s="201"/>
      <c r="AS326" s="201"/>
      <c r="AT326" s="201"/>
      <c r="AU326" s="201"/>
      <c r="AV326" s="202"/>
      <c r="AW326" s="194"/>
      <c r="AX326" s="201"/>
      <c r="AY326" s="213"/>
      <c r="AZ326" s="214"/>
      <c r="BA326" s="215"/>
      <c r="BB326" s="216"/>
      <c r="BC326" s="217" t="str">
        <f t="shared" si="52"/>
        <v/>
      </c>
      <c r="BD326" s="218"/>
      <c r="BE326" s="219"/>
      <c r="BF326" s="220"/>
      <c r="BG326" s="219"/>
      <c r="BH326" s="219"/>
      <c r="BI326" s="220"/>
      <c r="BJ326" s="218"/>
      <c r="BK326" s="219"/>
      <c r="BL326" s="197"/>
      <c r="BM326" s="215"/>
      <c r="BN326" s="221"/>
      <c r="BO326" s="222" t="str">
        <f t="shared" si="53"/>
        <v/>
      </c>
      <c r="BP326" s="217" t="str">
        <f t="shared" si="54"/>
        <v/>
      </c>
      <c r="BQ326" s="215"/>
      <c r="BR326" s="224"/>
      <c r="BS326" s="225"/>
      <c r="BT326" s="223"/>
      <c r="BU326" s="215"/>
      <c r="BV326" s="226"/>
      <c r="BW326" s="222" t="str">
        <f t="shared" si="55"/>
        <v/>
      </c>
      <c r="BX326" s="223" t="str">
        <f t="shared" si="56"/>
        <v/>
      </c>
      <c r="BY326" s="215"/>
      <c r="BZ326" s="227"/>
      <c r="CA326" s="227"/>
      <c r="CB326" s="228"/>
      <c r="CC326" s="229"/>
      <c r="CD326" s="230" t="str">
        <f t="shared" si="57"/>
        <v/>
      </c>
      <c r="CE326" s="231" t="str">
        <f t="shared" si="58"/>
        <v/>
      </c>
      <c r="CF326" s="232" t="str">
        <f t="shared" si="59"/>
        <v/>
      </c>
      <c r="CG326" s="233" t="str">
        <f t="shared" si="60"/>
        <v/>
      </c>
      <c r="CH326" s="207" t="str">
        <f>IF(OR(G326="",CC326= ""), "", IF(ISERROR(SMALL((CJ326,CN326,CV326), 1)-CC326), "",  SMALL((CJ326,CN326,CV326), 1)-CC326))</f>
        <v/>
      </c>
      <c r="CI326" s="234"/>
      <c r="CJ326" s="235"/>
      <c r="CK326" s="236"/>
      <c r="CL326" s="222" t="str">
        <f t="shared" si="61"/>
        <v/>
      </c>
      <c r="CM326" s="237" t="str">
        <f>IF(OR(G326="", CJ326="",CK326=""), "", IF(ISERROR(SMALL((CN326,CV326), 1)-CK326), "",  SMALL((CN326,CV326), 1)-CK326))</f>
        <v/>
      </c>
      <c r="CN326" s="235"/>
      <c r="CO326" s="236"/>
      <c r="CP326" s="224" t="str">
        <f t="shared" si="62"/>
        <v/>
      </c>
      <c r="CQ326" s="235"/>
      <c r="CR326" s="236"/>
      <c r="CS326" s="222" t="str">
        <f t="shared" si="63"/>
        <v/>
      </c>
      <c r="CT326" s="237" t="str">
        <f t="shared" si="64"/>
        <v/>
      </c>
      <c r="CU326" s="238"/>
      <c r="CV326" s="239"/>
      <c r="CW326" s="240"/>
    </row>
    <row r="327" spans="2:101" ht="16.5" customHeight="1">
      <c r="B327" s="122"/>
      <c r="E327" s="122"/>
      <c r="F327" s="194"/>
      <c r="G327" s="195"/>
      <c r="H327" s="195"/>
      <c r="I327" s="195"/>
      <c r="J327" s="196"/>
      <c r="K327" s="197"/>
      <c r="L327" s="198"/>
      <c r="M327" s="199"/>
      <c r="N327" s="200"/>
      <c r="O327" s="201"/>
      <c r="P327" s="201"/>
      <c r="Q327" s="201"/>
      <c r="R327" s="201"/>
      <c r="S327" s="201"/>
      <c r="T327" s="201"/>
      <c r="U327" s="201"/>
      <c r="V327" s="201"/>
      <c r="W327" s="201"/>
      <c r="X327" s="202"/>
      <c r="Y327" s="203"/>
      <c r="Z327" s="204"/>
      <c r="AA327" s="205"/>
      <c r="AB327" s="206"/>
      <c r="AC327" s="206"/>
      <c r="AD327" s="194"/>
      <c r="AE327" s="201"/>
      <c r="AF327" s="207"/>
      <c r="AG327" s="208"/>
      <c r="AH327" s="209"/>
      <c r="AI327" s="210"/>
      <c r="AJ327" s="197"/>
      <c r="AK327" s="201"/>
      <c r="AL327" s="196"/>
      <c r="AM327" s="201"/>
      <c r="AN327" s="201"/>
      <c r="AO327" s="201"/>
      <c r="AP327" s="211"/>
      <c r="AQ327" s="212"/>
      <c r="AR327" s="201"/>
      <c r="AS327" s="201"/>
      <c r="AT327" s="201"/>
      <c r="AU327" s="201"/>
      <c r="AV327" s="202"/>
      <c r="AW327" s="194"/>
      <c r="AX327" s="201"/>
      <c r="AY327" s="213"/>
      <c r="AZ327" s="214"/>
      <c r="BA327" s="215"/>
      <c r="BB327" s="216"/>
      <c r="BC327" s="217" t="str">
        <f t="shared" si="52"/>
        <v/>
      </c>
      <c r="BD327" s="218"/>
      <c r="BE327" s="219"/>
      <c r="BF327" s="220"/>
      <c r="BG327" s="219"/>
      <c r="BH327" s="219"/>
      <c r="BI327" s="220"/>
      <c r="BJ327" s="218"/>
      <c r="BK327" s="219"/>
      <c r="BL327" s="197"/>
      <c r="BM327" s="215"/>
      <c r="BN327" s="221"/>
      <c r="BO327" s="222" t="str">
        <f t="shared" si="53"/>
        <v/>
      </c>
      <c r="BP327" s="217" t="str">
        <f t="shared" si="54"/>
        <v/>
      </c>
      <c r="BQ327" s="215"/>
      <c r="BR327" s="224"/>
      <c r="BS327" s="225"/>
      <c r="BT327" s="223"/>
      <c r="BU327" s="215"/>
      <c r="BV327" s="226"/>
      <c r="BW327" s="222" t="str">
        <f t="shared" si="55"/>
        <v/>
      </c>
      <c r="BX327" s="223" t="str">
        <f t="shared" si="56"/>
        <v/>
      </c>
      <c r="BY327" s="215"/>
      <c r="BZ327" s="227"/>
      <c r="CA327" s="227"/>
      <c r="CB327" s="228"/>
      <c r="CC327" s="229"/>
      <c r="CD327" s="230" t="str">
        <f t="shared" si="57"/>
        <v/>
      </c>
      <c r="CE327" s="231" t="str">
        <f t="shared" si="58"/>
        <v/>
      </c>
      <c r="CF327" s="232" t="str">
        <f t="shared" si="59"/>
        <v/>
      </c>
      <c r="CG327" s="233" t="str">
        <f t="shared" si="60"/>
        <v/>
      </c>
      <c r="CH327" s="207" t="str">
        <f>IF(OR(G327="",CC327= ""), "", IF(ISERROR(SMALL((CJ327,CN327,CV327), 1)-CC327), "",  SMALL((CJ327,CN327,CV327), 1)-CC327))</f>
        <v/>
      </c>
      <c r="CI327" s="234"/>
      <c r="CJ327" s="235"/>
      <c r="CK327" s="236"/>
      <c r="CL327" s="222" t="str">
        <f t="shared" si="61"/>
        <v/>
      </c>
      <c r="CM327" s="237" t="str">
        <f>IF(OR(G327="", CJ327="",CK327=""), "", IF(ISERROR(SMALL((CN327,CV327), 1)-CK327), "",  SMALL((CN327,CV327), 1)-CK327))</f>
        <v/>
      </c>
      <c r="CN327" s="235"/>
      <c r="CO327" s="236"/>
      <c r="CP327" s="224" t="str">
        <f t="shared" si="62"/>
        <v/>
      </c>
      <c r="CQ327" s="235"/>
      <c r="CR327" s="236"/>
      <c r="CS327" s="222" t="str">
        <f t="shared" si="63"/>
        <v/>
      </c>
      <c r="CT327" s="237" t="str">
        <f t="shared" si="64"/>
        <v/>
      </c>
      <c r="CU327" s="238"/>
      <c r="CV327" s="239"/>
      <c r="CW327" s="240"/>
    </row>
    <row r="328" spans="2:101" ht="16.5" customHeight="1">
      <c r="B328" s="122"/>
      <c r="E328" s="122"/>
      <c r="F328" s="194"/>
      <c r="G328" s="195"/>
      <c r="H328" s="195"/>
      <c r="I328" s="195"/>
      <c r="J328" s="196"/>
      <c r="K328" s="197"/>
      <c r="L328" s="198"/>
      <c r="M328" s="199"/>
      <c r="N328" s="200"/>
      <c r="O328" s="201"/>
      <c r="P328" s="201"/>
      <c r="Q328" s="201"/>
      <c r="R328" s="201"/>
      <c r="S328" s="201"/>
      <c r="T328" s="201"/>
      <c r="U328" s="201"/>
      <c r="V328" s="201"/>
      <c r="W328" s="201"/>
      <c r="X328" s="202"/>
      <c r="Y328" s="203"/>
      <c r="Z328" s="204"/>
      <c r="AA328" s="205"/>
      <c r="AB328" s="206"/>
      <c r="AC328" s="206"/>
      <c r="AD328" s="194"/>
      <c r="AE328" s="201"/>
      <c r="AF328" s="207"/>
      <c r="AG328" s="208"/>
      <c r="AH328" s="209"/>
      <c r="AI328" s="210"/>
      <c r="AJ328" s="197"/>
      <c r="AK328" s="201"/>
      <c r="AL328" s="196"/>
      <c r="AM328" s="201"/>
      <c r="AN328" s="201"/>
      <c r="AO328" s="201"/>
      <c r="AP328" s="211"/>
      <c r="AQ328" s="212"/>
      <c r="AR328" s="201"/>
      <c r="AS328" s="201"/>
      <c r="AT328" s="201"/>
      <c r="AU328" s="201"/>
      <c r="AV328" s="202"/>
      <c r="AW328" s="194"/>
      <c r="AX328" s="201"/>
      <c r="AY328" s="213"/>
      <c r="AZ328" s="214"/>
      <c r="BA328" s="215"/>
      <c r="BB328" s="216"/>
      <c r="BC328" s="217" t="str">
        <f t="shared" si="52"/>
        <v/>
      </c>
      <c r="BD328" s="218"/>
      <c r="BE328" s="219"/>
      <c r="BF328" s="220"/>
      <c r="BG328" s="219"/>
      <c r="BH328" s="219"/>
      <c r="BI328" s="220"/>
      <c r="BJ328" s="218"/>
      <c r="BK328" s="219"/>
      <c r="BL328" s="197"/>
      <c r="BM328" s="215"/>
      <c r="BN328" s="221"/>
      <c r="BO328" s="222" t="str">
        <f t="shared" si="53"/>
        <v/>
      </c>
      <c r="BP328" s="217" t="str">
        <f t="shared" si="54"/>
        <v/>
      </c>
      <c r="BQ328" s="215"/>
      <c r="BR328" s="224"/>
      <c r="BS328" s="225"/>
      <c r="BT328" s="223"/>
      <c r="BU328" s="215"/>
      <c r="BV328" s="226"/>
      <c r="BW328" s="222" t="str">
        <f t="shared" si="55"/>
        <v/>
      </c>
      <c r="BX328" s="223" t="str">
        <f t="shared" si="56"/>
        <v/>
      </c>
      <c r="BY328" s="215"/>
      <c r="BZ328" s="227"/>
      <c r="CA328" s="227"/>
      <c r="CB328" s="228"/>
      <c r="CC328" s="229"/>
      <c r="CD328" s="230" t="str">
        <f t="shared" si="57"/>
        <v/>
      </c>
      <c r="CE328" s="231" t="str">
        <f t="shared" si="58"/>
        <v/>
      </c>
      <c r="CF328" s="232" t="str">
        <f t="shared" si="59"/>
        <v/>
      </c>
      <c r="CG328" s="233" t="str">
        <f t="shared" si="60"/>
        <v/>
      </c>
      <c r="CH328" s="207" t="str">
        <f>IF(OR(G328="",CC328= ""), "", IF(ISERROR(SMALL((CJ328,CN328,CV328), 1)-CC328), "",  SMALL((CJ328,CN328,CV328), 1)-CC328))</f>
        <v/>
      </c>
      <c r="CI328" s="234"/>
      <c r="CJ328" s="235"/>
      <c r="CK328" s="236"/>
      <c r="CL328" s="222" t="str">
        <f t="shared" si="61"/>
        <v/>
      </c>
      <c r="CM328" s="237" t="str">
        <f>IF(OR(G328="", CJ328="",CK328=""), "", IF(ISERROR(SMALL((CN328,CV328), 1)-CK328), "",  SMALL((CN328,CV328), 1)-CK328))</f>
        <v/>
      </c>
      <c r="CN328" s="235"/>
      <c r="CO328" s="236"/>
      <c r="CP328" s="224" t="str">
        <f t="shared" si="62"/>
        <v/>
      </c>
      <c r="CQ328" s="235"/>
      <c r="CR328" s="236"/>
      <c r="CS328" s="222" t="str">
        <f t="shared" si="63"/>
        <v/>
      </c>
      <c r="CT328" s="237" t="str">
        <f t="shared" si="64"/>
        <v/>
      </c>
      <c r="CU328" s="238"/>
      <c r="CV328" s="239"/>
      <c r="CW328" s="240"/>
    </row>
    <row r="329" spans="2:101" ht="16.5" customHeight="1">
      <c r="B329" s="122"/>
      <c r="E329" s="122"/>
      <c r="F329" s="194"/>
      <c r="G329" s="195"/>
      <c r="H329" s="195"/>
      <c r="I329" s="195"/>
      <c r="J329" s="196"/>
      <c r="K329" s="197"/>
      <c r="L329" s="198"/>
      <c r="M329" s="199"/>
      <c r="N329" s="200"/>
      <c r="O329" s="201"/>
      <c r="P329" s="201"/>
      <c r="Q329" s="201"/>
      <c r="R329" s="201"/>
      <c r="S329" s="201"/>
      <c r="T329" s="201"/>
      <c r="U329" s="201"/>
      <c r="V329" s="201"/>
      <c r="W329" s="201"/>
      <c r="X329" s="202"/>
      <c r="Y329" s="203"/>
      <c r="Z329" s="204"/>
      <c r="AA329" s="205"/>
      <c r="AB329" s="206"/>
      <c r="AC329" s="206"/>
      <c r="AD329" s="194"/>
      <c r="AE329" s="201"/>
      <c r="AF329" s="207"/>
      <c r="AG329" s="208"/>
      <c r="AH329" s="209"/>
      <c r="AI329" s="210"/>
      <c r="AJ329" s="197"/>
      <c r="AK329" s="201"/>
      <c r="AL329" s="196"/>
      <c r="AM329" s="201"/>
      <c r="AN329" s="201"/>
      <c r="AO329" s="201"/>
      <c r="AP329" s="211"/>
      <c r="AQ329" s="212"/>
      <c r="AR329" s="201"/>
      <c r="AS329" s="201"/>
      <c r="AT329" s="201"/>
      <c r="AU329" s="201"/>
      <c r="AV329" s="202"/>
      <c r="AW329" s="194"/>
      <c r="AX329" s="201"/>
      <c r="AY329" s="213"/>
      <c r="AZ329" s="214"/>
      <c r="BA329" s="215"/>
      <c r="BB329" s="216"/>
      <c r="BC329" s="217" t="str">
        <f t="shared" ref="BC329:BC392" si="65">IF(OR($H329="", $BM329="", BB329=""), "", IF(ISERROR($BM329-BB329), "", $BM329-BB329))</f>
        <v/>
      </c>
      <c r="BD329" s="218"/>
      <c r="BE329" s="219"/>
      <c r="BF329" s="220"/>
      <c r="BG329" s="219"/>
      <c r="BH329" s="219"/>
      <c r="BI329" s="220"/>
      <c r="BJ329" s="218"/>
      <c r="BK329" s="219"/>
      <c r="BL329" s="197"/>
      <c r="BM329" s="215"/>
      <c r="BN329" s="221"/>
      <c r="BO329" s="222" t="str">
        <f t="shared" ref="BO329:BO392" si="66">IF(OR(G329="", BM329="", BN329=""), "", IF(ISERROR(BN329-BM329+1), "", BN329-BM329+1))</f>
        <v/>
      </c>
      <c r="BP329" s="217" t="str">
        <f t="shared" ref="BP329:BP392" si="67">IF(OR(G329="", BN329="", BY329=""), "", IF(ISERROR(BY329-BN329), "", BY329-BN329))</f>
        <v/>
      </c>
      <c r="BQ329" s="215"/>
      <c r="BR329" s="224"/>
      <c r="BS329" s="225"/>
      <c r="BT329" s="223"/>
      <c r="BU329" s="215"/>
      <c r="BV329" s="226"/>
      <c r="BW329" s="222" t="str">
        <f t="shared" ref="BW329:BW392" si="68">IF(OR(H329="", BU329="", BV329=""), "", IF(ISERROR(BV329-BU329+1), "", BV329-BU329+1))</f>
        <v/>
      </c>
      <c r="BX329" s="223" t="str">
        <f t="shared" ref="BX329:BX392" si="69">IF(OR(H329="", BV329="", CB329=""), "", IF(ISERROR(CB329-BV329), "", CB329-BV329))</f>
        <v/>
      </c>
      <c r="BY329" s="215"/>
      <c r="BZ329" s="227"/>
      <c r="CA329" s="227"/>
      <c r="CB329" s="228"/>
      <c r="CC329" s="229"/>
      <c r="CD329" s="230" t="str">
        <f t="shared" ref="CD329:CD392" si="70">IF(OR($H329="",$BY329="",$CB329=""),"",IF((ISERROR($CB329-$BY329+1)),"",$CB329-$BY329+1))</f>
        <v/>
      </c>
      <c r="CE329" s="231" t="str">
        <f t="shared" ref="CE329:CE392" si="71">IF(OR(CB329="", CC329=""),"", IF(ISERROR(CC329-CB329+1), "",CC329-CB329+1))</f>
        <v/>
      </c>
      <c r="CF329" s="232" t="str">
        <f t="shared" ref="CF329:CF392" si="72">IF(OR(BY329="", CC329=""), "", IF(ISERROR(CC329-BY329+1), "",CC329-BY329+1))</f>
        <v/>
      </c>
      <c r="CG329" s="233" t="str">
        <f t="shared" ref="CG329:CG392" si="73">IF(OR(G329="", CC329="", CV329=""), "", IF(ISERROR(CV329-CC329), "", CV329-CC329))</f>
        <v/>
      </c>
      <c r="CH329" s="207" t="str">
        <f>IF(OR(G329="",CC329= ""), "", IF(ISERROR(SMALL((CJ329,CN329,CV329), 1)-CC329), "",  SMALL((CJ329,CN329,CV329), 1)-CC329))</f>
        <v/>
      </c>
      <c r="CI329" s="234"/>
      <c r="CJ329" s="235"/>
      <c r="CK329" s="236"/>
      <c r="CL329" s="222" t="str">
        <f t="shared" ref="CL329:CL392" si="74">IF(OR(G329="", CJ329="", CK329=""), "",   IF(ISERROR(CK329-CJ329+1), "",CK329-CJ329+1))</f>
        <v/>
      </c>
      <c r="CM329" s="237" t="str">
        <f>IF(OR(G329="", CJ329="",CK329=""), "", IF(ISERROR(SMALL((CN329,CV329), 1)-CK329), "",  SMALL((CN329,CV329), 1)-CK329))</f>
        <v/>
      </c>
      <c r="CN329" s="235"/>
      <c r="CO329" s="236"/>
      <c r="CP329" s="224" t="str">
        <f t="shared" ref="CP329:CP392" si="75">IF(OR(G329="", CN329="", CO329=""), "",   IF(ISERROR(CO329-CN329+1), "",CO329-CN329+1))</f>
        <v/>
      </c>
      <c r="CQ329" s="235"/>
      <c r="CR329" s="236"/>
      <c r="CS329" s="222" t="str">
        <f t="shared" ref="CS329:CS392" si="76">IF(OR(G329="", CQ329="", CR329=""), "",   IF(ISERROR(CR329-CQ329+1), "",CR329-CQ329+1))</f>
        <v/>
      </c>
      <c r="CT329" s="237" t="str">
        <f t="shared" ref="CT329:CT392" si="77">IF(AND(G329="", CK329="",CR329=""), "",IF(CR329="", IF(ISERROR(CV329-CK329), "",  CV329-CK329),  IF(ISERROR(CV329-CR329), "", CV329-CR329)))</f>
        <v/>
      </c>
      <c r="CU329" s="238"/>
      <c r="CV329" s="239"/>
      <c r="CW329" s="240"/>
    </row>
    <row r="330" spans="2:101" ht="16.5" customHeight="1">
      <c r="B330" s="122"/>
      <c r="E330" s="122"/>
      <c r="F330" s="194"/>
      <c r="G330" s="195"/>
      <c r="H330" s="195"/>
      <c r="I330" s="195"/>
      <c r="J330" s="196"/>
      <c r="K330" s="197"/>
      <c r="L330" s="198"/>
      <c r="M330" s="199"/>
      <c r="N330" s="200"/>
      <c r="O330" s="201"/>
      <c r="P330" s="201"/>
      <c r="Q330" s="201"/>
      <c r="R330" s="201"/>
      <c r="S330" s="201"/>
      <c r="T330" s="201"/>
      <c r="U330" s="201"/>
      <c r="V330" s="201"/>
      <c r="W330" s="201"/>
      <c r="X330" s="202"/>
      <c r="Y330" s="203"/>
      <c r="Z330" s="204"/>
      <c r="AA330" s="205"/>
      <c r="AB330" s="206"/>
      <c r="AC330" s="206"/>
      <c r="AD330" s="194"/>
      <c r="AE330" s="201"/>
      <c r="AF330" s="207"/>
      <c r="AG330" s="208"/>
      <c r="AH330" s="209"/>
      <c r="AI330" s="210"/>
      <c r="AJ330" s="197"/>
      <c r="AK330" s="201"/>
      <c r="AL330" s="196"/>
      <c r="AM330" s="201"/>
      <c r="AN330" s="201"/>
      <c r="AO330" s="201"/>
      <c r="AP330" s="211"/>
      <c r="AQ330" s="212"/>
      <c r="AR330" s="201"/>
      <c r="AS330" s="201"/>
      <c r="AT330" s="201"/>
      <c r="AU330" s="201"/>
      <c r="AV330" s="202"/>
      <c r="AW330" s="194"/>
      <c r="AX330" s="201"/>
      <c r="AY330" s="213"/>
      <c r="AZ330" s="214"/>
      <c r="BA330" s="215"/>
      <c r="BB330" s="216"/>
      <c r="BC330" s="217" t="str">
        <f t="shared" si="65"/>
        <v/>
      </c>
      <c r="BD330" s="218"/>
      <c r="BE330" s="219"/>
      <c r="BF330" s="220"/>
      <c r="BG330" s="219"/>
      <c r="BH330" s="219"/>
      <c r="BI330" s="220"/>
      <c r="BJ330" s="218"/>
      <c r="BK330" s="219"/>
      <c r="BL330" s="197"/>
      <c r="BM330" s="215"/>
      <c r="BN330" s="221"/>
      <c r="BO330" s="222" t="str">
        <f t="shared" si="66"/>
        <v/>
      </c>
      <c r="BP330" s="217" t="str">
        <f t="shared" si="67"/>
        <v/>
      </c>
      <c r="BQ330" s="215"/>
      <c r="BR330" s="224"/>
      <c r="BS330" s="225"/>
      <c r="BT330" s="223"/>
      <c r="BU330" s="215"/>
      <c r="BV330" s="226"/>
      <c r="BW330" s="222" t="str">
        <f t="shared" si="68"/>
        <v/>
      </c>
      <c r="BX330" s="223" t="str">
        <f t="shared" si="69"/>
        <v/>
      </c>
      <c r="BY330" s="215"/>
      <c r="BZ330" s="227"/>
      <c r="CA330" s="227"/>
      <c r="CB330" s="228"/>
      <c r="CC330" s="229"/>
      <c r="CD330" s="230" t="str">
        <f t="shared" si="70"/>
        <v/>
      </c>
      <c r="CE330" s="231" t="str">
        <f t="shared" si="71"/>
        <v/>
      </c>
      <c r="CF330" s="232" t="str">
        <f t="shared" si="72"/>
        <v/>
      </c>
      <c r="CG330" s="233" t="str">
        <f t="shared" si="73"/>
        <v/>
      </c>
      <c r="CH330" s="207" t="str">
        <f>IF(OR(G330="",CC330= ""), "", IF(ISERROR(SMALL((CJ330,CN330,CV330), 1)-CC330), "",  SMALL((CJ330,CN330,CV330), 1)-CC330))</f>
        <v/>
      </c>
      <c r="CI330" s="234"/>
      <c r="CJ330" s="235"/>
      <c r="CK330" s="236"/>
      <c r="CL330" s="222" t="str">
        <f t="shared" si="74"/>
        <v/>
      </c>
      <c r="CM330" s="237" t="str">
        <f>IF(OR(G330="", CJ330="",CK330=""), "", IF(ISERROR(SMALL((CN330,CV330), 1)-CK330), "",  SMALL((CN330,CV330), 1)-CK330))</f>
        <v/>
      </c>
      <c r="CN330" s="235"/>
      <c r="CO330" s="236"/>
      <c r="CP330" s="224" t="str">
        <f t="shared" si="75"/>
        <v/>
      </c>
      <c r="CQ330" s="235"/>
      <c r="CR330" s="236"/>
      <c r="CS330" s="222" t="str">
        <f t="shared" si="76"/>
        <v/>
      </c>
      <c r="CT330" s="237" t="str">
        <f t="shared" si="77"/>
        <v/>
      </c>
      <c r="CU330" s="238"/>
      <c r="CV330" s="239"/>
      <c r="CW330" s="240"/>
    </row>
    <row r="331" spans="2:101" ht="16.5" customHeight="1">
      <c r="B331" s="122"/>
      <c r="E331" s="122"/>
      <c r="F331" s="194"/>
      <c r="G331" s="195"/>
      <c r="H331" s="195"/>
      <c r="I331" s="195"/>
      <c r="J331" s="196"/>
      <c r="K331" s="197"/>
      <c r="L331" s="198"/>
      <c r="M331" s="199"/>
      <c r="N331" s="200"/>
      <c r="O331" s="201"/>
      <c r="P331" s="201"/>
      <c r="Q331" s="201"/>
      <c r="R331" s="201"/>
      <c r="S331" s="201"/>
      <c r="T331" s="201"/>
      <c r="U331" s="201"/>
      <c r="V331" s="201"/>
      <c r="W331" s="201"/>
      <c r="X331" s="202"/>
      <c r="Y331" s="203"/>
      <c r="Z331" s="204"/>
      <c r="AA331" s="205"/>
      <c r="AB331" s="206"/>
      <c r="AC331" s="206"/>
      <c r="AD331" s="194"/>
      <c r="AE331" s="201"/>
      <c r="AF331" s="207"/>
      <c r="AG331" s="208"/>
      <c r="AH331" s="209"/>
      <c r="AI331" s="210"/>
      <c r="AJ331" s="197"/>
      <c r="AK331" s="201"/>
      <c r="AL331" s="196"/>
      <c r="AM331" s="201"/>
      <c r="AN331" s="201"/>
      <c r="AO331" s="201"/>
      <c r="AP331" s="211"/>
      <c r="AQ331" s="212"/>
      <c r="AR331" s="201"/>
      <c r="AS331" s="201"/>
      <c r="AT331" s="201"/>
      <c r="AU331" s="201"/>
      <c r="AV331" s="202"/>
      <c r="AW331" s="194"/>
      <c r="AX331" s="201"/>
      <c r="AY331" s="213"/>
      <c r="AZ331" s="214"/>
      <c r="BA331" s="215"/>
      <c r="BB331" s="216"/>
      <c r="BC331" s="217" t="str">
        <f t="shared" si="65"/>
        <v/>
      </c>
      <c r="BD331" s="218"/>
      <c r="BE331" s="219"/>
      <c r="BF331" s="220"/>
      <c r="BG331" s="219"/>
      <c r="BH331" s="219"/>
      <c r="BI331" s="220"/>
      <c r="BJ331" s="218"/>
      <c r="BK331" s="219"/>
      <c r="BL331" s="197"/>
      <c r="BM331" s="215"/>
      <c r="BN331" s="221"/>
      <c r="BO331" s="222" t="str">
        <f t="shared" si="66"/>
        <v/>
      </c>
      <c r="BP331" s="217" t="str">
        <f t="shared" si="67"/>
        <v/>
      </c>
      <c r="BQ331" s="215"/>
      <c r="BR331" s="224"/>
      <c r="BS331" s="225"/>
      <c r="BT331" s="223"/>
      <c r="BU331" s="215"/>
      <c r="BV331" s="226"/>
      <c r="BW331" s="222" t="str">
        <f t="shared" si="68"/>
        <v/>
      </c>
      <c r="BX331" s="223" t="str">
        <f t="shared" si="69"/>
        <v/>
      </c>
      <c r="BY331" s="215"/>
      <c r="BZ331" s="227"/>
      <c r="CA331" s="227"/>
      <c r="CB331" s="228"/>
      <c r="CC331" s="229"/>
      <c r="CD331" s="230" t="str">
        <f t="shared" si="70"/>
        <v/>
      </c>
      <c r="CE331" s="231" t="str">
        <f t="shared" si="71"/>
        <v/>
      </c>
      <c r="CF331" s="232" t="str">
        <f t="shared" si="72"/>
        <v/>
      </c>
      <c r="CG331" s="233" t="str">
        <f t="shared" si="73"/>
        <v/>
      </c>
      <c r="CH331" s="207" t="str">
        <f>IF(OR(G331="",CC331= ""), "", IF(ISERROR(SMALL((CJ331,CN331,CV331), 1)-CC331), "",  SMALL((CJ331,CN331,CV331), 1)-CC331))</f>
        <v/>
      </c>
      <c r="CI331" s="234"/>
      <c r="CJ331" s="235"/>
      <c r="CK331" s="236"/>
      <c r="CL331" s="222" t="str">
        <f t="shared" si="74"/>
        <v/>
      </c>
      <c r="CM331" s="237" t="str">
        <f>IF(OR(G331="", CJ331="",CK331=""), "", IF(ISERROR(SMALL((CN331,CV331), 1)-CK331), "",  SMALL((CN331,CV331), 1)-CK331))</f>
        <v/>
      </c>
      <c r="CN331" s="235"/>
      <c r="CO331" s="236"/>
      <c r="CP331" s="224" t="str">
        <f t="shared" si="75"/>
        <v/>
      </c>
      <c r="CQ331" s="235"/>
      <c r="CR331" s="236"/>
      <c r="CS331" s="222" t="str">
        <f t="shared" si="76"/>
        <v/>
      </c>
      <c r="CT331" s="237" t="str">
        <f t="shared" si="77"/>
        <v/>
      </c>
      <c r="CU331" s="238"/>
      <c r="CV331" s="239"/>
      <c r="CW331" s="240"/>
    </row>
    <row r="332" spans="2:101" ht="16.5" customHeight="1">
      <c r="B332" s="122"/>
      <c r="E332" s="122"/>
      <c r="F332" s="194"/>
      <c r="G332" s="195"/>
      <c r="H332" s="195"/>
      <c r="I332" s="195"/>
      <c r="J332" s="196"/>
      <c r="K332" s="197"/>
      <c r="L332" s="198"/>
      <c r="M332" s="199"/>
      <c r="N332" s="200"/>
      <c r="O332" s="201"/>
      <c r="P332" s="201"/>
      <c r="Q332" s="201"/>
      <c r="R332" s="201"/>
      <c r="S332" s="201"/>
      <c r="T332" s="201"/>
      <c r="U332" s="201"/>
      <c r="V332" s="201"/>
      <c r="W332" s="201"/>
      <c r="X332" s="202"/>
      <c r="Y332" s="203"/>
      <c r="Z332" s="204"/>
      <c r="AA332" s="205"/>
      <c r="AB332" s="206"/>
      <c r="AC332" s="206"/>
      <c r="AD332" s="194"/>
      <c r="AE332" s="201"/>
      <c r="AF332" s="207"/>
      <c r="AG332" s="208"/>
      <c r="AH332" s="209"/>
      <c r="AI332" s="210"/>
      <c r="AJ332" s="197"/>
      <c r="AK332" s="201"/>
      <c r="AL332" s="196"/>
      <c r="AM332" s="201"/>
      <c r="AN332" s="201"/>
      <c r="AO332" s="201"/>
      <c r="AP332" s="211"/>
      <c r="AQ332" s="212"/>
      <c r="AR332" s="201"/>
      <c r="AS332" s="201"/>
      <c r="AT332" s="201"/>
      <c r="AU332" s="201"/>
      <c r="AV332" s="202"/>
      <c r="AW332" s="194"/>
      <c r="AX332" s="201"/>
      <c r="AY332" s="213"/>
      <c r="AZ332" s="214"/>
      <c r="BA332" s="215"/>
      <c r="BB332" s="216"/>
      <c r="BC332" s="217" t="str">
        <f t="shared" si="65"/>
        <v/>
      </c>
      <c r="BD332" s="218"/>
      <c r="BE332" s="219"/>
      <c r="BF332" s="220"/>
      <c r="BG332" s="219"/>
      <c r="BH332" s="219"/>
      <c r="BI332" s="220"/>
      <c r="BJ332" s="218"/>
      <c r="BK332" s="219"/>
      <c r="BL332" s="197"/>
      <c r="BM332" s="215"/>
      <c r="BN332" s="221"/>
      <c r="BO332" s="222" t="str">
        <f t="shared" si="66"/>
        <v/>
      </c>
      <c r="BP332" s="217" t="str">
        <f t="shared" si="67"/>
        <v/>
      </c>
      <c r="BQ332" s="215"/>
      <c r="BR332" s="224"/>
      <c r="BS332" s="225"/>
      <c r="BT332" s="223"/>
      <c r="BU332" s="215"/>
      <c r="BV332" s="226"/>
      <c r="BW332" s="222" t="str">
        <f t="shared" si="68"/>
        <v/>
      </c>
      <c r="BX332" s="223" t="str">
        <f t="shared" si="69"/>
        <v/>
      </c>
      <c r="BY332" s="215"/>
      <c r="BZ332" s="227"/>
      <c r="CA332" s="227"/>
      <c r="CB332" s="228"/>
      <c r="CC332" s="229"/>
      <c r="CD332" s="230" t="str">
        <f t="shared" si="70"/>
        <v/>
      </c>
      <c r="CE332" s="231" t="str">
        <f t="shared" si="71"/>
        <v/>
      </c>
      <c r="CF332" s="232" t="str">
        <f t="shared" si="72"/>
        <v/>
      </c>
      <c r="CG332" s="233" t="str">
        <f t="shared" si="73"/>
        <v/>
      </c>
      <c r="CH332" s="207" t="str">
        <f>IF(OR(G332="",CC332= ""), "", IF(ISERROR(SMALL((CJ332,CN332,CV332), 1)-CC332), "",  SMALL((CJ332,CN332,CV332), 1)-CC332))</f>
        <v/>
      </c>
      <c r="CI332" s="234"/>
      <c r="CJ332" s="235"/>
      <c r="CK332" s="236"/>
      <c r="CL332" s="222" t="str">
        <f t="shared" si="74"/>
        <v/>
      </c>
      <c r="CM332" s="237" t="str">
        <f>IF(OR(G332="", CJ332="",CK332=""), "", IF(ISERROR(SMALL((CN332,CV332), 1)-CK332), "",  SMALL((CN332,CV332), 1)-CK332))</f>
        <v/>
      </c>
      <c r="CN332" s="235"/>
      <c r="CO332" s="236"/>
      <c r="CP332" s="224" t="str">
        <f t="shared" si="75"/>
        <v/>
      </c>
      <c r="CQ332" s="235"/>
      <c r="CR332" s="236"/>
      <c r="CS332" s="222" t="str">
        <f t="shared" si="76"/>
        <v/>
      </c>
      <c r="CT332" s="237" t="str">
        <f t="shared" si="77"/>
        <v/>
      </c>
      <c r="CU332" s="238"/>
      <c r="CV332" s="239"/>
      <c r="CW332" s="240"/>
    </row>
    <row r="333" spans="2:101" ht="16.5" customHeight="1">
      <c r="B333" s="122"/>
      <c r="E333" s="122"/>
      <c r="F333" s="194"/>
      <c r="G333" s="195"/>
      <c r="H333" s="195"/>
      <c r="I333" s="195"/>
      <c r="J333" s="196"/>
      <c r="K333" s="197"/>
      <c r="L333" s="198"/>
      <c r="M333" s="199"/>
      <c r="N333" s="200"/>
      <c r="O333" s="201"/>
      <c r="P333" s="201"/>
      <c r="Q333" s="201"/>
      <c r="R333" s="201"/>
      <c r="S333" s="201"/>
      <c r="T333" s="201"/>
      <c r="U333" s="201"/>
      <c r="V333" s="201"/>
      <c r="W333" s="201"/>
      <c r="X333" s="202"/>
      <c r="Y333" s="203"/>
      <c r="Z333" s="204"/>
      <c r="AA333" s="205"/>
      <c r="AB333" s="206"/>
      <c r="AC333" s="206"/>
      <c r="AD333" s="194"/>
      <c r="AE333" s="201"/>
      <c r="AF333" s="207"/>
      <c r="AG333" s="208"/>
      <c r="AH333" s="209"/>
      <c r="AI333" s="210"/>
      <c r="AJ333" s="197"/>
      <c r="AK333" s="201"/>
      <c r="AL333" s="196"/>
      <c r="AM333" s="201"/>
      <c r="AN333" s="201"/>
      <c r="AO333" s="201"/>
      <c r="AP333" s="211"/>
      <c r="AQ333" s="212"/>
      <c r="AR333" s="201"/>
      <c r="AS333" s="201"/>
      <c r="AT333" s="201"/>
      <c r="AU333" s="201"/>
      <c r="AV333" s="202"/>
      <c r="AW333" s="194"/>
      <c r="AX333" s="201"/>
      <c r="AY333" s="213"/>
      <c r="AZ333" s="214"/>
      <c r="BA333" s="215"/>
      <c r="BB333" s="216"/>
      <c r="BC333" s="217" t="str">
        <f t="shared" si="65"/>
        <v/>
      </c>
      <c r="BD333" s="218"/>
      <c r="BE333" s="219"/>
      <c r="BF333" s="220"/>
      <c r="BG333" s="219"/>
      <c r="BH333" s="219"/>
      <c r="BI333" s="220"/>
      <c r="BJ333" s="218"/>
      <c r="BK333" s="219"/>
      <c r="BL333" s="197"/>
      <c r="BM333" s="215"/>
      <c r="BN333" s="221"/>
      <c r="BO333" s="222" t="str">
        <f t="shared" si="66"/>
        <v/>
      </c>
      <c r="BP333" s="217" t="str">
        <f t="shared" si="67"/>
        <v/>
      </c>
      <c r="BQ333" s="215"/>
      <c r="BR333" s="224"/>
      <c r="BS333" s="225"/>
      <c r="BT333" s="223"/>
      <c r="BU333" s="215"/>
      <c r="BV333" s="226"/>
      <c r="BW333" s="222" t="str">
        <f t="shared" si="68"/>
        <v/>
      </c>
      <c r="BX333" s="223" t="str">
        <f t="shared" si="69"/>
        <v/>
      </c>
      <c r="BY333" s="215"/>
      <c r="BZ333" s="227"/>
      <c r="CA333" s="227"/>
      <c r="CB333" s="228"/>
      <c r="CC333" s="229"/>
      <c r="CD333" s="230" t="str">
        <f t="shared" si="70"/>
        <v/>
      </c>
      <c r="CE333" s="231" t="str">
        <f t="shared" si="71"/>
        <v/>
      </c>
      <c r="CF333" s="232" t="str">
        <f t="shared" si="72"/>
        <v/>
      </c>
      <c r="CG333" s="233" t="str">
        <f t="shared" si="73"/>
        <v/>
      </c>
      <c r="CH333" s="207" t="str">
        <f>IF(OR(G333="",CC333= ""), "", IF(ISERROR(SMALL((CJ333,CN333,CV333), 1)-CC333), "",  SMALL((CJ333,CN333,CV333), 1)-CC333))</f>
        <v/>
      </c>
      <c r="CI333" s="234"/>
      <c r="CJ333" s="235"/>
      <c r="CK333" s="236"/>
      <c r="CL333" s="222" t="str">
        <f t="shared" si="74"/>
        <v/>
      </c>
      <c r="CM333" s="237" t="str">
        <f>IF(OR(G333="", CJ333="",CK333=""), "", IF(ISERROR(SMALL((CN333,CV333), 1)-CK333), "",  SMALL((CN333,CV333), 1)-CK333))</f>
        <v/>
      </c>
      <c r="CN333" s="235"/>
      <c r="CO333" s="236"/>
      <c r="CP333" s="224" t="str">
        <f t="shared" si="75"/>
        <v/>
      </c>
      <c r="CQ333" s="235"/>
      <c r="CR333" s="236"/>
      <c r="CS333" s="222" t="str">
        <f t="shared" si="76"/>
        <v/>
      </c>
      <c r="CT333" s="237" t="str">
        <f t="shared" si="77"/>
        <v/>
      </c>
      <c r="CU333" s="238"/>
      <c r="CV333" s="239"/>
      <c r="CW333" s="240"/>
    </row>
    <row r="334" spans="2:101" ht="16.5" customHeight="1">
      <c r="B334" s="122"/>
      <c r="E334" s="122"/>
      <c r="F334" s="194"/>
      <c r="G334" s="195"/>
      <c r="H334" s="195"/>
      <c r="I334" s="195"/>
      <c r="J334" s="196"/>
      <c r="K334" s="197"/>
      <c r="L334" s="198"/>
      <c r="M334" s="199"/>
      <c r="N334" s="200"/>
      <c r="O334" s="201"/>
      <c r="P334" s="201"/>
      <c r="Q334" s="201"/>
      <c r="R334" s="201"/>
      <c r="S334" s="201"/>
      <c r="T334" s="201"/>
      <c r="U334" s="201"/>
      <c r="V334" s="201"/>
      <c r="W334" s="201"/>
      <c r="X334" s="202"/>
      <c r="Y334" s="203"/>
      <c r="Z334" s="204"/>
      <c r="AA334" s="205"/>
      <c r="AB334" s="206"/>
      <c r="AC334" s="206"/>
      <c r="AD334" s="194"/>
      <c r="AE334" s="201"/>
      <c r="AF334" s="207"/>
      <c r="AG334" s="208"/>
      <c r="AH334" s="209"/>
      <c r="AI334" s="210"/>
      <c r="AJ334" s="197"/>
      <c r="AK334" s="201"/>
      <c r="AL334" s="196"/>
      <c r="AM334" s="201"/>
      <c r="AN334" s="201"/>
      <c r="AO334" s="201"/>
      <c r="AP334" s="211"/>
      <c r="AQ334" s="212"/>
      <c r="AR334" s="201"/>
      <c r="AS334" s="201"/>
      <c r="AT334" s="201"/>
      <c r="AU334" s="201"/>
      <c r="AV334" s="202"/>
      <c r="AW334" s="194"/>
      <c r="AX334" s="201"/>
      <c r="AY334" s="213"/>
      <c r="AZ334" s="214"/>
      <c r="BA334" s="215"/>
      <c r="BB334" s="216"/>
      <c r="BC334" s="217" t="str">
        <f t="shared" si="65"/>
        <v/>
      </c>
      <c r="BD334" s="218"/>
      <c r="BE334" s="219"/>
      <c r="BF334" s="220"/>
      <c r="BG334" s="219"/>
      <c r="BH334" s="219"/>
      <c r="BI334" s="220"/>
      <c r="BJ334" s="218"/>
      <c r="BK334" s="219"/>
      <c r="BL334" s="197"/>
      <c r="BM334" s="215"/>
      <c r="BN334" s="221"/>
      <c r="BO334" s="222" t="str">
        <f t="shared" si="66"/>
        <v/>
      </c>
      <c r="BP334" s="217" t="str">
        <f t="shared" si="67"/>
        <v/>
      </c>
      <c r="BQ334" s="215"/>
      <c r="BR334" s="224"/>
      <c r="BS334" s="225"/>
      <c r="BT334" s="223"/>
      <c r="BU334" s="215"/>
      <c r="BV334" s="226"/>
      <c r="BW334" s="222" t="str">
        <f t="shared" si="68"/>
        <v/>
      </c>
      <c r="BX334" s="223" t="str">
        <f t="shared" si="69"/>
        <v/>
      </c>
      <c r="BY334" s="215"/>
      <c r="BZ334" s="227"/>
      <c r="CA334" s="227"/>
      <c r="CB334" s="228"/>
      <c r="CC334" s="229"/>
      <c r="CD334" s="230" t="str">
        <f t="shared" si="70"/>
        <v/>
      </c>
      <c r="CE334" s="231" t="str">
        <f t="shared" si="71"/>
        <v/>
      </c>
      <c r="CF334" s="232" t="str">
        <f t="shared" si="72"/>
        <v/>
      </c>
      <c r="CG334" s="233" t="str">
        <f t="shared" si="73"/>
        <v/>
      </c>
      <c r="CH334" s="207" t="str">
        <f>IF(OR(G334="",CC334= ""), "", IF(ISERROR(SMALL((CJ334,CN334,CV334), 1)-CC334), "",  SMALL((CJ334,CN334,CV334), 1)-CC334))</f>
        <v/>
      </c>
      <c r="CI334" s="234"/>
      <c r="CJ334" s="235"/>
      <c r="CK334" s="236"/>
      <c r="CL334" s="222" t="str">
        <f t="shared" si="74"/>
        <v/>
      </c>
      <c r="CM334" s="237" t="str">
        <f>IF(OR(G334="", CJ334="",CK334=""), "", IF(ISERROR(SMALL((CN334,CV334), 1)-CK334), "",  SMALL((CN334,CV334), 1)-CK334))</f>
        <v/>
      </c>
      <c r="CN334" s="235"/>
      <c r="CO334" s="236"/>
      <c r="CP334" s="224" t="str">
        <f t="shared" si="75"/>
        <v/>
      </c>
      <c r="CQ334" s="235"/>
      <c r="CR334" s="236"/>
      <c r="CS334" s="222" t="str">
        <f t="shared" si="76"/>
        <v/>
      </c>
      <c r="CT334" s="237" t="str">
        <f t="shared" si="77"/>
        <v/>
      </c>
      <c r="CU334" s="238"/>
      <c r="CV334" s="239"/>
      <c r="CW334" s="240"/>
    </row>
    <row r="335" spans="2:101" ht="16.5" customHeight="1">
      <c r="B335" s="122"/>
      <c r="E335" s="122"/>
      <c r="F335" s="194"/>
      <c r="G335" s="195"/>
      <c r="H335" s="195"/>
      <c r="I335" s="195"/>
      <c r="J335" s="196"/>
      <c r="K335" s="197"/>
      <c r="L335" s="198"/>
      <c r="M335" s="199"/>
      <c r="N335" s="200"/>
      <c r="O335" s="201"/>
      <c r="P335" s="201"/>
      <c r="Q335" s="201"/>
      <c r="R335" s="201"/>
      <c r="S335" s="201"/>
      <c r="T335" s="201"/>
      <c r="U335" s="201"/>
      <c r="V335" s="201"/>
      <c r="W335" s="201"/>
      <c r="X335" s="202"/>
      <c r="Y335" s="203"/>
      <c r="Z335" s="204"/>
      <c r="AA335" s="205"/>
      <c r="AB335" s="206"/>
      <c r="AC335" s="206"/>
      <c r="AD335" s="194"/>
      <c r="AE335" s="201"/>
      <c r="AF335" s="207"/>
      <c r="AG335" s="208"/>
      <c r="AH335" s="209"/>
      <c r="AI335" s="210"/>
      <c r="AJ335" s="197"/>
      <c r="AK335" s="201"/>
      <c r="AL335" s="196"/>
      <c r="AM335" s="201"/>
      <c r="AN335" s="201"/>
      <c r="AO335" s="201"/>
      <c r="AP335" s="211"/>
      <c r="AQ335" s="212"/>
      <c r="AR335" s="201"/>
      <c r="AS335" s="201"/>
      <c r="AT335" s="201"/>
      <c r="AU335" s="201"/>
      <c r="AV335" s="202"/>
      <c r="AW335" s="194"/>
      <c r="AX335" s="201"/>
      <c r="AY335" s="213"/>
      <c r="AZ335" s="214"/>
      <c r="BA335" s="215"/>
      <c r="BB335" s="216"/>
      <c r="BC335" s="217" t="str">
        <f t="shared" si="65"/>
        <v/>
      </c>
      <c r="BD335" s="218"/>
      <c r="BE335" s="219"/>
      <c r="BF335" s="220"/>
      <c r="BG335" s="219"/>
      <c r="BH335" s="219"/>
      <c r="BI335" s="220"/>
      <c r="BJ335" s="218"/>
      <c r="BK335" s="219"/>
      <c r="BL335" s="197"/>
      <c r="BM335" s="215"/>
      <c r="BN335" s="221"/>
      <c r="BO335" s="222" t="str">
        <f t="shared" si="66"/>
        <v/>
      </c>
      <c r="BP335" s="217" t="str">
        <f t="shared" si="67"/>
        <v/>
      </c>
      <c r="BQ335" s="215"/>
      <c r="BR335" s="224"/>
      <c r="BS335" s="225"/>
      <c r="BT335" s="223"/>
      <c r="BU335" s="215"/>
      <c r="BV335" s="226"/>
      <c r="BW335" s="222" t="str">
        <f t="shared" si="68"/>
        <v/>
      </c>
      <c r="BX335" s="223" t="str">
        <f t="shared" si="69"/>
        <v/>
      </c>
      <c r="BY335" s="215"/>
      <c r="BZ335" s="227"/>
      <c r="CA335" s="227"/>
      <c r="CB335" s="228"/>
      <c r="CC335" s="229"/>
      <c r="CD335" s="230" t="str">
        <f t="shared" si="70"/>
        <v/>
      </c>
      <c r="CE335" s="231" t="str">
        <f t="shared" si="71"/>
        <v/>
      </c>
      <c r="CF335" s="232" t="str">
        <f t="shared" si="72"/>
        <v/>
      </c>
      <c r="CG335" s="233" t="str">
        <f t="shared" si="73"/>
        <v/>
      </c>
      <c r="CH335" s="207" t="str">
        <f>IF(OR(G335="",CC335= ""), "", IF(ISERROR(SMALL((CJ335,CN335,CV335), 1)-CC335), "",  SMALL((CJ335,CN335,CV335), 1)-CC335))</f>
        <v/>
      </c>
      <c r="CI335" s="234"/>
      <c r="CJ335" s="235"/>
      <c r="CK335" s="236"/>
      <c r="CL335" s="222" t="str">
        <f t="shared" si="74"/>
        <v/>
      </c>
      <c r="CM335" s="237" t="str">
        <f>IF(OR(G335="", CJ335="",CK335=""), "", IF(ISERROR(SMALL((CN335,CV335), 1)-CK335), "",  SMALL((CN335,CV335), 1)-CK335))</f>
        <v/>
      </c>
      <c r="CN335" s="235"/>
      <c r="CO335" s="236"/>
      <c r="CP335" s="224" t="str">
        <f t="shared" si="75"/>
        <v/>
      </c>
      <c r="CQ335" s="235"/>
      <c r="CR335" s="236"/>
      <c r="CS335" s="222" t="str">
        <f t="shared" si="76"/>
        <v/>
      </c>
      <c r="CT335" s="237" t="str">
        <f t="shared" si="77"/>
        <v/>
      </c>
      <c r="CU335" s="238"/>
      <c r="CV335" s="239"/>
      <c r="CW335" s="240"/>
    </row>
    <row r="336" spans="2:101" ht="16.5" customHeight="1">
      <c r="B336" s="122"/>
      <c r="E336" s="122"/>
      <c r="F336" s="194"/>
      <c r="G336" s="195"/>
      <c r="H336" s="195"/>
      <c r="I336" s="195"/>
      <c r="J336" s="196"/>
      <c r="K336" s="197"/>
      <c r="L336" s="198"/>
      <c r="M336" s="199"/>
      <c r="N336" s="200"/>
      <c r="O336" s="201"/>
      <c r="P336" s="201"/>
      <c r="Q336" s="201"/>
      <c r="R336" s="201"/>
      <c r="S336" s="201"/>
      <c r="T336" s="201"/>
      <c r="U336" s="201"/>
      <c r="V336" s="201"/>
      <c r="W336" s="201"/>
      <c r="X336" s="202"/>
      <c r="Y336" s="203"/>
      <c r="Z336" s="204"/>
      <c r="AA336" s="205"/>
      <c r="AB336" s="206"/>
      <c r="AC336" s="206"/>
      <c r="AD336" s="194"/>
      <c r="AE336" s="201"/>
      <c r="AF336" s="207"/>
      <c r="AG336" s="208"/>
      <c r="AH336" s="209"/>
      <c r="AI336" s="210"/>
      <c r="AJ336" s="197"/>
      <c r="AK336" s="201"/>
      <c r="AL336" s="196"/>
      <c r="AM336" s="201"/>
      <c r="AN336" s="201"/>
      <c r="AO336" s="201"/>
      <c r="AP336" s="211"/>
      <c r="AQ336" s="212"/>
      <c r="AR336" s="201"/>
      <c r="AS336" s="201"/>
      <c r="AT336" s="201"/>
      <c r="AU336" s="201"/>
      <c r="AV336" s="202"/>
      <c r="AW336" s="194"/>
      <c r="AX336" s="201"/>
      <c r="AY336" s="213"/>
      <c r="AZ336" s="214"/>
      <c r="BA336" s="215"/>
      <c r="BB336" s="216"/>
      <c r="BC336" s="217" t="str">
        <f t="shared" si="65"/>
        <v/>
      </c>
      <c r="BD336" s="218"/>
      <c r="BE336" s="219"/>
      <c r="BF336" s="220"/>
      <c r="BG336" s="219"/>
      <c r="BH336" s="219"/>
      <c r="BI336" s="220"/>
      <c r="BJ336" s="218"/>
      <c r="BK336" s="219"/>
      <c r="BL336" s="197"/>
      <c r="BM336" s="215"/>
      <c r="BN336" s="221"/>
      <c r="BO336" s="222" t="str">
        <f t="shared" si="66"/>
        <v/>
      </c>
      <c r="BP336" s="217" t="str">
        <f t="shared" si="67"/>
        <v/>
      </c>
      <c r="BQ336" s="215"/>
      <c r="BR336" s="224"/>
      <c r="BS336" s="225"/>
      <c r="BT336" s="223"/>
      <c r="BU336" s="215"/>
      <c r="BV336" s="226"/>
      <c r="BW336" s="222" t="str">
        <f t="shared" si="68"/>
        <v/>
      </c>
      <c r="BX336" s="223" t="str">
        <f t="shared" si="69"/>
        <v/>
      </c>
      <c r="BY336" s="215"/>
      <c r="BZ336" s="227"/>
      <c r="CA336" s="227"/>
      <c r="CB336" s="228"/>
      <c r="CC336" s="229"/>
      <c r="CD336" s="230" t="str">
        <f t="shared" si="70"/>
        <v/>
      </c>
      <c r="CE336" s="231" t="str">
        <f t="shared" si="71"/>
        <v/>
      </c>
      <c r="CF336" s="232" t="str">
        <f t="shared" si="72"/>
        <v/>
      </c>
      <c r="CG336" s="233" t="str">
        <f t="shared" si="73"/>
        <v/>
      </c>
      <c r="CH336" s="207" t="str">
        <f>IF(OR(G336="",CC336= ""), "", IF(ISERROR(SMALL((CJ336,CN336,CV336), 1)-CC336), "",  SMALL((CJ336,CN336,CV336), 1)-CC336))</f>
        <v/>
      </c>
      <c r="CI336" s="234"/>
      <c r="CJ336" s="235"/>
      <c r="CK336" s="236"/>
      <c r="CL336" s="222" t="str">
        <f t="shared" si="74"/>
        <v/>
      </c>
      <c r="CM336" s="237" t="str">
        <f>IF(OR(G336="", CJ336="",CK336=""), "", IF(ISERROR(SMALL((CN336,CV336), 1)-CK336), "",  SMALL((CN336,CV336), 1)-CK336))</f>
        <v/>
      </c>
      <c r="CN336" s="235"/>
      <c r="CO336" s="236"/>
      <c r="CP336" s="224" t="str">
        <f t="shared" si="75"/>
        <v/>
      </c>
      <c r="CQ336" s="235"/>
      <c r="CR336" s="236"/>
      <c r="CS336" s="222" t="str">
        <f t="shared" si="76"/>
        <v/>
      </c>
      <c r="CT336" s="237" t="str">
        <f t="shared" si="77"/>
        <v/>
      </c>
      <c r="CU336" s="238"/>
      <c r="CV336" s="239"/>
      <c r="CW336" s="240"/>
    </row>
    <row r="337" spans="2:101" ht="16.5" customHeight="1">
      <c r="B337" s="122"/>
      <c r="E337" s="122"/>
      <c r="F337" s="194"/>
      <c r="G337" s="195"/>
      <c r="H337" s="195"/>
      <c r="I337" s="195"/>
      <c r="J337" s="196"/>
      <c r="K337" s="197"/>
      <c r="L337" s="198"/>
      <c r="M337" s="199"/>
      <c r="N337" s="200"/>
      <c r="O337" s="201"/>
      <c r="P337" s="201"/>
      <c r="Q337" s="201"/>
      <c r="R337" s="201"/>
      <c r="S337" s="201"/>
      <c r="T337" s="201"/>
      <c r="U337" s="201"/>
      <c r="V337" s="201"/>
      <c r="W337" s="201"/>
      <c r="X337" s="202"/>
      <c r="Y337" s="203"/>
      <c r="Z337" s="204"/>
      <c r="AA337" s="205"/>
      <c r="AB337" s="206"/>
      <c r="AC337" s="206"/>
      <c r="AD337" s="194"/>
      <c r="AE337" s="201"/>
      <c r="AF337" s="207"/>
      <c r="AG337" s="208"/>
      <c r="AH337" s="209"/>
      <c r="AI337" s="210"/>
      <c r="AJ337" s="197"/>
      <c r="AK337" s="201"/>
      <c r="AL337" s="196"/>
      <c r="AM337" s="201"/>
      <c r="AN337" s="201"/>
      <c r="AO337" s="201"/>
      <c r="AP337" s="211"/>
      <c r="AQ337" s="212"/>
      <c r="AR337" s="201"/>
      <c r="AS337" s="201"/>
      <c r="AT337" s="201"/>
      <c r="AU337" s="201"/>
      <c r="AV337" s="202"/>
      <c r="AW337" s="194"/>
      <c r="AX337" s="201"/>
      <c r="AY337" s="213"/>
      <c r="AZ337" s="214"/>
      <c r="BA337" s="215"/>
      <c r="BB337" s="216"/>
      <c r="BC337" s="217" t="str">
        <f t="shared" si="65"/>
        <v/>
      </c>
      <c r="BD337" s="218"/>
      <c r="BE337" s="219"/>
      <c r="BF337" s="220"/>
      <c r="BG337" s="219"/>
      <c r="BH337" s="219"/>
      <c r="BI337" s="220"/>
      <c r="BJ337" s="218"/>
      <c r="BK337" s="219"/>
      <c r="BL337" s="197"/>
      <c r="BM337" s="215"/>
      <c r="BN337" s="221"/>
      <c r="BO337" s="222" t="str">
        <f t="shared" si="66"/>
        <v/>
      </c>
      <c r="BP337" s="217" t="str">
        <f t="shared" si="67"/>
        <v/>
      </c>
      <c r="BQ337" s="215"/>
      <c r="BR337" s="224"/>
      <c r="BS337" s="225"/>
      <c r="BT337" s="223"/>
      <c r="BU337" s="215"/>
      <c r="BV337" s="226"/>
      <c r="BW337" s="222" t="str">
        <f t="shared" si="68"/>
        <v/>
      </c>
      <c r="BX337" s="223" t="str">
        <f t="shared" si="69"/>
        <v/>
      </c>
      <c r="BY337" s="215"/>
      <c r="BZ337" s="227"/>
      <c r="CA337" s="227"/>
      <c r="CB337" s="228"/>
      <c r="CC337" s="229"/>
      <c r="CD337" s="230" t="str">
        <f t="shared" si="70"/>
        <v/>
      </c>
      <c r="CE337" s="231" t="str">
        <f t="shared" si="71"/>
        <v/>
      </c>
      <c r="CF337" s="232" t="str">
        <f t="shared" si="72"/>
        <v/>
      </c>
      <c r="CG337" s="233" t="str">
        <f t="shared" si="73"/>
        <v/>
      </c>
      <c r="CH337" s="207" t="str">
        <f>IF(OR(G337="",CC337= ""), "", IF(ISERROR(SMALL((CJ337,CN337,CV337), 1)-CC337), "",  SMALL((CJ337,CN337,CV337), 1)-CC337))</f>
        <v/>
      </c>
      <c r="CI337" s="234"/>
      <c r="CJ337" s="235"/>
      <c r="CK337" s="236"/>
      <c r="CL337" s="222" t="str">
        <f t="shared" si="74"/>
        <v/>
      </c>
      <c r="CM337" s="237" t="str">
        <f>IF(OR(G337="", CJ337="",CK337=""), "", IF(ISERROR(SMALL((CN337,CV337), 1)-CK337), "",  SMALL((CN337,CV337), 1)-CK337))</f>
        <v/>
      </c>
      <c r="CN337" s="235"/>
      <c r="CO337" s="236"/>
      <c r="CP337" s="224" t="str">
        <f t="shared" si="75"/>
        <v/>
      </c>
      <c r="CQ337" s="235"/>
      <c r="CR337" s="236"/>
      <c r="CS337" s="222" t="str">
        <f t="shared" si="76"/>
        <v/>
      </c>
      <c r="CT337" s="237" t="str">
        <f t="shared" si="77"/>
        <v/>
      </c>
      <c r="CU337" s="238"/>
      <c r="CV337" s="239"/>
      <c r="CW337" s="240"/>
    </row>
    <row r="338" spans="2:101" ht="16.5" customHeight="1">
      <c r="B338" s="122"/>
      <c r="E338" s="122"/>
      <c r="F338" s="194"/>
      <c r="G338" s="195"/>
      <c r="H338" s="195"/>
      <c r="I338" s="195"/>
      <c r="J338" s="196"/>
      <c r="K338" s="197"/>
      <c r="L338" s="198"/>
      <c r="M338" s="199"/>
      <c r="N338" s="200"/>
      <c r="O338" s="201"/>
      <c r="P338" s="201"/>
      <c r="Q338" s="201"/>
      <c r="R338" s="201"/>
      <c r="S338" s="201"/>
      <c r="T338" s="201"/>
      <c r="U338" s="201"/>
      <c r="V338" s="201"/>
      <c r="W338" s="201"/>
      <c r="X338" s="202"/>
      <c r="Y338" s="203"/>
      <c r="Z338" s="204"/>
      <c r="AA338" s="205"/>
      <c r="AB338" s="206"/>
      <c r="AC338" s="206"/>
      <c r="AD338" s="194"/>
      <c r="AE338" s="201"/>
      <c r="AF338" s="207"/>
      <c r="AG338" s="208"/>
      <c r="AH338" s="209"/>
      <c r="AI338" s="210"/>
      <c r="AJ338" s="197"/>
      <c r="AK338" s="201"/>
      <c r="AL338" s="196"/>
      <c r="AM338" s="201"/>
      <c r="AN338" s="201"/>
      <c r="AO338" s="201"/>
      <c r="AP338" s="211"/>
      <c r="AQ338" s="212"/>
      <c r="AR338" s="201"/>
      <c r="AS338" s="201"/>
      <c r="AT338" s="201"/>
      <c r="AU338" s="201"/>
      <c r="AV338" s="202"/>
      <c r="AW338" s="194"/>
      <c r="AX338" s="201"/>
      <c r="AY338" s="213"/>
      <c r="AZ338" s="214"/>
      <c r="BA338" s="215"/>
      <c r="BB338" s="216"/>
      <c r="BC338" s="217" t="str">
        <f t="shared" si="65"/>
        <v/>
      </c>
      <c r="BD338" s="218"/>
      <c r="BE338" s="219"/>
      <c r="BF338" s="220"/>
      <c r="BG338" s="219"/>
      <c r="BH338" s="219"/>
      <c r="BI338" s="220"/>
      <c r="BJ338" s="218"/>
      <c r="BK338" s="219"/>
      <c r="BL338" s="197"/>
      <c r="BM338" s="215"/>
      <c r="BN338" s="221"/>
      <c r="BO338" s="222" t="str">
        <f t="shared" si="66"/>
        <v/>
      </c>
      <c r="BP338" s="217" t="str">
        <f t="shared" si="67"/>
        <v/>
      </c>
      <c r="BQ338" s="215"/>
      <c r="BR338" s="224"/>
      <c r="BS338" s="225"/>
      <c r="BT338" s="223"/>
      <c r="BU338" s="215"/>
      <c r="BV338" s="226"/>
      <c r="BW338" s="222" t="str">
        <f t="shared" si="68"/>
        <v/>
      </c>
      <c r="BX338" s="223" t="str">
        <f t="shared" si="69"/>
        <v/>
      </c>
      <c r="BY338" s="215"/>
      <c r="BZ338" s="227"/>
      <c r="CA338" s="227"/>
      <c r="CB338" s="228"/>
      <c r="CC338" s="229"/>
      <c r="CD338" s="230" t="str">
        <f t="shared" si="70"/>
        <v/>
      </c>
      <c r="CE338" s="231" t="str">
        <f t="shared" si="71"/>
        <v/>
      </c>
      <c r="CF338" s="232" t="str">
        <f t="shared" si="72"/>
        <v/>
      </c>
      <c r="CG338" s="233" t="str">
        <f t="shared" si="73"/>
        <v/>
      </c>
      <c r="CH338" s="207" t="str">
        <f>IF(OR(G338="",CC338= ""), "", IF(ISERROR(SMALL((CJ338,CN338,CV338), 1)-CC338), "",  SMALL((CJ338,CN338,CV338), 1)-CC338))</f>
        <v/>
      </c>
      <c r="CI338" s="234"/>
      <c r="CJ338" s="235"/>
      <c r="CK338" s="236"/>
      <c r="CL338" s="222" t="str">
        <f t="shared" si="74"/>
        <v/>
      </c>
      <c r="CM338" s="237" t="str">
        <f>IF(OR(G338="", CJ338="",CK338=""), "", IF(ISERROR(SMALL((CN338,CV338), 1)-CK338), "",  SMALL((CN338,CV338), 1)-CK338))</f>
        <v/>
      </c>
      <c r="CN338" s="235"/>
      <c r="CO338" s="236"/>
      <c r="CP338" s="224" t="str">
        <f t="shared" si="75"/>
        <v/>
      </c>
      <c r="CQ338" s="235"/>
      <c r="CR338" s="236"/>
      <c r="CS338" s="222" t="str">
        <f t="shared" si="76"/>
        <v/>
      </c>
      <c r="CT338" s="237" t="str">
        <f t="shared" si="77"/>
        <v/>
      </c>
      <c r="CU338" s="238"/>
      <c r="CV338" s="239"/>
      <c r="CW338" s="240"/>
    </row>
    <row r="339" spans="2:101" ht="16.5" customHeight="1">
      <c r="B339" s="122"/>
      <c r="E339" s="122"/>
      <c r="F339" s="194"/>
      <c r="G339" s="195"/>
      <c r="H339" s="195"/>
      <c r="I339" s="195"/>
      <c r="J339" s="196"/>
      <c r="K339" s="197"/>
      <c r="L339" s="198"/>
      <c r="M339" s="199"/>
      <c r="N339" s="200"/>
      <c r="O339" s="201"/>
      <c r="P339" s="201"/>
      <c r="Q339" s="201"/>
      <c r="R339" s="201"/>
      <c r="S339" s="201"/>
      <c r="T339" s="201"/>
      <c r="U339" s="201"/>
      <c r="V339" s="201"/>
      <c r="W339" s="201"/>
      <c r="X339" s="202"/>
      <c r="Y339" s="203"/>
      <c r="Z339" s="204"/>
      <c r="AA339" s="205"/>
      <c r="AB339" s="206"/>
      <c r="AC339" s="206"/>
      <c r="AD339" s="194"/>
      <c r="AE339" s="201"/>
      <c r="AF339" s="207"/>
      <c r="AG339" s="208"/>
      <c r="AH339" s="209"/>
      <c r="AI339" s="210"/>
      <c r="AJ339" s="197"/>
      <c r="AK339" s="201"/>
      <c r="AL339" s="196"/>
      <c r="AM339" s="201"/>
      <c r="AN339" s="201"/>
      <c r="AO339" s="201"/>
      <c r="AP339" s="211"/>
      <c r="AQ339" s="212"/>
      <c r="AR339" s="201"/>
      <c r="AS339" s="201"/>
      <c r="AT339" s="201"/>
      <c r="AU339" s="201"/>
      <c r="AV339" s="202"/>
      <c r="AW339" s="194"/>
      <c r="AX339" s="201"/>
      <c r="AY339" s="213"/>
      <c r="AZ339" s="214"/>
      <c r="BA339" s="215"/>
      <c r="BB339" s="216"/>
      <c r="BC339" s="217" t="str">
        <f t="shared" si="65"/>
        <v/>
      </c>
      <c r="BD339" s="218"/>
      <c r="BE339" s="219"/>
      <c r="BF339" s="220"/>
      <c r="BG339" s="219"/>
      <c r="BH339" s="219"/>
      <c r="BI339" s="220"/>
      <c r="BJ339" s="218"/>
      <c r="BK339" s="219"/>
      <c r="BL339" s="197"/>
      <c r="BM339" s="215"/>
      <c r="BN339" s="221"/>
      <c r="BO339" s="222" t="str">
        <f t="shared" si="66"/>
        <v/>
      </c>
      <c r="BP339" s="217" t="str">
        <f t="shared" si="67"/>
        <v/>
      </c>
      <c r="BQ339" s="215"/>
      <c r="BR339" s="224"/>
      <c r="BS339" s="225"/>
      <c r="BT339" s="223"/>
      <c r="BU339" s="215"/>
      <c r="BV339" s="226"/>
      <c r="BW339" s="222" t="str">
        <f t="shared" si="68"/>
        <v/>
      </c>
      <c r="BX339" s="223" t="str">
        <f t="shared" si="69"/>
        <v/>
      </c>
      <c r="BY339" s="215"/>
      <c r="BZ339" s="227"/>
      <c r="CA339" s="227"/>
      <c r="CB339" s="228"/>
      <c r="CC339" s="229"/>
      <c r="CD339" s="230" t="str">
        <f t="shared" si="70"/>
        <v/>
      </c>
      <c r="CE339" s="231" t="str">
        <f t="shared" si="71"/>
        <v/>
      </c>
      <c r="CF339" s="232" t="str">
        <f t="shared" si="72"/>
        <v/>
      </c>
      <c r="CG339" s="233" t="str">
        <f t="shared" si="73"/>
        <v/>
      </c>
      <c r="CH339" s="207" t="str">
        <f>IF(OR(G339="",CC339= ""), "", IF(ISERROR(SMALL((CJ339,CN339,CV339), 1)-CC339), "",  SMALL((CJ339,CN339,CV339), 1)-CC339))</f>
        <v/>
      </c>
      <c r="CI339" s="234"/>
      <c r="CJ339" s="235"/>
      <c r="CK339" s="236"/>
      <c r="CL339" s="222" t="str">
        <f t="shared" si="74"/>
        <v/>
      </c>
      <c r="CM339" s="237" t="str">
        <f>IF(OR(G339="", CJ339="",CK339=""), "", IF(ISERROR(SMALL((CN339,CV339), 1)-CK339), "",  SMALL((CN339,CV339), 1)-CK339))</f>
        <v/>
      </c>
      <c r="CN339" s="235"/>
      <c r="CO339" s="236"/>
      <c r="CP339" s="224" t="str">
        <f t="shared" si="75"/>
        <v/>
      </c>
      <c r="CQ339" s="235"/>
      <c r="CR339" s="236"/>
      <c r="CS339" s="222" t="str">
        <f t="shared" si="76"/>
        <v/>
      </c>
      <c r="CT339" s="237" t="str">
        <f t="shared" si="77"/>
        <v/>
      </c>
      <c r="CU339" s="238"/>
      <c r="CV339" s="239"/>
      <c r="CW339" s="240"/>
    </row>
    <row r="340" spans="2:101" ht="16.5" customHeight="1">
      <c r="B340" s="122"/>
      <c r="E340" s="122"/>
      <c r="F340" s="194"/>
      <c r="G340" s="195"/>
      <c r="H340" s="195"/>
      <c r="I340" s="195"/>
      <c r="J340" s="196"/>
      <c r="K340" s="197"/>
      <c r="L340" s="198"/>
      <c r="M340" s="199"/>
      <c r="N340" s="200"/>
      <c r="O340" s="201"/>
      <c r="P340" s="201"/>
      <c r="Q340" s="201"/>
      <c r="R340" s="201"/>
      <c r="S340" s="201"/>
      <c r="T340" s="201"/>
      <c r="U340" s="201"/>
      <c r="V340" s="201"/>
      <c r="W340" s="201"/>
      <c r="X340" s="202"/>
      <c r="Y340" s="203"/>
      <c r="Z340" s="204"/>
      <c r="AA340" s="205"/>
      <c r="AB340" s="206"/>
      <c r="AC340" s="206"/>
      <c r="AD340" s="194"/>
      <c r="AE340" s="201"/>
      <c r="AF340" s="207"/>
      <c r="AG340" s="208"/>
      <c r="AH340" s="209"/>
      <c r="AI340" s="210"/>
      <c r="AJ340" s="197"/>
      <c r="AK340" s="201"/>
      <c r="AL340" s="196"/>
      <c r="AM340" s="201"/>
      <c r="AN340" s="201"/>
      <c r="AO340" s="201"/>
      <c r="AP340" s="211"/>
      <c r="AQ340" s="212"/>
      <c r="AR340" s="201"/>
      <c r="AS340" s="201"/>
      <c r="AT340" s="201"/>
      <c r="AU340" s="201"/>
      <c r="AV340" s="202"/>
      <c r="AW340" s="194"/>
      <c r="AX340" s="201"/>
      <c r="AY340" s="213"/>
      <c r="AZ340" s="214"/>
      <c r="BA340" s="215"/>
      <c r="BB340" s="216"/>
      <c r="BC340" s="217" t="str">
        <f t="shared" si="65"/>
        <v/>
      </c>
      <c r="BD340" s="218"/>
      <c r="BE340" s="219"/>
      <c r="BF340" s="220"/>
      <c r="BG340" s="219"/>
      <c r="BH340" s="219"/>
      <c r="BI340" s="220"/>
      <c r="BJ340" s="218"/>
      <c r="BK340" s="219"/>
      <c r="BL340" s="197"/>
      <c r="BM340" s="215"/>
      <c r="BN340" s="221"/>
      <c r="BO340" s="222" t="str">
        <f t="shared" si="66"/>
        <v/>
      </c>
      <c r="BP340" s="217" t="str">
        <f t="shared" si="67"/>
        <v/>
      </c>
      <c r="BQ340" s="215"/>
      <c r="BR340" s="224"/>
      <c r="BS340" s="225"/>
      <c r="BT340" s="223"/>
      <c r="BU340" s="215"/>
      <c r="BV340" s="226"/>
      <c r="BW340" s="222" t="str">
        <f t="shared" si="68"/>
        <v/>
      </c>
      <c r="BX340" s="223" t="str">
        <f t="shared" si="69"/>
        <v/>
      </c>
      <c r="BY340" s="215"/>
      <c r="BZ340" s="227"/>
      <c r="CA340" s="227"/>
      <c r="CB340" s="228"/>
      <c r="CC340" s="229"/>
      <c r="CD340" s="230" t="str">
        <f t="shared" si="70"/>
        <v/>
      </c>
      <c r="CE340" s="231" t="str">
        <f t="shared" si="71"/>
        <v/>
      </c>
      <c r="CF340" s="232" t="str">
        <f t="shared" si="72"/>
        <v/>
      </c>
      <c r="CG340" s="233" t="str">
        <f t="shared" si="73"/>
        <v/>
      </c>
      <c r="CH340" s="207" t="str">
        <f>IF(OR(G340="",CC340= ""), "", IF(ISERROR(SMALL((CJ340,CN340,CV340), 1)-CC340), "",  SMALL((CJ340,CN340,CV340), 1)-CC340))</f>
        <v/>
      </c>
      <c r="CI340" s="234"/>
      <c r="CJ340" s="235"/>
      <c r="CK340" s="236"/>
      <c r="CL340" s="222" t="str">
        <f t="shared" si="74"/>
        <v/>
      </c>
      <c r="CM340" s="237" t="str">
        <f>IF(OR(G340="", CJ340="",CK340=""), "", IF(ISERROR(SMALL((CN340,CV340), 1)-CK340), "",  SMALL((CN340,CV340), 1)-CK340))</f>
        <v/>
      </c>
      <c r="CN340" s="235"/>
      <c r="CO340" s="236"/>
      <c r="CP340" s="224" t="str">
        <f t="shared" si="75"/>
        <v/>
      </c>
      <c r="CQ340" s="235"/>
      <c r="CR340" s="236"/>
      <c r="CS340" s="222" t="str">
        <f t="shared" si="76"/>
        <v/>
      </c>
      <c r="CT340" s="237" t="str">
        <f t="shared" si="77"/>
        <v/>
      </c>
      <c r="CU340" s="238"/>
      <c r="CV340" s="239"/>
      <c r="CW340" s="240"/>
    </row>
    <row r="341" spans="2:101" ht="16.5" customHeight="1">
      <c r="B341" s="122"/>
      <c r="E341" s="122"/>
      <c r="F341" s="194"/>
      <c r="G341" s="195"/>
      <c r="H341" s="195"/>
      <c r="I341" s="195"/>
      <c r="J341" s="196"/>
      <c r="K341" s="197"/>
      <c r="L341" s="198"/>
      <c r="M341" s="199"/>
      <c r="N341" s="200"/>
      <c r="O341" s="201"/>
      <c r="P341" s="201"/>
      <c r="Q341" s="201"/>
      <c r="R341" s="201"/>
      <c r="S341" s="201"/>
      <c r="T341" s="201"/>
      <c r="U341" s="201"/>
      <c r="V341" s="201"/>
      <c r="W341" s="201"/>
      <c r="X341" s="202"/>
      <c r="Y341" s="203"/>
      <c r="Z341" s="204"/>
      <c r="AA341" s="205"/>
      <c r="AB341" s="206"/>
      <c r="AC341" s="206"/>
      <c r="AD341" s="194"/>
      <c r="AE341" s="201"/>
      <c r="AF341" s="207"/>
      <c r="AG341" s="208"/>
      <c r="AH341" s="209"/>
      <c r="AI341" s="210"/>
      <c r="AJ341" s="197"/>
      <c r="AK341" s="201"/>
      <c r="AL341" s="196"/>
      <c r="AM341" s="201"/>
      <c r="AN341" s="201"/>
      <c r="AO341" s="201"/>
      <c r="AP341" s="211"/>
      <c r="AQ341" s="212"/>
      <c r="AR341" s="201"/>
      <c r="AS341" s="201"/>
      <c r="AT341" s="201"/>
      <c r="AU341" s="201"/>
      <c r="AV341" s="202"/>
      <c r="AW341" s="194"/>
      <c r="AX341" s="201"/>
      <c r="AY341" s="213"/>
      <c r="AZ341" s="214"/>
      <c r="BA341" s="215"/>
      <c r="BB341" s="216"/>
      <c r="BC341" s="217" t="str">
        <f t="shared" si="65"/>
        <v/>
      </c>
      <c r="BD341" s="218"/>
      <c r="BE341" s="219"/>
      <c r="BF341" s="220"/>
      <c r="BG341" s="219"/>
      <c r="BH341" s="219"/>
      <c r="BI341" s="220"/>
      <c r="BJ341" s="218"/>
      <c r="BK341" s="219"/>
      <c r="BL341" s="197"/>
      <c r="BM341" s="215"/>
      <c r="BN341" s="221"/>
      <c r="BO341" s="222" t="str">
        <f t="shared" si="66"/>
        <v/>
      </c>
      <c r="BP341" s="217" t="str">
        <f t="shared" si="67"/>
        <v/>
      </c>
      <c r="BQ341" s="215"/>
      <c r="BR341" s="224"/>
      <c r="BS341" s="225"/>
      <c r="BT341" s="223"/>
      <c r="BU341" s="215"/>
      <c r="BV341" s="226"/>
      <c r="BW341" s="222" t="str">
        <f t="shared" si="68"/>
        <v/>
      </c>
      <c r="BX341" s="223" t="str">
        <f t="shared" si="69"/>
        <v/>
      </c>
      <c r="BY341" s="215"/>
      <c r="BZ341" s="227"/>
      <c r="CA341" s="227"/>
      <c r="CB341" s="228"/>
      <c r="CC341" s="229"/>
      <c r="CD341" s="230" t="str">
        <f t="shared" si="70"/>
        <v/>
      </c>
      <c r="CE341" s="231" t="str">
        <f t="shared" si="71"/>
        <v/>
      </c>
      <c r="CF341" s="232" t="str">
        <f t="shared" si="72"/>
        <v/>
      </c>
      <c r="CG341" s="233" t="str">
        <f t="shared" si="73"/>
        <v/>
      </c>
      <c r="CH341" s="207" t="str">
        <f>IF(OR(G341="",CC341= ""), "", IF(ISERROR(SMALL((CJ341,CN341,CV341), 1)-CC341), "",  SMALL((CJ341,CN341,CV341), 1)-CC341))</f>
        <v/>
      </c>
      <c r="CI341" s="234"/>
      <c r="CJ341" s="235"/>
      <c r="CK341" s="236"/>
      <c r="CL341" s="222" t="str">
        <f t="shared" si="74"/>
        <v/>
      </c>
      <c r="CM341" s="237" t="str">
        <f>IF(OR(G341="", CJ341="",CK341=""), "", IF(ISERROR(SMALL((CN341,CV341), 1)-CK341), "",  SMALL((CN341,CV341), 1)-CK341))</f>
        <v/>
      </c>
      <c r="CN341" s="235"/>
      <c r="CO341" s="236"/>
      <c r="CP341" s="224" t="str">
        <f t="shared" si="75"/>
        <v/>
      </c>
      <c r="CQ341" s="235"/>
      <c r="CR341" s="236"/>
      <c r="CS341" s="222" t="str">
        <f t="shared" si="76"/>
        <v/>
      </c>
      <c r="CT341" s="237" t="str">
        <f t="shared" si="77"/>
        <v/>
      </c>
      <c r="CU341" s="238"/>
      <c r="CV341" s="239"/>
      <c r="CW341" s="240"/>
    </row>
    <row r="342" spans="2:101" ht="16.5" customHeight="1">
      <c r="B342" s="122"/>
      <c r="E342" s="122"/>
      <c r="F342" s="194"/>
      <c r="G342" s="195"/>
      <c r="H342" s="195"/>
      <c r="I342" s="195"/>
      <c r="J342" s="196"/>
      <c r="K342" s="197"/>
      <c r="L342" s="198"/>
      <c r="M342" s="199"/>
      <c r="N342" s="200"/>
      <c r="O342" s="201"/>
      <c r="P342" s="201"/>
      <c r="Q342" s="201"/>
      <c r="R342" s="201"/>
      <c r="S342" s="201"/>
      <c r="T342" s="201"/>
      <c r="U342" s="201"/>
      <c r="V342" s="201"/>
      <c r="W342" s="201"/>
      <c r="X342" s="202"/>
      <c r="Y342" s="203"/>
      <c r="Z342" s="204"/>
      <c r="AA342" s="205"/>
      <c r="AB342" s="206"/>
      <c r="AC342" s="206"/>
      <c r="AD342" s="194"/>
      <c r="AE342" s="201"/>
      <c r="AF342" s="207"/>
      <c r="AG342" s="208"/>
      <c r="AH342" s="209"/>
      <c r="AI342" s="210"/>
      <c r="AJ342" s="197"/>
      <c r="AK342" s="201"/>
      <c r="AL342" s="196"/>
      <c r="AM342" s="201"/>
      <c r="AN342" s="201"/>
      <c r="AO342" s="201"/>
      <c r="AP342" s="211"/>
      <c r="AQ342" s="212"/>
      <c r="AR342" s="201"/>
      <c r="AS342" s="201"/>
      <c r="AT342" s="201"/>
      <c r="AU342" s="201"/>
      <c r="AV342" s="202"/>
      <c r="AW342" s="194"/>
      <c r="AX342" s="201"/>
      <c r="AY342" s="213"/>
      <c r="AZ342" s="214"/>
      <c r="BA342" s="215"/>
      <c r="BB342" s="216"/>
      <c r="BC342" s="217" t="str">
        <f t="shared" si="65"/>
        <v/>
      </c>
      <c r="BD342" s="218"/>
      <c r="BE342" s="219"/>
      <c r="BF342" s="220"/>
      <c r="BG342" s="219"/>
      <c r="BH342" s="219"/>
      <c r="BI342" s="220"/>
      <c r="BJ342" s="218"/>
      <c r="BK342" s="219"/>
      <c r="BL342" s="197"/>
      <c r="BM342" s="215"/>
      <c r="BN342" s="221"/>
      <c r="BO342" s="222" t="str">
        <f t="shared" si="66"/>
        <v/>
      </c>
      <c r="BP342" s="217" t="str">
        <f t="shared" si="67"/>
        <v/>
      </c>
      <c r="BQ342" s="215"/>
      <c r="BR342" s="224"/>
      <c r="BS342" s="225"/>
      <c r="BT342" s="223"/>
      <c r="BU342" s="215"/>
      <c r="BV342" s="226"/>
      <c r="BW342" s="222" t="str">
        <f t="shared" si="68"/>
        <v/>
      </c>
      <c r="BX342" s="223" t="str">
        <f t="shared" si="69"/>
        <v/>
      </c>
      <c r="BY342" s="215"/>
      <c r="BZ342" s="227"/>
      <c r="CA342" s="227"/>
      <c r="CB342" s="228"/>
      <c r="CC342" s="229"/>
      <c r="CD342" s="230" t="str">
        <f t="shared" si="70"/>
        <v/>
      </c>
      <c r="CE342" s="231" t="str">
        <f t="shared" si="71"/>
        <v/>
      </c>
      <c r="CF342" s="232" t="str">
        <f t="shared" si="72"/>
        <v/>
      </c>
      <c r="CG342" s="233" t="str">
        <f t="shared" si="73"/>
        <v/>
      </c>
      <c r="CH342" s="207" t="str">
        <f>IF(OR(G342="",CC342= ""), "", IF(ISERROR(SMALL((CJ342,CN342,CV342), 1)-CC342), "",  SMALL((CJ342,CN342,CV342), 1)-CC342))</f>
        <v/>
      </c>
      <c r="CI342" s="234"/>
      <c r="CJ342" s="235"/>
      <c r="CK342" s="236"/>
      <c r="CL342" s="222" t="str">
        <f t="shared" si="74"/>
        <v/>
      </c>
      <c r="CM342" s="237" t="str">
        <f>IF(OR(G342="", CJ342="",CK342=""), "", IF(ISERROR(SMALL((CN342,CV342), 1)-CK342), "",  SMALL((CN342,CV342), 1)-CK342))</f>
        <v/>
      </c>
      <c r="CN342" s="235"/>
      <c r="CO342" s="236"/>
      <c r="CP342" s="224" t="str">
        <f t="shared" si="75"/>
        <v/>
      </c>
      <c r="CQ342" s="235"/>
      <c r="CR342" s="236"/>
      <c r="CS342" s="222" t="str">
        <f t="shared" si="76"/>
        <v/>
      </c>
      <c r="CT342" s="237" t="str">
        <f t="shared" si="77"/>
        <v/>
      </c>
      <c r="CU342" s="238"/>
      <c r="CV342" s="239"/>
      <c r="CW342" s="240"/>
    </row>
    <row r="343" spans="2:101" ht="16.5" customHeight="1">
      <c r="B343" s="122"/>
      <c r="E343" s="122"/>
      <c r="F343" s="194"/>
      <c r="G343" s="195"/>
      <c r="H343" s="195"/>
      <c r="I343" s="195"/>
      <c r="J343" s="196"/>
      <c r="K343" s="197"/>
      <c r="L343" s="198"/>
      <c r="M343" s="199"/>
      <c r="N343" s="200"/>
      <c r="O343" s="201"/>
      <c r="P343" s="201"/>
      <c r="Q343" s="201"/>
      <c r="R343" s="201"/>
      <c r="S343" s="201"/>
      <c r="T343" s="201"/>
      <c r="U343" s="201"/>
      <c r="V343" s="201"/>
      <c r="W343" s="201"/>
      <c r="X343" s="202"/>
      <c r="Y343" s="203"/>
      <c r="Z343" s="204"/>
      <c r="AA343" s="205"/>
      <c r="AB343" s="206"/>
      <c r="AC343" s="206"/>
      <c r="AD343" s="194"/>
      <c r="AE343" s="201"/>
      <c r="AF343" s="207"/>
      <c r="AG343" s="208"/>
      <c r="AH343" s="209"/>
      <c r="AI343" s="210"/>
      <c r="AJ343" s="197"/>
      <c r="AK343" s="201"/>
      <c r="AL343" s="196"/>
      <c r="AM343" s="201"/>
      <c r="AN343" s="201"/>
      <c r="AO343" s="201"/>
      <c r="AP343" s="211"/>
      <c r="AQ343" s="212"/>
      <c r="AR343" s="201"/>
      <c r="AS343" s="201"/>
      <c r="AT343" s="201"/>
      <c r="AU343" s="201"/>
      <c r="AV343" s="202"/>
      <c r="AW343" s="194"/>
      <c r="AX343" s="201"/>
      <c r="AY343" s="213"/>
      <c r="AZ343" s="214"/>
      <c r="BA343" s="215"/>
      <c r="BB343" s="216"/>
      <c r="BC343" s="217" t="str">
        <f t="shared" si="65"/>
        <v/>
      </c>
      <c r="BD343" s="218"/>
      <c r="BE343" s="219"/>
      <c r="BF343" s="220"/>
      <c r="BG343" s="219"/>
      <c r="BH343" s="219"/>
      <c r="BI343" s="220"/>
      <c r="BJ343" s="218"/>
      <c r="BK343" s="219"/>
      <c r="BL343" s="197"/>
      <c r="BM343" s="215"/>
      <c r="BN343" s="221"/>
      <c r="BO343" s="222" t="str">
        <f t="shared" si="66"/>
        <v/>
      </c>
      <c r="BP343" s="217" t="str">
        <f t="shared" si="67"/>
        <v/>
      </c>
      <c r="BQ343" s="215"/>
      <c r="BR343" s="224"/>
      <c r="BS343" s="225"/>
      <c r="BT343" s="223"/>
      <c r="BU343" s="215"/>
      <c r="BV343" s="226"/>
      <c r="BW343" s="222" t="str">
        <f t="shared" si="68"/>
        <v/>
      </c>
      <c r="BX343" s="223" t="str">
        <f t="shared" si="69"/>
        <v/>
      </c>
      <c r="BY343" s="215"/>
      <c r="BZ343" s="227"/>
      <c r="CA343" s="227"/>
      <c r="CB343" s="228"/>
      <c r="CC343" s="229"/>
      <c r="CD343" s="230" t="str">
        <f t="shared" si="70"/>
        <v/>
      </c>
      <c r="CE343" s="231" t="str">
        <f t="shared" si="71"/>
        <v/>
      </c>
      <c r="CF343" s="232" t="str">
        <f t="shared" si="72"/>
        <v/>
      </c>
      <c r="CG343" s="233" t="str">
        <f t="shared" si="73"/>
        <v/>
      </c>
      <c r="CH343" s="207" t="str">
        <f>IF(OR(G343="",CC343= ""), "", IF(ISERROR(SMALL((CJ343,CN343,CV343), 1)-CC343), "",  SMALL((CJ343,CN343,CV343), 1)-CC343))</f>
        <v/>
      </c>
      <c r="CI343" s="234"/>
      <c r="CJ343" s="235"/>
      <c r="CK343" s="236"/>
      <c r="CL343" s="222" t="str">
        <f t="shared" si="74"/>
        <v/>
      </c>
      <c r="CM343" s="237" t="str">
        <f>IF(OR(G343="", CJ343="",CK343=""), "", IF(ISERROR(SMALL((CN343,CV343), 1)-CK343), "",  SMALL((CN343,CV343), 1)-CK343))</f>
        <v/>
      </c>
      <c r="CN343" s="235"/>
      <c r="CO343" s="236"/>
      <c r="CP343" s="224" t="str">
        <f t="shared" si="75"/>
        <v/>
      </c>
      <c r="CQ343" s="235"/>
      <c r="CR343" s="236"/>
      <c r="CS343" s="222" t="str">
        <f t="shared" si="76"/>
        <v/>
      </c>
      <c r="CT343" s="237" t="str">
        <f t="shared" si="77"/>
        <v/>
      </c>
      <c r="CU343" s="238"/>
      <c r="CV343" s="239"/>
      <c r="CW343" s="240"/>
    </row>
    <row r="344" spans="2:101" ht="16.5" customHeight="1">
      <c r="B344" s="122"/>
      <c r="E344" s="122"/>
      <c r="F344" s="194"/>
      <c r="G344" s="195"/>
      <c r="H344" s="195"/>
      <c r="I344" s="195"/>
      <c r="J344" s="196"/>
      <c r="K344" s="197"/>
      <c r="L344" s="198"/>
      <c r="M344" s="199"/>
      <c r="N344" s="200"/>
      <c r="O344" s="201"/>
      <c r="P344" s="201"/>
      <c r="Q344" s="201"/>
      <c r="R344" s="201"/>
      <c r="S344" s="201"/>
      <c r="T344" s="201"/>
      <c r="U344" s="201"/>
      <c r="V344" s="201"/>
      <c r="W344" s="201"/>
      <c r="X344" s="202"/>
      <c r="Y344" s="203"/>
      <c r="Z344" s="204"/>
      <c r="AA344" s="205"/>
      <c r="AB344" s="206"/>
      <c r="AC344" s="206"/>
      <c r="AD344" s="194"/>
      <c r="AE344" s="201"/>
      <c r="AF344" s="207"/>
      <c r="AG344" s="208"/>
      <c r="AH344" s="209"/>
      <c r="AI344" s="210"/>
      <c r="AJ344" s="197"/>
      <c r="AK344" s="201"/>
      <c r="AL344" s="196"/>
      <c r="AM344" s="201"/>
      <c r="AN344" s="201"/>
      <c r="AO344" s="201"/>
      <c r="AP344" s="211"/>
      <c r="AQ344" s="212"/>
      <c r="AR344" s="201"/>
      <c r="AS344" s="201"/>
      <c r="AT344" s="201"/>
      <c r="AU344" s="201"/>
      <c r="AV344" s="202"/>
      <c r="AW344" s="194"/>
      <c r="AX344" s="201"/>
      <c r="AY344" s="213"/>
      <c r="AZ344" s="214"/>
      <c r="BA344" s="215"/>
      <c r="BB344" s="216"/>
      <c r="BC344" s="217" t="str">
        <f t="shared" si="65"/>
        <v/>
      </c>
      <c r="BD344" s="218"/>
      <c r="BE344" s="219"/>
      <c r="BF344" s="220"/>
      <c r="BG344" s="219"/>
      <c r="BH344" s="219"/>
      <c r="BI344" s="220"/>
      <c r="BJ344" s="218"/>
      <c r="BK344" s="219"/>
      <c r="BL344" s="197"/>
      <c r="BM344" s="215"/>
      <c r="BN344" s="221"/>
      <c r="BO344" s="222" t="str">
        <f t="shared" si="66"/>
        <v/>
      </c>
      <c r="BP344" s="217" t="str">
        <f t="shared" si="67"/>
        <v/>
      </c>
      <c r="BQ344" s="215"/>
      <c r="BR344" s="224"/>
      <c r="BS344" s="225"/>
      <c r="BT344" s="223"/>
      <c r="BU344" s="215"/>
      <c r="BV344" s="226"/>
      <c r="BW344" s="222" t="str">
        <f t="shared" si="68"/>
        <v/>
      </c>
      <c r="BX344" s="223" t="str">
        <f t="shared" si="69"/>
        <v/>
      </c>
      <c r="BY344" s="215"/>
      <c r="BZ344" s="227"/>
      <c r="CA344" s="227"/>
      <c r="CB344" s="228"/>
      <c r="CC344" s="229"/>
      <c r="CD344" s="230" t="str">
        <f t="shared" si="70"/>
        <v/>
      </c>
      <c r="CE344" s="231" t="str">
        <f t="shared" si="71"/>
        <v/>
      </c>
      <c r="CF344" s="232" t="str">
        <f t="shared" si="72"/>
        <v/>
      </c>
      <c r="CG344" s="233" t="str">
        <f t="shared" si="73"/>
        <v/>
      </c>
      <c r="CH344" s="207" t="str">
        <f>IF(OR(G344="",CC344= ""), "", IF(ISERROR(SMALL((CJ344,CN344,CV344), 1)-CC344), "",  SMALL((CJ344,CN344,CV344), 1)-CC344))</f>
        <v/>
      </c>
      <c r="CI344" s="234"/>
      <c r="CJ344" s="235"/>
      <c r="CK344" s="236"/>
      <c r="CL344" s="222" t="str">
        <f t="shared" si="74"/>
        <v/>
      </c>
      <c r="CM344" s="237" t="str">
        <f>IF(OR(G344="", CJ344="",CK344=""), "", IF(ISERROR(SMALL((CN344,CV344), 1)-CK344), "",  SMALL((CN344,CV344), 1)-CK344))</f>
        <v/>
      </c>
      <c r="CN344" s="235"/>
      <c r="CO344" s="236"/>
      <c r="CP344" s="224" t="str">
        <f t="shared" si="75"/>
        <v/>
      </c>
      <c r="CQ344" s="235"/>
      <c r="CR344" s="236"/>
      <c r="CS344" s="222" t="str">
        <f t="shared" si="76"/>
        <v/>
      </c>
      <c r="CT344" s="237" t="str">
        <f t="shared" si="77"/>
        <v/>
      </c>
      <c r="CU344" s="238"/>
      <c r="CV344" s="239"/>
      <c r="CW344" s="240"/>
    </row>
    <row r="345" spans="2:101" ht="16.5" customHeight="1">
      <c r="B345" s="122"/>
      <c r="E345" s="122"/>
      <c r="F345" s="194"/>
      <c r="G345" s="195"/>
      <c r="H345" s="195"/>
      <c r="I345" s="195"/>
      <c r="J345" s="196"/>
      <c r="K345" s="197"/>
      <c r="L345" s="198"/>
      <c r="M345" s="199"/>
      <c r="N345" s="200"/>
      <c r="O345" s="201"/>
      <c r="P345" s="201"/>
      <c r="Q345" s="201"/>
      <c r="R345" s="201"/>
      <c r="S345" s="201"/>
      <c r="T345" s="201"/>
      <c r="U345" s="201"/>
      <c r="V345" s="201"/>
      <c r="W345" s="201"/>
      <c r="X345" s="202"/>
      <c r="Y345" s="203"/>
      <c r="Z345" s="204"/>
      <c r="AA345" s="205"/>
      <c r="AB345" s="206"/>
      <c r="AC345" s="206"/>
      <c r="AD345" s="194"/>
      <c r="AE345" s="201"/>
      <c r="AF345" s="207"/>
      <c r="AG345" s="208"/>
      <c r="AH345" s="209"/>
      <c r="AI345" s="210"/>
      <c r="AJ345" s="197"/>
      <c r="AK345" s="201"/>
      <c r="AL345" s="196"/>
      <c r="AM345" s="201"/>
      <c r="AN345" s="201"/>
      <c r="AO345" s="201"/>
      <c r="AP345" s="211"/>
      <c r="AQ345" s="212"/>
      <c r="AR345" s="201"/>
      <c r="AS345" s="201"/>
      <c r="AT345" s="201"/>
      <c r="AU345" s="201"/>
      <c r="AV345" s="202"/>
      <c r="AW345" s="194"/>
      <c r="AX345" s="201"/>
      <c r="AY345" s="213"/>
      <c r="AZ345" s="214"/>
      <c r="BA345" s="215"/>
      <c r="BB345" s="216"/>
      <c r="BC345" s="217" t="str">
        <f t="shared" si="65"/>
        <v/>
      </c>
      <c r="BD345" s="218"/>
      <c r="BE345" s="219"/>
      <c r="BF345" s="220"/>
      <c r="BG345" s="219"/>
      <c r="BH345" s="219"/>
      <c r="BI345" s="220"/>
      <c r="BJ345" s="218"/>
      <c r="BK345" s="219"/>
      <c r="BL345" s="197"/>
      <c r="BM345" s="215"/>
      <c r="BN345" s="221"/>
      <c r="BO345" s="222" t="str">
        <f t="shared" si="66"/>
        <v/>
      </c>
      <c r="BP345" s="217" t="str">
        <f t="shared" si="67"/>
        <v/>
      </c>
      <c r="BQ345" s="215"/>
      <c r="BR345" s="224"/>
      <c r="BS345" s="225"/>
      <c r="BT345" s="223"/>
      <c r="BU345" s="215"/>
      <c r="BV345" s="226"/>
      <c r="BW345" s="222" t="str">
        <f t="shared" si="68"/>
        <v/>
      </c>
      <c r="BX345" s="223" t="str">
        <f t="shared" si="69"/>
        <v/>
      </c>
      <c r="BY345" s="215"/>
      <c r="BZ345" s="227"/>
      <c r="CA345" s="227"/>
      <c r="CB345" s="228"/>
      <c r="CC345" s="229"/>
      <c r="CD345" s="230" t="str">
        <f t="shared" si="70"/>
        <v/>
      </c>
      <c r="CE345" s="231" t="str">
        <f t="shared" si="71"/>
        <v/>
      </c>
      <c r="CF345" s="232" t="str">
        <f t="shared" si="72"/>
        <v/>
      </c>
      <c r="CG345" s="233" t="str">
        <f t="shared" si="73"/>
        <v/>
      </c>
      <c r="CH345" s="207" t="str">
        <f>IF(OR(G345="",CC345= ""), "", IF(ISERROR(SMALL((CJ345,CN345,CV345), 1)-CC345), "",  SMALL((CJ345,CN345,CV345), 1)-CC345))</f>
        <v/>
      </c>
      <c r="CI345" s="234"/>
      <c r="CJ345" s="235"/>
      <c r="CK345" s="236"/>
      <c r="CL345" s="222" t="str">
        <f t="shared" si="74"/>
        <v/>
      </c>
      <c r="CM345" s="237" t="str">
        <f>IF(OR(G345="", CJ345="",CK345=""), "", IF(ISERROR(SMALL((CN345,CV345), 1)-CK345), "",  SMALL((CN345,CV345), 1)-CK345))</f>
        <v/>
      </c>
      <c r="CN345" s="235"/>
      <c r="CO345" s="236"/>
      <c r="CP345" s="224" t="str">
        <f t="shared" si="75"/>
        <v/>
      </c>
      <c r="CQ345" s="235"/>
      <c r="CR345" s="236"/>
      <c r="CS345" s="222" t="str">
        <f t="shared" si="76"/>
        <v/>
      </c>
      <c r="CT345" s="237" t="str">
        <f t="shared" si="77"/>
        <v/>
      </c>
      <c r="CU345" s="238"/>
      <c r="CV345" s="239"/>
      <c r="CW345" s="240"/>
    </row>
    <row r="346" spans="2:101" ht="16.5" customHeight="1">
      <c r="B346" s="122"/>
      <c r="E346" s="122"/>
      <c r="F346" s="194"/>
      <c r="G346" s="195"/>
      <c r="H346" s="195"/>
      <c r="I346" s="195"/>
      <c r="J346" s="196"/>
      <c r="K346" s="197"/>
      <c r="L346" s="198"/>
      <c r="M346" s="199"/>
      <c r="N346" s="200"/>
      <c r="O346" s="201"/>
      <c r="P346" s="201"/>
      <c r="Q346" s="201"/>
      <c r="R346" s="201"/>
      <c r="S346" s="201"/>
      <c r="T346" s="201"/>
      <c r="U346" s="201"/>
      <c r="V346" s="201"/>
      <c r="W346" s="201"/>
      <c r="X346" s="202"/>
      <c r="Y346" s="203"/>
      <c r="Z346" s="204"/>
      <c r="AA346" s="205"/>
      <c r="AB346" s="206"/>
      <c r="AC346" s="206"/>
      <c r="AD346" s="194"/>
      <c r="AE346" s="201"/>
      <c r="AF346" s="207"/>
      <c r="AG346" s="208"/>
      <c r="AH346" s="209"/>
      <c r="AI346" s="210"/>
      <c r="AJ346" s="197"/>
      <c r="AK346" s="201"/>
      <c r="AL346" s="196"/>
      <c r="AM346" s="201"/>
      <c r="AN346" s="201"/>
      <c r="AO346" s="201"/>
      <c r="AP346" s="211"/>
      <c r="AQ346" s="212"/>
      <c r="AR346" s="201"/>
      <c r="AS346" s="201"/>
      <c r="AT346" s="201"/>
      <c r="AU346" s="201"/>
      <c r="AV346" s="202"/>
      <c r="AW346" s="194"/>
      <c r="AX346" s="201"/>
      <c r="AY346" s="213"/>
      <c r="AZ346" s="214"/>
      <c r="BA346" s="215"/>
      <c r="BB346" s="216"/>
      <c r="BC346" s="217" t="str">
        <f t="shared" si="65"/>
        <v/>
      </c>
      <c r="BD346" s="218"/>
      <c r="BE346" s="219"/>
      <c r="BF346" s="220"/>
      <c r="BG346" s="219"/>
      <c r="BH346" s="219"/>
      <c r="BI346" s="220"/>
      <c r="BJ346" s="218"/>
      <c r="BK346" s="219"/>
      <c r="BL346" s="197"/>
      <c r="BM346" s="215"/>
      <c r="BN346" s="221"/>
      <c r="BO346" s="222" t="str">
        <f t="shared" si="66"/>
        <v/>
      </c>
      <c r="BP346" s="217" t="str">
        <f t="shared" si="67"/>
        <v/>
      </c>
      <c r="BQ346" s="215"/>
      <c r="BR346" s="224"/>
      <c r="BS346" s="225"/>
      <c r="BT346" s="223"/>
      <c r="BU346" s="215"/>
      <c r="BV346" s="226"/>
      <c r="BW346" s="222" t="str">
        <f t="shared" si="68"/>
        <v/>
      </c>
      <c r="BX346" s="223" t="str">
        <f t="shared" si="69"/>
        <v/>
      </c>
      <c r="BY346" s="215"/>
      <c r="BZ346" s="227"/>
      <c r="CA346" s="227"/>
      <c r="CB346" s="228"/>
      <c r="CC346" s="229"/>
      <c r="CD346" s="230" t="str">
        <f t="shared" si="70"/>
        <v/>
      </c>
      <c r="CE346" s="231" t="str">
        <f t="shared" si="71"/>
        <v/>
      </c>
      <c r="CF346" s="232" t="str">
        <f t="shared" si="72"/>
        <v/>
      </c>
      <c r="CG346" s="233" t="str">
        <f t="shared" si="73"/>
        <v/>
      </c>
      <c r="CH346" s="207" t="str">
        <f>IF(OR(G346="",CC346= ""), "", IF(ISERROR(SMALL((CJ346,CN346,CV346), 1)-CC346), "",  SMALL((CJ346,CN346,CV346), 1)-CC346))</f>
        <v/>
      </c>
      <c r="CI346" s="234"/>
      <c r="CJ346" s="235"/>
      <c r="CK346" s="236"/>
      <c r="CL346" s="222" t="str">
        <f t="shared" si="74"/>
        <v/>
      </c>
      <c r="CM346" s="237" t="str">
        <f>IF(OR(G346="", CJ346="",CK346=""), "", IF(ISERROR(SMALL((CN346,CV346), 1)-CK346), "",  SMALL((CN346,CV346), 1)-CK346))</f>
        <v/>
      </c>
      <c r="CN346" s="235"/>
      <c r="CO346" s="236"/>
      <c r="CP346" s="224" t="str">
        <f t="shared" si="75"/>
        <v/>
      </c>
      <c r="CQ346" s="235"/>
      <c r="CR346" s="236"/>
      <c r="CS346" s="222" t="str">
        <f t="shared" si="76"/>
        <v/>
      </c>
      <c r="CT346" s="237" t="str">
        <f t="shared" si="77"/>
        <v/>
      </c>
      <c r="CU346" s="238"/>
      <c r="CV346" s="239"/>
      <c r="CW346" s="240"/>
    </row>
    <row r="347" spans="2:101" ht="16.5" customHeight="1">
      <c r="B347" s="122"/>
      <c r="E347" s="122"/>
      <c r="F347" s="194"/>
      <c r="G347" s="195"/>
      <c r="H347" s="195"/>
      <c r="I347" s="195"/>
      <c r="J347" s="196"/>
      <c r="K347" s="197"/>
      <c r="L347" s="198"/>
      <c r="M347" s="199"/>
      <c r="N347" s="200"/>
      <c r="O347" s="201"/>
      <c r="P347" s="201"/>
      <c r="Q347" s="201"/>
      <c r="R347" s="201"/>
      <c r="S347" s="201"/>
      <c r="T347" s="201"/>
      <c r="U347" s="201"/>
      <c r="V347" s="201"/>
      <c r="W347" s="201"/>
      <c r="X347" s="202"/>
      <c r="Y347" s="203"/>
      <c r="Z347" s="204"/>
      <c r="AA347" s="205"/>
      <c r="AB347" s="206"/>
      <c r="AC347" s="206"/>
      <c r="AD347" s="194"/>
      <c r="AE347" s="201"/>
      <c r="AF347" s="207"/>
      <c r="AG347" s="208"/>
      <c r="AH347" s="209"/>
      <c r="AI347" s="210"/>
      <c r="AJ347" s="197"/>
      <c r="AK347" s="201"/>
      <c r="AL347" s="196"/>
      <c r="AM347" s="201"/>
      <c r="AN347" s="201"/>
      <c r="AO347" s="201"/>
      <c r="AP347" s="211"/>
      <c r="AQ347" s="212"/>
      <c r="AR347" s="201"/>
      <c r="AS347" s="201"/>
      <c r="AT347" s="201"/>
      <c r="AU347" s="201"/>
      <c r="AV347" s="202"/>
      <c r="AW347" s="194"/>
      <c r="AX347" s="201"/>
      <c r="AY347" s="213"/>
      <c r="AZ347" s="214"/>
      <c r="BA347" s="215"/>
      <c r="BB347" s="216"/>
      <c r="BC347" s="217" t="str">
        <f t="shared" si="65"/>
        <v/>
      </c>
      <c r="BD347" s="218"/>
      <c r="BE347" s="219"/>
      <c r="BF347" s="220"/>
      <c r="BG347" s="219"/>
      <c r="BH347" s="219"/>
      <c r="BI347" s="220"/>
      <c r="BJ347" s="218"/>
      <c r="BK347" s="219"/>
      <c r="BL347" s="197"/>
      <c r="BM347" s="215"/>
      <c r="BN347" s="221"/>
      <c r="BO347" s="222" t="str">
        <f t="shared" si="66"/>
        <v/>
      </c>
      <c r="BP347" s="217" t="str">
        <f t="shared" si="67"/>
        <v/>
      </c>
      <c r="BQ347" s="215"/>
      <c r="BR347" s="224"/>
      <c r="BS347" s="225"/>
      <c r="BT347" s="223"/>
      <c r="BU347" s="215"/>
      <c r="BV347" s="226"/>
      <c r="BW347" s="222" t="str">
        <f t="shared" si="68"/>
        <v/>
      </c>
      <c r="BX347" s="223" t="str">
        <f t="shared" si="69"/>
        <v/>
      </c>
      <c r="BY347" s="215"/>
      <c r="BZ347" s="227"/>
      <c r="CA347" s="227"/>
      <c r="CB347" s="228"/>
      <c r="CC347" s="229"/>
      <c r="CD347" s="230" t="str">
        <f t="shared" si="70"/>
        <v/>
      </c>
      <c r="CE347" s="231" t="str">
        <f t="shared" si="71"/>
        <v/>
      </c>
      <c r="CF347" s="232" t="str">
        <f t="shared" si="72"/>
        <v/>
      </c>
      <c r="CG347" s="233" t="str">
        <f t="shared" si="73"/>
        <v/>
      </c>
      <c r="CH347" s="207" t="str">
        <f>IF(OR(G347="",CC347= ""), "", IF(ISERROR(SMALL((CJ347,CN347,CV347), 1)-CC347), "",  SMALL((CJ347,CN347,CV347), 1)-CC347))</f>
        <v/>
      </c>
      <c r="CI347" s="234"/>
      <c r="CJ347" s="235"/>
      <c r="CK347" s="236"/>
      <c r="CL347" s="222" t="str">
        <f t="shared" si="74"/>
        <v/>
      </c>
      <c r="CM347" s="237" t="str">
        <f>IF(OR(G347="", CJ347="",CK347=""), "", IF(ISERROR(SMALL((CN347,CV347), 1)-CK347), "",  SMALL((CN347,CV347), 1)-CK347))</f>
        <v/>
      </c>
      <c r="CN347" s="235"/>
      <c r="CO347" s="236"/>
      <c r="CP347" s="224" t="str">
        <f t="shared" si="75"/>
        <v/>
      </c>
      <c r="CQ347" s="235"/>
      <c r="CR347" s="236"/>
      <c r="CS347" s="222" t="str">
        <f t="shared" si="76"/>
        <v/>
      </c>
      <c r="CT347" s="237" t="str">
        <f t="shared" si="77"/>
        <v/>
      </c>
      <c r="CU347" s="238"/>
      <c r="CV347" s="239"/>
      <c r="CW347" s="240"/>
    </row>
    <row r="348" spans="2:101" ht="16.5" customHeight="1">
      <c r="B348" s="122"/>
      <c r="E348" s="122"/>
      <c r="F348" s="194"/>
      <c r="G348" s="195"/>
      <c r="H348" s="195"/>
      <c r="I348" s="195"/>
      <c r="J348" s="196"/>
      <c r="K348" s="197"/>
      <c r="L348" s="198"/>
      <c r="M348" s="199"/>
      <c r="N348" s="200"/>
      <c r="O348" s="201"/>
      <c r="P348" s="201"/>
      <c r="Q348" s="201"/>
      <c r="R348" s="201"/>
      <c r="S348" s="201"/>
      <c r="T348" s="201"/>
      <c r="U348" s="201"/>
      <c r="V348" s="201"/>
      <c r="W348" s="201"/>
      <c r="X348" s="202"/>
      <c r="Y348" s="203"/>
      <c r="Z348" s="204"/>
      <c r="AA348" s="205"/>
      <c r="AB348" s="206"/>
      <c r="AC348" s="206"/>
      <c r="AD348" s="194"/>
      <c r="AE348" s="201"/>
      <c r="AF348" s="207"/>
      <c r="AG348" s="208"/>
      <c r="AH348" s="209"/>
      <c r="AI348" s="210"/>
      <c r="AJ348" s="197"/>
      <c r="AK348" s="201"/>
      <c r="AL348" s="196"/>
      <c r="AM348" s="201"/>
      <c r="AN348" s="201"/>
      <c r="AO348" s="201"/>
      <c r="AP348" s="211"/>
      <c r="AQ348" s="212"/>
      <c r="AR348" s="201"/>
      <c r="AS348" s="201"/>
      <c r="AT348" s="201"/>
      <c r="AU348" s="201"/>
      <c r="AV348" s="202"/>
      <c r="AW348" s="194"/>
      <c r="AX348" s="201"/>
      <c r="AY348" s="213"/>
      <c r="AZ348" s="214"/>
      <c r="BA348" s="215"/>
      <c r="BB348" s="216"/>
      <c r="BC348" s="217" t="str">
        <f t="shared" si="65"/>
        <v/>
      </c>
      <c r="BD348" s="218"/>
      <c r="BE348" s="219"/>
      <c r="BF348" s="220"/>
      <c r="BG348" s="219"/>
      <c r="BH348" s="219"/>
      <c r="BI348" s="220"/>
      <c r="BJ348" s="218"/>
      <c r="BK348" s="219"/>
      <c r="BL348" s="197"/>
      <c r="BM348" s="215"/>
      <c r="BN348" s="221"/>
      <c r="BO348" s="222" t="str">
        <f t="shared" si="66"/>
        <v/>
      </c>
      <c r="BP348" s="217" t="str">
        <f t="shared" si="67"/>
        <v/>
      </c>
      <c r="BQ348" s="215"/>
      <c r="BR348" s="224"/>
      <c r="BS348" s="225"/>
      <c r="BT348" s="223"/>
      <c r="BU348" s="215"/>
      <c r="BV348" s="226"/>
      <c r="BW348" s="222" t="str">
        <f t="shared" si="68"/>
        <v/>
      </c>
      <c r="BX348" s="223" t="str">
        <f t="shared" si="69"/>
        <v/>
      </c>
      <c r="BY348" s="215"/>
      <c r="BZ348" s="227"/>
      <c r="CA348" s="227"/>
      <c r="CB348" s="228"/>
      <c r="CC348" s="229"/>
      <c r="CD348" s="230" t="str">
        <f t="shared" si="70"/>
        <v/>
      </c>
      <c r="CE348" s="231" t="str">
        <f t="shared" si="71"/>
        <v/>
      </c>
      <c r="CF348" s="232" t="str">
        <f t="shared" si="72"/>
        <v/>
      </c>
      <c r="CG348" s="233" t="str">
        <f t="shared" si="73"/>
        <v/>
      </c>
      <c r="CH348" s="207" t="str">
        <f>IF(OR(G348="",CC348= ""), "", IF(ISERROR(SMALL((CJ348,CN348,CV348), 1)-CC348), "",  SMALL((CJ348,CN348,CV348), 1)-CC348))</f>
        <v/>
      </c>
      <c r="CI348" s="234"/>
      <c r="CJ348" s="235"/>
      <c r="CK348" s="236"/>
      <c r="CL348" s="222" t="str">
        <f t="shared" si="74"/>
        <v/>
      </c>
      <c r="CM348" s="237" t="str">
        <f>IF(OR(G348="", CJ348="",CK348=""), "", IF(ISERROR(SMALL((CN348,CV348), 1)-CK348), "",  SMALL((CN348,CV348), 1)-CK348))</f>
        <v/>
      </c>
      <c r="CN348" s="235"/>
      <c r="CO348" s="236"/>
      <c r="CP348" s="224" t="str">
        <f t="shared" si="75"/>
        <v/>
      </c>
      <c r="CQ348" s="235"/>
      <c r="CR348" s="236"/>
      <c r="CS348" s="222" t="str">
        <f t="shared" si="76"/>
        <v/>
      </c>
      <c r="CT348" s="237" t="str">
        <f t="shared" si="77"/>
        <v/>
      </c>
      <c r="CU348" s="238"/>
      <c r="CV348" s="239"/>
      <c r="CW348" s="240"/>
    </row>
    <row r="349" spans="2:101" ht="16.5" customHeight="1">
      <c r="B349" s="122"/>
      <c r="E349" s="122"/>
      <c r="F349" s="194"/>
      <c r="G349" s="195"/>
      <c r="H349" s="195"/>
      <c r="I349" s="195"/>
      <c r="J349" s="196"/>
      <c r="K349" s="197"/>
      <c r="L349" s="198"/>
      <c r="M349" s="199"/>
      <c r="N349" s="200"/>
      <c r="O349" s="201"/>
      <c r="P349" s="201"/>
      <c r="Q349" s="201"/>
      <c r="R349" s="201"/>
      <c r="S349" s="201"/>
      <c r="T349" s="201"/>
      <c r="U349" s="201"/>
      <c r="V349" s="201"/>
      <c r="W349" s="201"/>
      <c r="X349" s="202"/>
      <c r="Y349" s="203"/>
      <c r="Z349" s="204"/>
      <c r="AA349" s="205"/>
      <c r="AB349" s="206"/>
      <c r="AC349" s="206"/>
      <c r="AD349" s="194"/>
      <c r="AE349" s="201"/>
      <c r="AF349" s="207"/>
      <c r="AG349" s="208"/>
      <c r="AH349" s="209"/>
      <c r="AI349" s="210"/>
      <c r="AJ349" s="197"/>
      <c r="AK349" s="201"/>
      <c r="AL349" s="196"/>
      <c r="AM349" s="201"/>
      <c r="AN349" s="201"/>
      <c r="AO349" s="201"/>
      <c r="AP349" s="211"/>
      <c r="AQ349" s="212"/>
      <c r="AR349" s="201"/>
      <c r="AS349" s="201"/>
      <c r="AT349" s="201"/>
      <c r="AU349" s="201"/>
      <c r="AV349" s="202"/>
      <c r="AW349" s="194"/>
      <c r="AX349" s="201"/>
      <c r="AY349" s="213"/>
      <c r="AZ349" s="214"/>
      <c r="BA349" s="215"/>
      <c r="BB349" s="216"/>
      <c r="BC349" s="217" t="str">
        <f t="shared" si="65"/>
        <v/>
      </c>
      <c r="BD349" s="218"/>
      <c r="BE349" s="219"/>
      <c r="BF349" s="220"/>
      <c r="BG349" s="219"/>
      <c r="BH349" s="219"/>
      <c r="BI349" s="220"/>
      <c r="BJ349" s="218"/>
      <c r="BK349" s="219"/>
      <c r="BL349" s="197"/>
      <c r="BM349" s="215"/>
      <c r="BN349" s="221"/>
      <c r="BO349" s="222" t="str">
        <f t="shared" si="66"/>
        <v/>
      </c>
      <c r="BP349" s="217" t="str">
        <f t="shared" si="67"/>
        <v/>
      </c>
      <c r="BQ349" s="215"/>
      <c r="BR349" s="224"/>
      <c r="BS349" s="225"/>
      <c r="BT349" s="223"/>
      <c r="BU349" s="215"/>
      <c r="BV349" s="226"/>
      <c r="BW349" s="222" t="str">
        <f t="shared" si="68"/>
        <v/>
      </c>
      <c r="BX349" s="223" t="str">
        <f t="shared" si="69"/>
        <v/>
      </c>
      <c r="BY349" s="215"/>
      <c r="BZ349" s="227"/>
      <c r="CA349" s="227"/>
      <c r="CB349" s="228"/>
      <c r="CC349" s="229"/>
      <c r="CD349" s="230" t="str">
        <f t="shared" si="70"/>
        <v/>
      </c>
      <c r="CE349" s="231" t="str">
        <f t="shared" si="71"/>
        <v/>
      </c>
      <c r="CF349" s="232" t="str">
        <f t="shared" si="72"/>
        <v/>
      </c>
      <c r="CG349" s="233" t="str">
        <f t="shared" si="73"/>
        <v/>
      </c>
      <c r="CH349" s="207" t="str">
        <f>IF(OR(G349="",CC349= ""), "", IF(ISERROR(SMALL((CJ349,CN349,CV349), 1)-CC349), "",  SMALL((CJ349,CN349,CV349), 1)-CC349))</f>
        <v/>
      </c>
      <c r="CI349" s="234"/>
      <c r="CJ349" s="235"/>
      <c r="CK349" s="236"/>
      <c r="CL349" s="222" t="str">
        <f t="shared" si="74"/>
        <v/>
      </c>
      <c r="CM349" s="237" t="str">
        <f>IF(OR(G349="", CJ349="",CK349=""), "", IF(ISERROR(SMALL((CN349,CV349), 1)-CK349), "",  SMALL((CN349,CV349), 1)-CK349))</f>
        <v/>
      </c>
      <c r="CN349" s="235"/>
      <c r="CO349" s="236"/>
      <c r="CP349" s="224" t="str">
        <f t="shared" si="75"/>
        <v/>
      </c>
      <c r="CQ349" s="235"/>
      <c r="CR349" s="236"/>
      <c r="CS349" s="222" t="str">
        <f t="shared" si="76"/>
        <v/>
      </c>
      <c r="CT349" s="237" t="str">
        <f t="shared" si="77"/>
        <v/>
      </c>
      <c r="CU349" s="238"/>
      <c r="CV349" s="239"/>
      <c r="CW349" s="240"/>
    </row>
    <row r="350" spans="2:101" ht="16.5" customHeight="1">
      <c r="B350" s="122"/>
      <c r="E350" s="122"/>
      <c r="F350" s="194"/>
      <c r="G350" s="195"/>
      <c r="H350" s="195"/>
      <c r="I350" s="195"/>
      <c r="J350" s="196"/>
      <c r="K350" s="197"/>
      <c r="L350" s="198"/>
      <c r="M350" s="199"/>
      <c r="N350" s="200"/>
      <c r="O350" s="201"/>
      <c r="P350" s="201"/>
      <c r="Q350" s="201"/>
      <c r="R350" s="201"/>
      <c r="S350" s="201"/>
      <c r="T350" s="201"/>
      <c r="U350" s="201"/>
      <c r="V350" s="201"/>
      <c r="W350" s="201"/>
      <c r="X350" s="202"/>
      <c r="Y350" s="203"/>
      <c r="Z350" s="204"/>
      <c r="AA350" s="205"/>
      <c r="AB350" s="206"/>
      <c r="AC350" s="206"/>
      <c r="AD350" s="194"/>
      <c r="AE350" s="201"/>
      <c r="AF350" s="207"/>
      <c r="AG350" s="208"/>
      <c r="AH350" s="209"/>
      <c r="AI350" s="210"/>
      <c r="AJ350" s="197"/>
      <c r="AK350" s="201"/>
      <c r="AL350" s="196"/>
      <c r="AM350" s="201"/>
      <c r="AN350" s="201"/>
      <c r="AO350" s="201"/>
      <c r="AP350" s="211"/>
      <c r="AQ350" s="212"/>
      <c r="AR350" s="201"/>
      <c r="AS350" s="201"/>
      <c r="AT350" s="201"/>
      <c r="AU350" s="201"/>
      <c r="AV350" s="202"/>
      <c r="AW350" s="194"/>
      <c r="AX350" s="201"/>
      <c r="AY350" s="213"/>
      <c r="AZ350" s="214"/>
      <c r="BA350" s="215"/>
      <c r="BB350" s="216"/>
      <c r="BC350" s="217" t="str">
        <f t="shared" si="65"/>
        <v/>
      </c>
      <c r="BD350" s="218"/>
      <c r="BE350" s="219"/>
      <c r="BF350" s="220"/>
      <c r="BG350" s="219"/>
      <c r="BH350" s="219"/>
      <c r="BI350" s="220"/>
      <c r="BJ350" s="218"/>
      <c r="BK350" s="219"/>
      <c r="BL350" s="197"/>
      <c r="BM350" s="215"/>
      <c r="BN350" s="221"/>
      <c r="BO350" s="222" t="str">
        <f t="shared" si="66"/>
        <v/>
      </c>
      <c r="BP350" s="217" t="str">
        <f t="shared" si="67"/>
        <v/>
      </c>
      <c r="BQ350" s="215"/>
      <c r="BR350" s="224"/>
      <c r="BS350" s="225"/>
      <c r="BT350" s="223"/>
      <c r="BU350" s="215"/>
      <c r="BV350" s="226"/>
      <c r="BW350" s="222" t="str">
        <f t="shared" si="68"/>
        <v/>
      </c>
      <c r="BX350" s="223" t="str">
        <f t="shared" si="69"/>
        <v/>
      </c>
      <c r="BY350" s="215"/>
      <c r="BZ350" s="227"/>
      <c r="CA350" s="227"/>
      <c r="CB350" s="228"/>
      <c r="CC350" s="229"/>
      <c r="CD350" s="230" t="str">
        <f t="shared" si="70"/>
        <v/>
      </c>
      <c r="CE350" s="231" t="str">
        <f t="shared" si="71"/>
        <v/>
      </c>
      <c r="CF350" s="232" t="str">
        <f t="shared" si="72"/>
        <v/>
      </c>
      <c r="CG350" s="233" t="str">
        <f t="shared" si="73"/>
        <v/>
      </c>
      <c r="CH350" s="207" t="str">
        <f>IF(OR(G350="",CC350= ""), "", IF(ISERROR(SMALL((CJ350,CN350,CV350), 1)-CC350), "",  SMALL((CJ350,CN350,CV350), 1)-CC350))</f>
        <v/>
      </c>
      <c r="CI350" s="234"/>
      <c r="CJ350" s="235"/>
      <c r="CK350" s="236"/>
      <c r="CL350" s="222" t="str">
        <f t="shared" si="74"/>
        <v/>
      </c>
      <c r="CM350" s="237" t="str">
        <f>IF(OR(G350="", CJ350="",CK350=""), "", IF(ISERROR(SMALL((CN350,CV350), 1)-CK350), "",  SMALL((CN350,CV350), 1)-CK350))</f>
        <v/>
      </c>
      <c r="CN350" s="235"/>
      <c r="CO350" s="236"/>
      <c r="CP350" s="224" t="str">
        <f t="shared" si="75"/>
        <v/>
      </c>
      <c r="CQ350" s="235"/>
      <c r="CR350" s="236"/>
      <c r="CS350" s="222" t="str">
        <f t="shared" si="76"/>
        <v/>
      </c>
      <c r="CT350" s="237" t="str">
        <f t="shared" si="77"/>
        <v/>
      </c>
      <c r="CU350" s="238"/>
      <c r="CV350" s="239"/>
      <c r="CW350" s="240"/>
    </row>
    <row r="351" spans="2:101" ht="16.5" customHeight="1">
      <c r="B351" s="122"/>
      <c r="E351" s="122"/>
      <c r="F351" s="194"/>
      <c r="G351" s="195"/>
      <c r="H351" s="195"/>
      <c r="I351" s="195"/>
      <c r="J351" s="196"/>
      <c r="K351" s="197"/>
      <c r="L351" s="198"/>
      <c r="M351" s="199"/>
      <c r="N351" s="200"/>
      <c r="O351" s="201"/>
      <c r="P351" s="201"/>
      <c r="Q351" s="201"/>
      <c r="R351" s="201"/>
      <c r="S351" s="201"/>
      <c r="T351" s="201"/>
      <c r="U351" s="201"/>
      <c r="V351" s="201"/>
      <c r="W351" s="201"/>
      <c r="X351" s="202"/>
      <c r="Y351" s="203"/>
      <c r="Z351" s="204"/>
      <c r="AA351" s="205"/>
      <c r="AB351" s="206"/>
      <c r="AC351" s="206"/>
      <c r="AD351" s="194"/>
      <c r="AE351" s="201"/>
      <c r="AF351" s="207"/>
      <c r="AG351" s="208"/>
      <c r="AH351" s="209"/>
      <c r="AI351" s="210"/>
      <c r="AJ351" s="197"/>
      <c r="AK351" s="201"/>
      <c r="AL351" s="196"/>
      <c r="AM351" s="201"/>
      <c r="AN351" s="201"/>
      <c r="AO351" s="201"/>
      <c r="AP351" s="211"/>
      <c r="AQ351" s="212"/>
      <c r="AR351" s="201"/>
      <c r="AS351" s="201"/>
      <c r="AT351" s="201"/>
      <c r="AU351" s="201"/>
      <c r="AV351" s="202"/>
      <c r="AW351" s="194"/>
      <c r="AX351" s="201"/>
      <c r="AY351" s="213"/>
      <c r="AZ351" s="214"/>
      <c r="BA351" s="215"/>
      <c r="BB351" s="216"/>
      <c r="BC351" s="217" t="str">
        <f t="shared" si="65"/>
        <v/>
      </c>
      <c r="BD351" s="218"/>
      <c r="BE351" s="219"/>
      <c r="BF351" s="220"/>
      <c r="BG351" s="219"/>
      <c r="BH351" s="219"/>
      <c r="BI351" s="220"/>
      <c r="BJ351" s="218"/>
      <c r="BK351" s="219"/>
      <c r="BL351" s="197"/>
      <c r="BM351" s="215"/>
      <c r="BN351" s="221"/>
      <c r="BO351" s="222" t="str">
        <f t="shared" si="66"/>
        <v/>
      </c>
      <c r="BP351" s="217" t="str">
        <f t="shared" si="67"/>
        <v/>
      </c>
      <c r="BQ351" s="215"/>
      <c r="BR351" s="224"/>
      <c r="BS351" s="225"/>
      <c r="BT351" s="223"/>
      <c r="BU351" s="215"/>
      <c r="BV351" s="226"/>
      <c r="BW351" s="222" t="str">
        <f t="shared" si="68"/>
        <v/>
      </c>
      <c r="BX351" s="223" t="str">
        <f t="shared" si="69"/>
        <v/>
      </c>
      <c r="BY351" s="215"/>
      <c r="BZ351" s="227"/>
      <c r="CA351" s="227"/>
      <c r="CB351" s="228"/>
      <c r="CC351" s="229"/>
      <c r="CD351" s="230" t="str">
        <f t="shared" si="70"/>
        <v/>
      </c>
      <c r="CE351" s="231" t="str">
        <f t="shared" si="71"/>
        <v/>
      </c>
      <c r="CF351" s="232" t="str">
        <f t="shared" si="72"/>
        <v/>
      </c>
      <c r="CG351" s="233" t="str">
        <f t="shared" si="73"/>
        <v/>
      </c>
      <c r="CH351" s="207" t="str">
        <f>IF(OR(G351="",CC351= ""), "", IF(ISERROR(SMALL((CJ351,CN351,CV351), 1)-CC351), "",  SMALL((CJ351,CN351,CV351), 1)-CC351))</f>
        <v/>
      </c>
      <c r="CI351" s="234"/>
      <c r="CJ351" s="235"/>
      <c r="CK351" s="236"/>
      <c r="CL351" s="222" t="str">
        <f t="shared" si="74"/>
        <v/>
      </c>
      <c r="CM351" s="237" t="str">
        <f>IF(OR(G351="", CJ351="",CK351=""), "", IF(ISERROR(SMALL((CN351,CV351), 1)-CK351), "",  SMALL((CN351,CV351), 1)-CK351))</f>
        <v/>
      </c>
      <c r="CN351" s="235"/>
      <c r="CO351" s="236"/>
      <c r="CP351" s="224" t="str">
        <f t="shared" si="75"/>
        <v/>
      </c>
      <c r="CQ351" s="235"/>
      <c r="CR351" s="236"/>
      <c r="CS351" s="222" t="str">
        <f t="shared" si="76"/>
        <v/>
      </c>
      <c r="CT351" s="237" t="str">
        <f t="shared" si="77"/>
        <v/>
      </c>
      <c r="CU351" s="238"/>
      <c r="CV351" s="239"/>
      <c r="CW351" s="240"/>
    </row>
    <row r="352" spans="2:101" ht="16.5" customHeight="1">
      <c r="B352" s="122"/>
      <c r="E352" s="122"/>
      <c r="F352" s="194"/>
      <c r="G352" s="195"/>
      <c r="H352" s="195"/>
      <c r="I352" s="195"/>
      <c r="J352" s="196"/>
      <c r="K352" s="197"/>
      <c r="L352" s="198"/>
      <c r="M352" s="199"/>
      <c r="N352" s="200"/>
      <c r="O352" s="201"/>
      <c r="P352" s="201"/>
      <c r="Q352" s="201"/>
      <c r="R352" s="201"/>
      <c r="S352" s="201"/>
      <c r="T352" s="201"/>
      <c r="U352" s="201"/>
      <c r="V352" s="201"/>
      <c r="W352" s="201"/>
      <c r="X352" s="202"/>
      <c r="Y352" s="203"/>
      <c r="Z352" s="204"/>
      <c r="AA352" s="205"/>
      <c r="AB352" s="206"/>
      <c r="AC352" s="206"/>
      <c r="AD352" s="194"/>
      <c r="AE352" s="201"/>
      <c r="AF352" s="207"/>
      <c r="AG352" s="208"/>
      <c r="AH352" s="209"/>
      <c r="AI352" s="210"/>
      <c r="AJ352" s="197"/>
      <c r="AK352" s="201"/>
      <c r="AL352" s="196"/>
      <c r="AM352" s="201"/>
      <c r="AN352" s="201"/>
      <c r="AO352" s="201"/>
      <c r="AP352" s="211"/>
      <c r="AQ352" s="212"/>
      <c r="AR352" s="201"/>
      <c r="AS352" s="201"/>
      <c r="AT352" s="201"/>
      <c r="AU352" s="201"/>
      <c r="AV352" s="202"/>
      <c r="AW352" s="194"/>
      <c r="AX352" s="201"/>
      <c r="AY352" s="213"/>
      <c r="AZ352" s="214"/>
      <c r="BA352" s="215"/>
      <c r="BB352" s="216"/>
      <c r="BC352" s="217" t="str">
        <f t="shared" si="65"/>
        <v/>
      </c>
      <c r="BD352" s="218"/>
      <c r="BE352" s="219"/>
      <c r="BF352" s="220"/>
      <c r="BG352" s="219"/>
      <c r="BH352" s="219"/>
      <c r="BI352" s="220"/>
      <c r="BJ352" s="218"/>
      <c r="BK352" s="219"/>
      <c r="BL352" s="197"/>
      <c r="BM352" s="215"/>
      <c r="BN352" s="221"/>
      <c r="BO352" s="222" t="str">
        <f t="shared" si="66"/>
        <v/>
      </c>
      <c r="BP352" s="217" t="str">
        <f t="shared" si="67"/>
        <v/>
      </c>
      <c r="BQ352" s="215"/>
      <c r="BR352" s="224"/>
      <c r="BS352" s="225"/>
      <c r="BT352" s="223"/>
      <c r="BU352" s="215"/>
      <c r="BV352" s="226"/>
      <c r="BW352" s="222" t="str">
        <f t="shared" si="68"/>
        <v/>
      </c>
      <c r="BX352" s="223" t="str">
        <f t="shared" si="69"/>
        <v/>
      </c>
      <c r="BY352" s="215"/>
      <c r="BZ352" s="227"/>
      <c r="CA352" s="227"/>
      <c r="CB352" s="228"/>
      <c r="CC352" s="229"/>
      <c r="CD352" s="230" t="str">
        <f t="shared" si="70"/>
        <v/>
      </c>
      <c r="CE352" s="231" t="str">
        <f t="shared" si="71"/>
        <v/>
      </c>
      <c r="CF352" s="232" t="str">
        <f t="shared" si="72"/>
        <v/>
      </c>
      <c r="CG352" s="233" t="str">
        <f t="shared" si="73"/>
        <v/>
      </c>
      <c r="CH352" s="207" t="str">
        <f>IF(OR(G352="",CC352= ""), "", IF(ISERROR(SMALL((CJ352,CN352,CV352), 1)-CC352), "",  SMALL((CJ352,CN352,CV352), 1)-CC352))</f>
        <v/>
      </c>
      <c r="CI352" s="234"/>
      <c r="CJ352" s="235"/>
      <c r="CK352" s="236"/>
      <c r="CL352" s="222" t="str">
        <f t="shared" si="74"/>
        <v/>
      </c>
      <c r="CM352" s="237" t="str">
        <f>IF(OR(G352="", CJ352="",CK352=""), "", IF(ISERROR(SMALL((CN352,CV352), 1)-CK352), "",  SMALL((CN352,CV352), 1)-CK352))</f>
        <v/>
      </c>
      <c r="CN352" s="235"/>
      <c r="CO352" s="236"/>
      <c r="CP352" s="224" t="str">
        <f t="shared" si="75"/>
        <v/>
      </c>
      <c r="CQ352" s="235"/>
      <c r="CR352" s="236"/>
      <c r="CS352" s="222" t="str">
        <f t="shared" si="76"/>
        <v/>
      </c>
      <c r="CT352" s="237" t="str">
        <f t="shared" si="77"/>
        <v/>
      </c>
      <c r="CU352" s="238"/>
      <c r="CV352" s="239"/>
      <c r="CW352" s="240"/>
    </row>
    <row r="353" spans="2:101" ht="16.5" customHeight="1">
      <c r="B353" s="122"/>
      <c r="E353" s="122"/>
      <c r="F353" s="194"/>
      <c r="G353" s="195"/>
      <c r="H353" s="195"/>
      <c r="I353" s="195"/>
      <c r="J353" s="196"/>
      <c r="K353" s="197"/>
      <c r="L353" s="198"/>
      <c r="M353" s="199"/>
      <c r="N353" s="200"/>
      <c r="O353" s="201"/>
      <c r="P353" s="201"/>
      <c r="Q353" s="201"/>
      <c r="R353" s="201"/>
      <c r="S353" s="201"/>
      <c r="T353" s="201"/>
      <c r="U353" s="201"/>
      <c r="V353" s="201"/>
      <c r="W353" s="201"/>
      <c r="X353" s="202"/>
      <c r="Y353" s="203"/>
      <c r="Z353" s="204"/>
      <c r="AA353" s="205"/>
      <c r="AB353" s="206"/>
      <c r="AC353" s="206"/>
      <c r="AD353" s="194"/>
      <c r="AE353" s="201"/>
      <c r="AF353" s="207"/>
      <c r="AG353" s="208"/>
      <c r="AH353" s="209"/>
      <c r="AI353" s="210"/>
      <c r="AJ353" s="197"/>
      <c r="AK353" s="201"/>
      <c r="AL353" s="196"/>
      <c r="AM353" s="201"/>
      <c r="AN353" s="201"/>
      <c r="AO353" s="201"/>
      <c r="AP353" s="211"/>
      <c r="AQ353" s="212"/>
      <c r="AR353" s="201"/>
      <c r="AS353" s="201"/>
      <c r="AT353" s="201"/>
      <c r="AU353" s="201"/>
      <c r="AV353" s="202"/>
      <c r="AW353" s="194"/>
      <c r="AX353" s="201"/>
      <c r="AY353" s="213"/>
      <c r="AZ353" s="214"/>
      <c r="BA353" s="215"/>
      <c r="BB353" s="216"/>
      <c r="BC353" s="217" t="str">
        <f t="shared" si="65"/>
        <v/>
      </c>
      <c r="BD353" s="218"/>
      <c r="BE353" s="219"/>
      <c r="BF353" s="220"/>
      <c r="BG353" s="219"/>
      <c r="BH353" s="219"/>
      <c r="BI353" s="220"/>
      <c r="BJ353" s="218"/>
      <c r="BK353" s="219"/>
      <c r="BL353" s="197"/>
      <c r="BM353" s="215"/>
      <c r="BN353" s="221"/>
      <c r="BO353" s="222" t="str">
        <f t="shared" si="66"/>
        <v/>
      </c>
      <c r="BP353" s="217" t="str">
        <f t="shared" si="67"/>
        <v/>
      </c>
      <c r="BQ353" s="215"/>
      <c r="BR353" s="224"/>
      <c r="BS353" s="225"/>
      <c r="BT353" s="223"/>
      <c r="BU353" s="215"/>
      <c r="BV353" s="226"/>
      <c r="BW353" s="222" t="str">
        <f t="shared" si="68"/>
        <v/>
      </c>
      <c r="BX353" s="223" t="str">
        <f t="shared" si="69"/>
        <v/>
      </c>
      <c r="BY353" s="215"/>
      <c r="BZ353" s="227"/>
      <c r="CA353" s="227"/>
      <c r="CB353" s="228"/>
      <c r="CC353" s="229"/>
      <c r="CD353" s="230" t="str">
        <f t="shared" si="70"/>
        <v/>
      </c>
      <c r="CE353" s="231" t="str">
        <f t="shared" si="71"/>
        <v/>
      </c>
      <c r="CF353" s="232" t="str">
        <f t="shared" si="72"/>
        <v/>
      </c>
      <c r="CG353" s="233" t="str">
        <f t="shared" si="73"/>
        <v/>
      </c>
      <c r="CH353" s="207" t="str">
        <f>IF(OR(G353="",CC353= ""), "", IF(ISERROR(SMALL((CJ353,CN353,CV353), 1)-CC353), "",  SMALL((CJ353,CN353,CV353), 1)-CC353))</f>
        <v/>
      </c>
      <c r="CI353" s="234"/>
      <c r="CJ353" s="235"/>
      <c r="CK353" s="236"/>
      <c r="CL353" s="222" t="str">
        <f t="shared" si="74"/>
        <v/>
      </c>
      <c r="CM353" s="237" t="str">
        <f>IF(OR(G353="", CJ353="",CK353=""), "", IF(ISERROR(SMALL((CN353,CV353), 1)-CK353), "",  SMALL((CN353,CV353), 1)-CK353))</f>
        <v/>
      </c>
      <c r="CN353" s="235"/>
      <c r="CO353" s="236"/>
      <c r="CP353" s="224" t="str">
        <f t="shared" si="75"/>
        <v/>
      </c>
      <c r="CQ353" s="235"/>
      <c r="CR353" s="236"/>
      <c r="CS353" s="222" t="str">
        <f t="shared" si="76"/>
        <v/>
      </c>
      <c r="CT353" s="237" t="str">
        <f t="shared" si="77"/>
        <v/>
      </c>
      <c r="CU353" s="238"/>
      <c r="CV353" s="239"/>
      <c r="CW353" s="240"/>
    </row>
    <row r="354" spans="2:101" ht="16.5" customHeight="1">
      <c r="B354" s="122"/>
      <c r="E354" s="122"/>
      <c r="F354" s="194"/>
      <c r="G354" s="195"/>
      <c r="H354" s="195"/>
      <c r="I354" s="195"/>
      <c r="J354" s="196"/>
      <c r="K354" s="197"/>
      <c r="L354" s="198"/>
      <c r="M354" s="199"/>
      <c r="N354" s="200"/>
      <c r="O354" s="201"/>
      <c r="P354" s="201"/>
      <c r="Q354" s="201"/>
      <c r="R354" s="201"/>
      <c r="S354" s="201"/>
      <c r="T354" s="201"/>
      <c r="U354" s="201"/>
      <c r="V354" s="201"/>
      <c r="W354" s="201"/>
      <c r="X354" s="202"/>
      <c r="Y354" s="203"/>
      <c r="Z354" s="204"/>
      <c r="AA354" s="205"/>
      <c r="AB354" s="206"/>
      <c r="AC354" s="206"/>
      <c r="AD354" s="194"/>
      <c r="AE354" s="201"/>
      <c r="AF354" s="207"/>
      <c r="AG354" s="208"/>
      <c r="AH354" s="209"/>
      <c r="AI354" s="210"/>
      <c r="AJ354" s="197"/>
      <c r="AK354" s="201"/>
      <c r="AL354" s="196"/>
      <c r="AM354" s="201"/>
      <c r="AN354" s="201"/>
      <c r="AO354" s="201"/>
      <c r="AP354" s="211"/>
      <c r="AQ354" s="212"/>
      <c r="AR354" s="201"/>
      <c r="AS354" s="201"/>
      <c r="AT354" s="201"/>
      <c r="AU354" s="201"/>
      <c r="AV354" s="202"/>
      <c r="AW354" s="194"/>
      <c r="AX354" s="201"/>
      <c r="AY354" s="213"/>
      <c r="AZ354" s="214"/>
      <c r="BA354" s="215"/>
      <c r="BB354" s="216"/>
      <c r="BC354" s="217" t="str">
        <f t="shared" si="65"/>
        <v/>
      </c>
      <c r="BD354" s="218"/>
      <c r="BE354" s="219"/>
      <c r="BF354" s="220"/>
      <c r="BG354" s="219"/>
      <c r="BH354" s="219"/>
      <c r="BI354" s="220"/>
      <c r="BJ354" s="218"/>
      <c r="BK354" s="219"/>
      <c r="BL354" s="197"/>
      <c r="BM354" s="215"/>
      <c r="BN354" s="221"/>
      <c r="BO354" s="222" t="str">
        <f t="shared" si="66"/>
        <v/>
      </c>
      <c r="BP354" s="217" t="str">
        <f t="shared" si="67"/>
        <v/>
      </c>
      <c r="BQ354" s="215"/>
      <c r="BR354" s="224"/>
      <c r="BS354" s="225"/>
      <c r="BT354" s="223"/>
      <c r="BU354" s="215"/>
      <c r="BV354" s="226"/>
      <c r="BW354" s="222" t="str">
        <f t="shared" si="68"/>
        <v/>
      </c>
      <c r="BX354" s="223" t="str">
        <f t="shared" si="69"/>
        <v/>
      </c>
      <c r="BY354" s="215"/>
      <c r="BZ354" s="227"/>
      <c r="CA354" s="227"/>
      <c r="CB354" s="228"/>
      <c r="CC354" s="229"/>
      <c r="CD354" s="230" t="str">
        <f t="shared" si="70"/>
        <v/>
      </c>
      <c r="CE354" s="231" t="str">
        <f t="shared" si="71"/>
        <v/>
      </c>
      <c r="CF354" s="232" t="str">
        <f t="shared" si="72"/>
        <v/>
      </c>
      <c r="CG354" s="233" t="str">
        <f t="shared" si="73"/>
        <v/>
      </c>
      <c r="CH354" s="207" t="str">
        <f>IF(OR(G354="",CC354= ""), "", IF(ISERROR(SMALL((CJ354,CN354,CV354), 1)-CC354), "",  SMALL((CJ354,CN354,CV354), 1)-CC354))</f>
        <v/>
      </c>
      <c r="CI354" s="234"/>
      <c r="CJ354" s="235"/>
      <c r="CK354" s="236"/>
      <c r="CL354" s="222" t="str">
        <f t="shared" si="74"/>
        <v/>
      </c>
      <c r="CM354" s="237" t="str">
        <f>IF(OR(G354="", CJ354="",CK354=""), "", IF(ISERROR(SMALL((CN354,CV354), 1)-CK354), "",  SMALL((CN354,CV354), 1)-CK354))</f>
        <v/>
      </c>
      <c r="CN354" s="235"/>
      <c r="CO354" s="236"/>
      <c r="CP354" s="224" t="str">
        <f t="shared" si="75"/>
        <v/>
      </c>
      <c r="CQ354" s="235"/>
      <c r="CR354" s="236"/>
      <c r="CS354" s="222" t="str">
        <f t="shared" si="76"/>
        <v/>
      </c>
      <c r="CT354" s="237" t="str">
        <f t="shared" si="77"/>
        <v/>
      </c>
      <c r="CU354" s="238"/>
      <c r="CV354" s="239"/>
      <c r="CW354" s="240"/>
    </row>
    <row r="355" spans="2:101" ht="16.5" customHeight="1">
      <c r="B355" s="122"/>
      <c r="E355" s="122"/>
      <c r="F355" s="194"/>
      <c r="G355" s="195"/>
      <c r="H355" s="195"/>
      <c r="I355" s="195"/>
      <c r="J355" s="196"/>
      <c r="K355" s="197"/>
      <c r="L355" s="198"/>
      <c r="M355" s="199"/>
      <c r="N355" s="200"/>
      <c r="O355" s="201"/>
      <c r="P355" s="201"/>
      <c r="Q355" s="201"/>
      <c r="R355" s="201"/>
      <c r="S355" s="201"/>
      <c r="T355" s="201"/>
      <c r="U355" s="201"/>
      <c r="V355" s="201"/>
      <c r="W355" s="201"/>
      <c r="X355" s="202"/>
      <c r="Y355" s="203"/>
      <c r="Z355" s="204"/>
      <c r="AA355" s="205"/>
      <c r="AB355" s="206"/>
      <c r="AC355" s="206"/>
      <c r="AD355" s="194"/>
      <c r="AE355" s="201"/>
      <c r="AF355" s="207"/>
      <c r="AG355" s="208"/>
      <c r="AH355" s="209"/>
      <c r="AI355" s="210"/>
      <c r="AJ355" s="197"/>
      <c r="AK355" s="201"/>
      <c r="AL355" s="196"/>
      <c r="AM355" s="201"/>
      <c r="AN355" s="201"/>
      <c r="AO355" s="201"/>
      <c r="AP355" s="211"/>
      <c r="AQ355" s="212"/>
      <c r="AR355" s="201"/>
      <c r="AS355" s="201"/>
      <c r="AT355" s="201"/>
      <c r="AU355" s="201"/>
      <c r="AV355" s="202"/>
      <c r="AW355" s="194"/>
      <c r="AX355" s="201"/>
      <c r="AY355" s="213"/>
      <c r="AZ355" s="214"/>
      <c r="BA355" s="215"/>
      <c r="BB355" s="216"/>
      <c r="BC355" s="217" t="str">
        <f t="shared" si="65"/>
        <v/>
      </c>
      <c r="BD355" s="218"/>
      <c r="BE355" s="219"/>
      <c r="BF355" s="220"/>
      <c r="BG355" s="219"/>
      <c r="BH355" s="219"/>
      <c r="BI355" s="220"/>
      <c r="BJ355" s="218"/>
      <c r="BK355" s="219"/>
      <c r="BL355" s="197"/>
      <c r="BM355" s="215"/>
      <c r="BN355" s="221"/>
      <c r="BO355" s="222" t="str">
        <f t="shared" si="66"/>
        <v/>
      </c>
      <c r="BP355" s="217" t="str">
        <f t="shared" si="67"/>
        <v/>
      </c>
      <c r="BQ355" s="215"/>
      <c r="BR355" s="224"/>
      <c r="BS355" s="225"/>
      <c r="BT355" s="223"/>
      <c r="BU355" s="215"/>
      <c r="BV355" s="226"/>
      <c r="BW355" s="222" t="str">
        <f t="shared" si="68"/>
        <v/>
      </c>
      <c r="BX355" s="223" t="str">
        <f t="shared" si="69"/>
        <v/>
      </c>
      <c r="BY355" s="215"/>
      <c r="BZ355" s="227"/>
      <c r="CA355" s="227"/>
      <c r="CB355" s="228"/>
      <c r="CC355" s="229"/>
      <c r="CD355" s="230" t="str">
        <f t="shared" si="70"/>
        <v/>
      </c>
      <c r="CE355" s="231" t="str">
        <f t="shared" si="71"/>
        <v/>
      </c>
      <c r="CF355" s="232" t="str">
        <f t="shared" si="72"/>
        <v/>
      </c>
      <c r="CG355" s="233" t="str">
        <f t="shared" si="73"/>
        <v/>
      </c>
      <c r="CH355" s="207" t="str">
        <f>IF(OR(G355="",CC355= ""), "", IF(ISERROR(SMALL((CJ355,CN355,CV355), 1)-CC355), "",  SMALL((CJ355,CN355,CV355), 1)-CC355))</f>
        <v/>
      </c>
      <c r="CI355" s="234"/>
      <c r="CJ355" s="235"/>
      <c r="CK355" s="236"/>
      <c r="CL355" s="222" t="str">
        <f t="shared" si="74"/>
        <v/>
      </c>
      <c r="CM355" s="237" t="str">
        <f>IF(OR(G355="", CJ355="",CK355=""), "", IF(ISERROR(SMALL((CN355,CV355), 1)-CK355), "",  SMALL((CN355,CV355), 1)-CK355))</f>
        <v/>
      </c>
      <c r="CN355" s="235"/>
      <c r="CO355" s="236"/>
      <c r="CP355" s="224" t="str">
        <f t="shared" si="75"/>
        <v/>
      </c>
      <c r="CQ355" s="235"/>
      <c r="CR355" s="236"/>
      <c r="CS355" s="222" t="str">
        <f t="shared" si="76"/>
        <v/>
      </c>
      <c r="CT355" s="237" t="str">
        <f t="shared" si="77"/>
        <v/>
      </c>
      <c r="CU355" s="238"/>
      <c r="CV355" s="239"/>
      <c r="CW355" s="240"/>
    </row>
    <row r="356" spans="2:101" ht="16.5" customHeight="1">
      <c r="B356" s="122"/>
      <c r="E356" s="122"/>
      <c r="F356" s="194"/>
      <c r="G356" s="195"/>
      <c r="H356" s="195"/>
      <c r="I356" s="195"/>
      <c r="J356" s="196"/>
      <c r="K356" s="197"/>
      <c r="L356" s="198"/>
      <c r="M356" s="199"/>
      <c r="N356" s="200"/>
      <c r="O356" s="201"/>
      <c r="P356" s="201"/>
      <c r="Q356" s="201"/>
      <c r="R356" s="201"/>
      <c r="S356" s="201"/>
      <c r="T356" s="201"/>
      <c r="U356" s="201"/>
      <c r="V356" s="201"/>
      <c r="W356" s="201"/>
      <c r="X356" s="202"/>
      <c r="Y356" s="203"/>
      <c r="Z356" s="204"/>
      <c r="AA356" s="205"/>
      <c r="AB356" s="206"/>
      <c r="AC356" s="206"/>
      <c r="AD356" s="194"/>
      <c r="AE356" s="201"/>
      <c r="AF356" s="207"/>
      <c r="AG356" s="208"/>
      <c r="AH356" s="209"/>
      <c r="AI356" s="210"/>
      <c r="AJ356" s="197"/>
      <c r="AK356" s="201"/>
      <c r="AL356" s="196"/>
      <c r="AM356" s="201"/>
      <c r="AN356" s="201"/>
      <c r="AO356" s="201"/>
      <c r="AP356" s="211"/>
      <c r="AQ356" s="212"/>
      <c r="AR356" s="201"/>
      <c r="AS356" s="201"/>
      <c r="AT356" s="201"/>
      <c r="AU356" s="201"/>
      <c r="AV356" s="202"/>
      <c r="AW356" s="194"/>
      <c r="AX356" s="201"/>
      <c r="AY356" s="213"/>
      <c r="AZ356" s="214"/>
      <c r="BA356" s="215"/>
      <c r="BB356" s="216"/>
      <c r="BC356" s="217" t="str">
        <f t="shared" si="65"/>
        <v/>
      </c>
      <c r="BD356" s="218"/>
      <c r="BE356" s="219"/>
      <c r="BF356" s="220"/>
      <c r="BG356" s="219"/>
      <c r="BH356" s="219"/>
      <c r="BI356" s="220"/>
      <c r="BJ356" s="218"/>
      <c r="BK356" s="219"/>
      <c r="BL356" s="197"/>
      <c r="BM356" s="215"/>
      <c r="BN356" s="221"/>
      <c r="BO356" s="222" t="str">
        <f t="shared" si="66"/>
        <v/>
      </c>
      <c r="BP356" s="217" t="str">
        <f t="shared" si="67"/>
        <v/>
      </c>
      <c r="BQ356" s="215"/>
      <c r="BR356" s="224"/>
      <c r="BS356" s="225"/>
      <c r="BT356" s="223"/>
      <c r="BU356" s="215"/>
      <c r="BV356" s="226"/>
      <c r="BW356" s="222" t="str">
        <f t="shared" si="68"/>
        <v/>
      </c>
      <c r="BX356" s="223" t="str">
        <f t="shared" si="69"/>
        <v/>
      </c>
      <c r="BY356" s="215"/>
      <c r="BZ356" s="227"/>
      <c r="CA356" s="227"/>
      <c r="CB356" s="228"/>
      <c r="CC356" s="229"/>
      <c r="CD356" s="230" t="str">
        <f t="shared" si="70"/>
        <v/>
      </c>
      <c r="CE356" s="231" t="str">
        <f t="shared" si="71"/>
        <v/>
      </c>
      <c r="CF356" s="232" t="str">
        <f t="shared" si="72"/>
        <v/>
      </c>
      <c r="CG356" s="233" t="str">
        <f t="shared" si="73"/>
        <v/>
      </c>
      <c r="CH356" s="207" t="str">
        <f>IF(OR(G356="",CC356= ""), "", IF(ISERROR(SMALL((CJ356,CN356,CV356), 1)-CC356), "",  SMALL((CJ356,CN356,CV356), 1)-CC356))</f>
        <v/>
      </c>
      <c r="CI356" s="234"/>
      <c r="CJ356" s="235"/>
      <c r="CK356" s="236"/>
      <c r="CL356" s="222" t="str">
        <f t="shared" si="74"/>
        <v/>
      </c>
      <c r="CM356" s="237" t="str">
        <f>IF(OR(G356="", CJ356="",CK356=""), "", IF(ISERROR(SMALL((CN356,CV356), 1)-CK356), "",  SMALL((CN356,CV356), 1)-CK356))</f>
        <v/>
      </c>
      <c r="CN356" s="235"/>
      <c r="CO356" s="236"/>
      <c r="CP356" s="224" t="str">
        <f t="shared" si="75"/>
        <v/>
      </c>
      <c r="CQ356" s="235"/>
      <c r="CR356" s="236"/>
      <c r="CS356" s="222" t="str">
        <f t="shared" si="76"/>
        <v/>
      </c>
      <c r="CT356" s="237" t="str">
        <f t="shared" si="77"/>
        <v/>
      </c>
      <c r="CU356" s="238"/>
      <c r="CV356" s="239"/>
      <c r="CW356" s="240"/>
    </row>
    <row r="357" spans="2:101" ht="16.5" customHeight="1">
      <c r="B357" s="122"/>
      <c r="E357" s="122"/>
      <c r="F357" s="194"/>
      <c r="G357" s="195"/>
      <c r="H357" s="195"/>
      <c r="I357" s="195"/>
      <c r="J357" s="196"/>
      <c r="K357" s="197"/>
      <c r="L357" s="198"/>
      <c r="M357" s="199"/>
      <c r="N357" s="200"/>
      <c r="O357" s="201"/>
      <c r="P357" s="201"/>
      <c r="Q357" s="201"/>
      <c r="R357" s="201"/>
      <c r="S357" s="201"/>
      <c r="T357" s="201"/>
      <c r="U357" s="201"/>
      <c r="V357" s="201"/>
      <c r="W357" s="201"/>
      <c r="X357" s="202"/>
      <c r="Y357" s="203"/>
      <c r="Z357" s="204"/>
      <c r="AA357" s="205"/>
      <c r="AB357" s="206"/>
      <c r="AC357" s="206"/>
      <c r="AD357" s="194"/>
      <c r="AE357" s="201"/>
      <c r="AF357" s="207"/>
      <c r="AG357" s="208"/>
      <c r="AH357" s="209"/>
      <c r="AI357" s="210"/>
      <c r="AJ357" s="197"/>
      <c r="AK357" s="201"/>
      <c r="AL357" s="196"/>
      <c r="AM357" s="201"/>
      <c r="AN357" s="201"/>
      <c r="AO357" s="201"/>
      <c r="AP357" s="211"/>
      <c r="AQ357" s="212"/>
      <c r="AR357" s="201"/>
      <c r="AS357" s="201"/>
      <c r="AT357" s="201"/>
      <c r="AU357" s="201"/>
      <c r="AV357" s="202"/>
      <c r="AW357" s="194"/>
      <c r="AX357" s="201"/>
      <c r="AY357" s="213"/>
      <c r="AZ357" s="214"/>
      <c r="BA357" s="215"/>
      <c r="BB357" s="216"/>
      <c r="BC357" s="217" t="str">
        <f t="shared" si="65"/>
        <v/>
      </c>
      <c r="BD357" s="218"/>
      <c r="BE357" s="219"/>
      <c r="BF357" s="220"/>
      <c r="BG357" s="219"/>
      <c r="BH357" s="219"/>
      <c r="BI357" s="220"/>
      <c r="BJ357" s="218"/>
      <c r="BK357" s="219"/>
      <c r="BL357" s="197"/>
      <c r="BM357" s="215"/>
      <c r="BN357" s="221"/>
      <c r="BO357" s="222" t="str">
        <f t="shared" si="66"/>
        <v/>
      </c>
      <c r="BP357" s="217" t="str">
        <f t="shared" si="67"/>
        <v/>
      </c>
      <c r="BQ357" s="215"/>
      <c r="BR357" s="224"/>
      <c r="BS357" s="225"/>
      <c r="BT357" s="223"/>
      <c r="BU357" s="215"/>
      <c r="BV357" s="226"/>
      <c r="BW357" s="222" t="str">
        <f t="shared" si="68"/>
        <v/>
      </c>
      <c r="BX357" s="223" t="str">
        <f t="shared" si="69"/>
        <v/>
      </c>
      <c r="BY357" s="215"/>
      <c r="BZ357" s="227"/>
      <c r="CA357" s="227"/>
      <c r="CB357" s="228"/>
      <c r="CC357" s="229"/>
      <c r="CD357" s="230" t="str">
        <f t="shared" si="70"/>
        <v/>
      </c>
      <c r="CE357" s="231" t="str">
        <f t="shared" si="71"/>
        <v/>
      </c>
      <c r="CF357" s="232" t="str">
        <f t="shared" si="72"/>
        <v/>
      </c>
      <c r="CG357" s="233" t="str">
        <f t="shared" si="73"/>
        <v/>
      </c>
      <c r="CH357" s="207" t="str">
        <f>IF(OR(G357="",CC357= ""), "", IF(ISERROR(SMALL((CJ357,CN357,CV357), 1)-CC357), "",  SMALL((CJ357,CN357,CV357), 1)-CC357))</f>
        <v/>
      </c>
      <c r="CI357" s="234"/>
      <c r="CJ357" s="235"/>
      <c r="CK357" s="236"/>
      <c r="CL357" s="222" t="str">
        <f t="shared" si="74"/>
        <v/>
      </c>
      <c r="CM357" s="237" t="str">
        <f>IF(OR(G357="", CJ357="",CK357=""), "", IF(ISERROR(SMALL((CN357,CV357), 1)-CK357), "",  SMALL((CN357,CV357), 1)-CK357))</f>
        <v/>
      </c>
      <c r="CN357" s="235"/>
      <c r="CO357" s="236"/>
      <c r="CP357" s="224" t="str">
        <f t="shared" si="75"/>
        <v/>
      </c>
      <c r="CQ357" s="235"/>
      <c r="CR357" s="236"/>
      <c r="CS357" s="222" t="str">
        <f t="shared" si="76"/>
        <v/>
      </c>
      <c r="CT357" s="237" t="str">
        <f t="shared" si="77"/>
        <v/>
      </c>
      <c r="CU357" s="238"/>
      <c r="CV357" s="239"/>
      <c r="CW357" s="240"/>
    </row>
    <row r="358" spans="2:101" ht="16.5" customHeight="1">
      <c r="B358" s="122"/>
      <c r="E358" s="122"/>
      <c r="F358" s="194"/>
      <c r="G358" s="195"/>
      <c r="H358" s="195"/>
      <c r="I358" s="195"/>
      <c r="J358" s="196"/>
      <c r="K358" s="197"/>
      <c r="L358" s="198"/>
      <c r="M358" s="199"/>
      <c r="N358" s="200"/>
      <c r="O358" s="201"/>
      <c r="P358" s="201"/>
      <c r="Q358" s="201"/>
      <c r="R358" s="201"/>
      <c r="S358" s="201"/>
      <c r="T358" s="201"/>
      <c r="U358" s="201"/>
      <c r="V358" s="201"/>
      <c r="W358" s="201"/>
      <c r="X358" s="202"/>
      <c r="Y358" s="203"/>
      <c r="Z358" s="204"/>
      <c r="AA358" s="205"/>
      <c r="AB358" s="206"/>
      <c r="AC358" s="206"/>
      <c r="AD358" s="194"/>
      <c r="AE358" s="201"/>
      <c r="AF358" s="207"/>
      <c r="AG358" s="208"/>
      <c r="AH358" s="209"/>
      <c r="AI358" s="210"/>
      <c r="AJ358" s="197"/>
      <c r="AK358" s="201"/>
      <c r="AL358" s="196"/>
      <c r="AM358" s="201"/>
      <c r="AN358" s="201"/>
      <c r="AO358" s="201"/>
      <c r="AP358" s="211"/>
      <c r="AQ358" s="212"/>
      <c r="AR358" s="201"/>
      <c r="AS358" s="201"/>
      <c r="AT358" s="201"/>
      <c r="AU358" s="201"/>
      <c r="AV358" s="202"/>
      <c r="AW358" s="194"/>
      <c r="AX358" s="201"/>
      <c r="AY358" s="213"/>
      <c r="AZ358" s="214"/>
      <c r="BA358" s="215"/>
      <c r="BB358" s="216"/>
      <c r="BC358" s="217" t="str">
        <f t="shared" si="65"/>
        <v/>
      </c>
      <c r="BD358" s="218"/>
      <c r="BE358" s="219"/>
      <c r="BF358" s="220"/>
      <c r="BG358" s="219"/>
      <c r="BH358" s="219"/>
      <c r="BI358" s="220"/>
      <c r="BJ358" s="218"/>
      <c r="BK358" s="219"/>
      <c r="BL358" s="197"/>
      <c r="BM358" s="215"/>
      <c r="BN358" s="221"/>
      <c r="BO358" s="222" t="str">
        <f t="shared" si="66"/>
        <v/>
      </c>
      <c r="BP358" s="217" t="str">
        <f t="shared" si="67"/>
        <v/>
      </c>
      <c r="BQ358" s="215"/>
      <c r="BR358" s="224"/>
      <c r="BS358" s="225"/>
      <c r="BT358" s="223"/>
      <c r="BU358" s="215"/>
      <c r="BV358" s="226"/>
      <c r="BW358" s="222" t="str">
        <f t="shared" si="68"/>
        <v/>
      </c>
      <c r="BX358" s="223" t="str">
        <f t="shared" si="69"/>
        <v/>
      </c>
      <c r="BY358" s="215"/>
      <c r="BZ358" s="227"/>
      <c r="CA358" s="227"/>
      <c r="CB358" s="228"/>
      <c r="CC358" s="229"/>
      <c r="CD358" s="230" t="str">
        <f t="shared" si="70"/>
        <v/>
      </c>
      <c r="CE358" s="231" t="str">
        <f t="shared" si="71"/>
        <v/>
      </c>
      <c r="CF358" s="232" t="str">
        <f t="shared" si="72"/>
        <v/>
      </c>
      <c r="CG358" s="233" t="str">
        <f t="shared" si="73"/>
        <v/>
      </c>
      <c r="CH358" s="207" t="str">
        <f>IF(OR(G358="",CC358= ""), "", IF(ISERROR(SMALL((CJ358,CN358,CV358), 1)-CC358), "",  SMALL((CJ358,CN358,CV358), 1)-CC358))</f>
        <v/>
      </c>
      <c r="CI358" s="234"/>
      <c r="CJ358" s="235"/>
      <c r="CK358" s="236"/>
      <c r="CL358" s="222" t="str">
        <f t="shared" si="74"/>
        <v/>
      </c>
      <c r="CM358" s="237" t="str">
        <f>IF(OR(G358="", CJ358="",CK358=""), "", IF(ISERROR(SMALL((CN358,CV358), 1)-CK358), "",  SMALL((CN358,CV358), 1)-CK358))</f>
        <v/>
      </c>
      <c r="CN358" s="235"/>
      <c r="CO358" s="236"/>
      <c r="CP358" s="224" t="str">
        <f t="shared" si="75"/>
        <v/>
      </c>
      <c r="CQ358" s="235"/>
      <c r="CR358" s="236"/>
      <c r="CS358" s="222" t="str">
        <f t="shared" si="76"/>
        <v/>
      </c>
      <c r="CT358" s="237" t="str">
        <f t="shared" si="77"/>
        <v/>
      </c>
      <c r="CU358" s="238"/>
      <c r="CV358" s="239"/>
      <c r="CW358" s="240"/>
    </row>
    <row r="359" spans="2:101" ht="16.5" customHeight="1">
      <c r="B359" s="122"/>
      <c r="E359" s="122"/>
      <c r="F359" s="194"/>
      <c r="G359" s="195"/>
      <c r="H359" s="195"/>
      <c r="I359" s="195"/>
      <c r="J359" s="196"/>
      <c r="K359" s="197"/>
      <c r="L359" s="198"/>
      <c r="M359" s="199"/>
      <c r="N359" s="200"/>
      <c r="O359" s="201"/>
      <c r="P359" s="201"/>
      <c r="Q359" s="201"/>
      <c r="R359" s="201"/>
      <c r="S359" s="201"/>
      <c r="T359" s="201"/>
      <c r="U359" s="201"/>
      <c r="V359" s="201"/>
      <c r="W359" s="201"/>
      <c r="X359" s="202"/>
      <c r="Y359" s="203"/>
      <c r="Z359" s="204"/>
      <c r="AA359" s="205"/>
      <c r="AB359" s="206"/>
      <c r="AC359" s="206"/>
      <c r="AD359" s="194"/>
      <c r="AE359" s="201"/>
      <c r="AF359" s="207"/>
      <c r="AG359" s="208"/>
      <c r="AH359" s="209"/>
      <c r="AI359" s="210"/>
      <c r="AJ359" s="197"/>
      <c r="AK359" s="201"/>
      <c r="AL359" s="196"/>
      <c r="AM359" s="201"/>
      <c r="AN359" s="201"/>
      <c r="AO359" s="201"/>
      <c r="AP359" s="211"/>
      <c r="AQ359" s="212"/>
      <c r="AR359" s="201"/>
      <c r="AS359" s="201"/>
      <c r="AT359" s="201"/>
      <c r="AU359" s="201"/>
      <c r="AV359" s="202"/>
      <c r="AW359" s="194"/>
      <c r="AX359" s="201"/>
      <c r="AY359" s="213"/>
      <c r="AZ359" s="214"/>
      <c r="BA359" s="215"/>
      <c r="BB359" s="216"/>
      <c r="BC359" s="217" t="str">
        <f t="shared" si="65"/>
        <v/>
      </c>
      <c r="BD359" s="218"/>
      <c r="BE359" s="219"/>
      <c r="BF359" s="220"/>
      <c r="BG359" s="219"/>
      <c r="BH359" s="219"/>
      <c r="BI359" s="220"/>
      <c r="BJ359" s="218"/>
      <c r="BK359" s="219"/>
      <c r="BL359" s="197"/>
      <c r="BM359" s="215"/>
      <c r="BN359" s="221"/>
      <c r="BO359" s="222" t="str">
        <f t="shared" si="66"/>
        <v/>
      </c>
      <c r="BP359" s="217" t="str">
        <f t="shared" si="67"/>
        <v/>
      </c>
      <c r="BQ359" s="215"/>
      <c r="BR359" s="224"/>
      <c r="BS359" s="225"/>
      <c r="BT359" s="223"/>
      <c r="BU359" s="215"/>
      <c r="BV359" s="226"/>
      <c r="BW359" s="222" t="str">
        <f t="shared" si="68"/>
        <v/>
      </c>
      <c r="BX359" s="223" t="str">
        <f t="shared" si="69"/>
        <v/>
      </c>
      <c r="BY359" s="215"/>
      <c r="BZ359" s="227"/>
      <c r="CA359" s="227"/>
      <c r="CB359" s="228"/>
      <c r="CC359" s="229"/>
      <c r="CD359" s="230" t="str">
        <f t="shared" si="70"/>
        <v/>
      </c>
      <c r="CE359" s="231" t="str">
        <f t="shared" si="71"/>
        <v/>
      </c>
      <c r="CF359" s="232" t="str">
        <f t="shared" si="72"/>
        <v/>
      </c>
      <c r="CG359" s="233" t="str">
        <f t="shared" si="73"/>
        <v/>
      </c>
      <c r="CH359" s="207" t="str">
        <f>IF(OR(G359="",CC359= ""), "", IF(ISERROR(SMALL((CJ359,CN359,CV359), 1)-CC359), "",  SMALL((CJ359,CN359,CV359), 1)-CC359))</f>
        <v/>
      </c>
      <c r="CI359" s="234"/>
      <c r="CJ359" s="235"/>
      <c r="CK359" s="236"/>
      <c r="CL359" s="222" t="str">
        <f t="shared" si="74"/>
        <v/>
      </c>
      <c r="CM359" s="237" t="str">
        <f>IF(OR(G359="", CJ359="",CK359=""), "", IF(ISERROR(SMALL((CN359,CV359), 1)-CK359), "",  SMALL((CN359,CV359), 1)-CK359))</f>
        <v/>
      </c>
      <c r="CN359" s="235"/>
      <c r="CO359" s="236"/>
      <c r="CP359" s="224" t="str">
        <f t="shared" si="75"/>
        <v/>
      </c>
      <c r="CQ359" s="235"/>
      <c r="CR359" s="236"/>
      <c r="CS359" s="222" t="str">
        <f t="shared" si="76"/>
        <v/>
      </c>
      <c r="CT359" s="237" t="str">
        <f t="shared" si="77"/>
        <v/>
      </c>
      <c r="CU359" s="238"/>
      <c r="CV359" s="239"/>
      <c r="CW359" s="240"/>
    </row>
    <row r="360" spans="2:101" ht="16.5" customHeight="1">
      <c r="B360" s="122"/>
      <c r="E360" s="122"/>
      <c r="F360" s="194"/>
      <c r="G360" s="195"/>
      <c r="H360" s="195"/>
      <c r="I360" s="195"/>
      <c r="J360" s="196"/>
      <c r="K360" s="197"/>
      <c r="L360" s="198"/>
      <c r="M360" s="199"/>
      <c r="N360" s="200"/>
      <c r="O360" s="201"/>
      <c r="P360" s="201"/>
      <c r="Q360" s="201"/>
      <c r="R360" s="201"/>
      <c r="S360" s="201"/>
      <c r="T360" s="201"/>
      <c r="U360" s="201"/>
      <c r="V360" s="201"/>
      <c r="W360" s="201"/>
      <c r="X360" s="202"/>
      <c r="Y360" s="203"/>
      <c r="Z360" s="204"/>
      <c r="AA360" s="205"/>
      <c r="AB360" s="206"/>
      <c r="AC360" s="206"/>
      <c r="AD360" s="194"/>
      <c r="AE360" s="201"/>
      <c r="AF360" s="207"/>
      <c r="AG360" s="208"/>
      <c r="AH360" s="209"/>
      <c r="AI360" s="210"/>
      <c r="AJ360" s="197"/>
      <c r="AK360" s="201"/>
      <c r="AL360" s="196"/>
      <c r="AM360" s="201"/>
      <c r="AN360" s="201"/>
      <c r="AO360" s="201"/>
      <c r="AP360" s="211"/>
      <c r="AQ360" s="212"/>
      <c r="AR360" s="201"/>
      <c r="AS360" s="201"/>
      <c r="AT360" s="201"/>
      <c r="AU360" s="201"/>
      <c r="AV360" s="202"/>
      <c r="AW360" s="194"/>
      <c r="AX360" s="201"/>
      <c r="AY360" s="213"/>
      <c r="AZ360" s="214"/>
      <c r="BA360" s="215"/>
      <c r="BB360" s="216"/>
      <c r="BC360" s="217" t="str">
        <f t="shared" si="65"/>
        <v/>
      </c>
      <c r="BD360" s="218"/>
      <c r="BE360" s="219"/>
      <c r="BF360" s="220"/>
      <c r="BG360" s="219"/>
      <c r="BH360" s="219"/>
      <c r="BI360" s="220"/>
      <c r="BJ360" s="218"/>
      <c r="BK360" s="219"/>
      <c r="BL360" s="197"/>
      <c r="BM360" s="215"/>
      <c r="BN360" s="221"/>
      <c r="BO360" s="222" t="str">
        <f t="shared" si="66"/>
        <v/>
      </c>
      <c r="BP360" s="217" t="str">
        <f t="shared" si="67"/>
        <v/>
      </c>
      <c r="BQ360" s="215"/>
      <c r="BR360" s="224"/>
      <c r="BS360" s="225"/>
      <c r="BT360" s="223"/>
      <c r="BU360" s="215"/>
      <c r="BV360" s="226"/>
      <c r="BW360" s="222" t="str">
        <f t="shared" si="68"/>
        <v/>
      </c>
      <c r="BX360" s="223" t="str">
        <f t="shared" si="69"/>
        <v/>
      </c>
      <c r="BY360" s="215"/>
      <c r="BZ360" s="227"/>
      <c r="CA360" s="227"/>
      <c r="CB360" s="228"/>
      <c r="CC360" s="229"/>
      <c r="CD360" s="230" t="str">
        <f t="shared" si="70"/>
        <v/>
      </c>
      <c r="CE360" s="231" t="str">
        <f t="shared" si="71"/>
        <v/>
      </c>
      <c r="CF360" s="232" t="str">
        <f t="shared" si="72"/>
        <v/>
      </c>
      <c r="CG360" s="233" t="str">
        <f t="shared" si="73"/>
        <v/>
      </c>
      <c r="CH360" s="207" t="str">
        <f>IF(OR(G360="",CC360= ""), "", IF(ISERROR(SMALL((CJ360,CN360,CV360), 1)-CC360), "",  SMALL((CJ360,CN360,CV360), 1)-CC360))</f>
        <v/>
      </c>
      <c r="CI360" s="234"/>
      <c r="CJ360" s="235"/>
      <c r="CK360" s="236"/>
      <c r="CL360" s="222" t="str">
        <f t="shared" si="74"/>
        <v/>
      </c>
      <c r="CM360" s="237" t="str">
        <f>IF(OR(G360="", CJ360="",CK360=""), "", IF(ISERROR(SMALL((CN360,CV360), 1)-CK360), "",  SMALL((CN360,CV360), 1)-CK360))</f>
        <v/>
      </c>
      <c r="CN360" s="235"/>
      <c r="CO360" s="236"/>
      <c r="CP360" s="224" t="str">
        <f t="shared" si="75"/>
        <v/>
      </c>
      <c r="CQ360" s="235"/>
      <c r="CR360" s="236"/>
      <c r="CS360" s="222" t="str">
        <f t="shared" si="76"/>
        <v/>
      </c>
      <c r="CT360" s="237" t="str">
        <f t="shared" si="77"/>
        <v/>
      </c>
      <c r="CU360" s="238"/>
      <c r="CV360" s="239"/>
      <c r="CW360" s="240"/>
    </row>
    <row r="361" spans="2:101" ht="16.5" customHeight="1">
      <c r="B361" s="122"/>
      <c r="E361" s="122"/>
      <c r="F361" s="194"/>
      <c r="G361" s="195"/>
      <c r="H361" s="195"/>
      <c r="I361" s="195"/>
      <c r="J361" s="196"/>
      <c r="K361" s="197"/>
      <c r="L361" s="198"/>
      <c r="M361" s="199"/>
      <c r="N361" s="200"/>
      <c r="O361" s="201"/>
      <c r="P361" s="201"/>
      <c r="Q361" s="201"/>
      <c r="R361" s="201"/>
      <c r="S361" s="201"/>
      <c r="T361" s="201"/>
      <c r="U361" s="201"/>
      <c r="V361" s="201"/>
      <c r="W361" s="201"/>
      <c r="X361" s="202"/>
      <c r="Y361" s="203"/>
      <c r="Z361" s="204"/>
      <c r="AA361" s="205"/>
      <c r="AB361" s="206"/>
      <c r="AC361" s="206"/>
      <c r="AD361" s="194"/>
      <c r="AE361" s="201"/>
      <c r="AF361" s="207"/>
      <c r="AG361" s="208"/>
      <c r="AH361" s="209"/>
      <c r="AI361" s="210"/>
      <c r="AJ361" s="197"/>
      <c r="AK361" s="201"/>
      <c r="AL361" s="196"/>
      <c r="AM361" s="201"/>
      <c r="AN361" s="201"/>
      <c r="AO361" s="201"/>
      <c r="AP361" s="211"/>
      <c r="AQ361" s="212"/>
      <c r="AR361" s="201"/>
      <c r="AS361" s="201"/>
      <c r="AT361" s="201"/>
      <c r="AU361" s="201"/>
      <c r="AV361" s="202"/>
      <c r="AW361" s="194"/>
      <c r="AX361" s="201"/>
      <c r="AY361" s="213"/>
      <c r="AZ361" s="214"/>
      <c r="BA361" s="215"/>
      <c r="BB361" s="216"/>
      <c r="BC361" s="217" t="str">
        <f t="shared" si="65"/>
        <v/>
      </c>
      <c r="BD361" s="218"/>
      <c r="BE361" s="219"/>
      <c r="BF361" s="220"/>
      <c r="BG361" s="219"/>
      <c r="BH361" s="219"/>
      <c r="BI361" s="220"/>
      <c r="BJ361" s="218"/>
      <c r="BK361" s="219"/>
      <c r="BL361" s="197"/>
      <c r="BM361" s="215"/>
      <c r="BN361" s="221"/>
      <c r="BO361" s="222" t="str">
        <f t="shared" si="66"/>
        <v/>
      </c>
      <c r="BP361" s="217" t="str">
        <f t="shared" si="67"/>
        <v/>
      </c>
      <c r="BQ361" s="215"/>
      <c r="BR361" s="224"/>
      <c r="BS361" s="225"/>
      <c r="BT361" s="223"/>
      <c r="BU361" s="215"/>
      <c r="BV361" s="226"/>
      <c r="BW361" s="222" t="str">
        <f t="shared" si="68"/>
        <v/>
      </c>
      <c r="BX361" s="223" t="str">
        <f t="shared" si="69"/>
        <v/>
      </c>
      <c r="BY361" s="215"/>
      <c r="BZ361" s="227"/>
      <c r="CA361" s="227"/>
      <c r="CB361" s="228"/>
      <c r="CC361" s="229"/>
      <c r="CD361" s="230" t="str">
        <f t="shared" si="70"/>
        <v/>
      </c>
      <c r="CE361" s="231" t="str">
        <f t="shared" si="71"/>
        <v/>
      </c>
      <c r="CF361" s="232" t="str">
        <f t="shared" si="72"/>
        <v/>
      </c>
      <c r="CG361" s="233" t="str">
        <f t="shared" si="73"/>
        <v/>
      </c>
      <c r="CH361" s="207" t="str">
        <f>IF(OR(G361="",CC361= ""), "", IF(ISERROR(SMALL((CJ361,CN361,CV361), 1)-CC361), "",  SMALL((CJ361,CN361,CV361), 1)-CC361))</f>
        <v/>
      </c>
      <c r="CI361" s="234"/>
      <c r="CJ361" s="235"/>
      <c r="CK361" s="236"/>
      <c r="CL361" s="222" t="str">
        <f t="shared" si="74"/>
        <v/>
      </c>
      <c r="CM361" s="237" t="str">
        <f>IF(OR(G361="", CJ361="",CK361=""), "", IF(ISERROR(SMALL((CN361,CV361), 1)-CK361), "",  SMALL((CN361,CV361), 1)-CK361))</f>
        <v/>
      </c>
      <c r="CN361" s="235"/>
      <c r="CO361" s="236"/>
      <c r="CP361" s="224" t="str">
        <f t="shared" si="75"/>
        <v/>
      </c>
      <c r="CQ361" s="235"/>
      <c r="CR361" s="236"/>
      <c r="CS361" s="222" t="str">
        <f t="shared" si="76"/>
        <v/>
      </c>
      <c r="CT361" s="237" t="str">
        <f t="shared" si="77"/>
        <v/>
      </c>
      <c r="CU361" s="238"/>
      <c r="CV361" s="239"/>
      <c r="CW361" s="240"/>
    </row>
    <row r="362" spans="2:101" ht="16.5" customHeight="1">
      <c r="B362" s="122"/>
      <c r="E362" s="122"/>
      <c r="F362" s="194"/>
      <c r="G362" s="195"/>
      <c r="H362" s="195"/>
      <c r="I362" s="195"/>
      <c r="J362" s="196"/>
      <c r="K362" s="197"/>
      <c r="L362" s="198"/>
      <c r="M362" s="199"/>
      <c r="N362" s="200"/>
      <c r="O362" s="201"/>
      <c r="P362" s="201"/>
      <c r="Q362" s="201"/>
      <c r="R362" s="201"/>
      <c r="S362" s="201"/>
      <c r="T362" s="201"/>
      <c r="U362" s="201"/>
      <c r="V362" s="201"/>
      <c r="W362" s="201"/>
      <c r="X362" s="202"/>
      <c r="Y362" s="203"/>
      <c r="Z362" s="204"/>
      <c r="AA362" s="205"/>
      <c r="AB362" s="206"/>
      <c r="AC362" s="206"/>
      <c r="AD362" s="194"/>
      <c r="AE362" s="201"/>
      <c r="AF362" s="207"/>
      <c r="AG362" s="208"/>
      <c r="AH362" s="209"/>
      <c r="AI362" s="210"/>
      <c r="AJ362" s="197"/>
      <c r="AK362" s="201"/>
      <c r="AL362" s="196"/>
      <c r="AM362" s="201"/>
      <c r="AN362" s="201"/>
      <c r="AO362" s="201"/>
      <c r="AP362" s="211"/>
      <c r="AQ362" s="212"/>
      <c r="AR362" s="201"/>
      <c r="AS362" s="201"/>
      <c r="AT362" s="201"/>
      <c r="AU362" s="201"/>
      <c r="AV362" s="202"/>
      <c r="AW362" s="194"/>
      <c r="AX362" s="201"/>
      <c r="AY362" s="213"/>
      <c r="AZ362" s="214"/>
      <c r="BA362" s="215"/>
      <c r="BB362" s="216"/>
      <c r="BC362" s="217" t="str">
        <f t="shared" si="65"/>
        <v/>
      </c>
      <c r="BD362" s="218"/>
      <c r="BE362" s="219"/>
      <c r="BF362" s="220"/>
      <c r="BG362" s="219"/>
      <c r="BH362" s="219"/>
      <c r="BI362" s="220"/>
      <c r="BJ362" s="218"/>
      <c r="BK362" s="219"/>
      <c r="BL362" s="197"/>
      <c r="BM362" s="215"/>
      <c r="BN362" s="221"/>
      <c r="BO362" s="222" t="str">
        <f t="shared" si="66"/>
        <v/>
      </c>
      <c r="BP362" s="217" t="str">
        <f t="shared" si="67"/>
        <v/>
      </c>
      <c r="BQ362" s="215"/>
      <c r="BR362" s="224"/>
      <c r="BS362" s="225"/>
      <c r="BT362" s="223"/>
      <c r="BU362" s="215"/>
      <c r="BV362" s="226"/>
      <c r="BW362" s="222" t="str">
        <f t="shared" si="68"/>
        <v/>
      </c>
      <c r="BX362" s="223" t="str">
        <f t="shared" si="69"/>
        <v/>
      </c>
      <c r="BY362" s="215"/>
      <c r="BZ362" s="227"/>
      <c r="CA362" s="227"/>
      <c r="CB362" s="228"/>
      <c r="CC362" s="229"/>
      <c r="CD362" s="230" t="str">
        <f t="shared" si="70"/>
        <v/>
      </c>
      <c r="CE362" s="231" t="str">
        <f t="shared" si="71"/>
        <v/>
      </c>
      <c r="CF362" s="232" t="str">
        <f t="shared" si="72"/>
        <v/>
      </c>
      <c r="CG362" s="233" t="str">
        <f t="shared" si="73"/>
        <v/>
      </c>
      <c r="CH362" s="207" t="str">
        <f>IF(OR(G362="",CC362= ""), "", IF(ISERROR(SMALL((CJ362,CN362,CV362), 1)-CC362), "",  SMALL((CJ362,CN362,CV362), 1)-CC362))</f>
        <v/>
      </c>
      <c r="CI362" s="234"/>
      <c r="CJ362" s="235"/>
      <c r="CK362" s="236"/>
      <c r="CL362" s="222" t="str">
        <f t="shared" si="74"/>
        <v/>
      </c>
      <c r="CM362" s="237" t="str">
        <f>IF(OR(G362="", CJ362="",CK362=""), "", IF(ISERROR(SMALL((CN362,CV362), 1)-CK362), "",  SMALL((CN362,CV362), 1)-CK362))</f>
        <v/>
      </c>
      <c r="CN362" s="235"/>
      <c r="CO362" s="236"/>
      <c r="CP362" s="224" t="str">
        <f t="shared" si="75"/>
        <v/>
      </c>
      <c r="CQ362" s="235"/>
      <c r="CR362" s="236"/>
      <c r="CS362" s="222" t="str">
        <f t="shared" si="76"/>
        <v/>
      </c>
      <c r="CT362" s="237" t="str">
        <f t="shared" si="77"/>
        <v/>
      </c>
      <c r="CU362" s="238"/>
      <c r="CV362" s="239"/>
      <c r="CW362" s="240"/>
    </row>
    <row r="363" spans="2:101" ht="16.5" customHeight="1">
      <c r="B363" s="122"/>
      <c r="E363" s="122"/>
      <c r="F363" s="194"/>
      <c r="G363" s="195"/>
      <c r="H363" s="195"/>
      <c r="I363" s="195"/>
      <c r="J363" s="196"/>
      <c r="K363" s="197"/>
      <c r="L363" s="198"/>
      <c r="M363" s="199"/>
      <c r="N363" s="200"/>
      <c r="O363" s="201"/>
      <c r="P363" s="201"/>
      <c r="Q363" s="201"/>
      <c r="R363" s="201"/>
      <c r="S363" s="201"/>
      <c r="T363" s="201"/>
      <c r="U363" s="201"/>
      <c r="V363" s="201"/>
      <c r="W363" s="201"/>
      <c r="X363" s="202"/>
      <c r="Y363" s="203"/>
      <c r="Z363" s="204"/>
      <c r="AA363" s="205"/>
      <c r="AB363" s="206"/>
      <c r="AC363" s="206"/>
      <c r="AD363" s="194"/>
      <c r="AE363" s="201"/>
      <c r="AF363" s="207"/>
      <c r="AG363" s="208"/>
      <c r="AH363" s="209"/>
      <c r="AI363" s="210"/>
      <c r="AJ363" s="197"/>
      <c r="AK363" s="201"/>
      <c r="AL363" s="196"/>
      <c r="AM363" s="201"/>
      <c r="AN363" s="201"/>
      <c r="AO363" s="201"/>
      <c r="AP363" s="211"/>
      <c r="AQ363" s="212"/>
      <c r="AR363" s="201"/>
      <c r="AS363" s="201"/>
      <c r="AT363" s="201"/>
      <c r="AU363" s="201"/>
      <c r="AV363" s="202"/>
      <c r="AW363" s="194"/>
      <c r="AX363" s="201"/>
      <c r="AY363" s="213"/>
      <c r="AZ363" s="214"/>
      <c r="BA363" s="215"/>
      <c r="BB363" s="216"/>
      <c r="BC363" s="217" t="str">
        <f t="shared" si="65"/>
        <v/>
      </c>
      <c r="BD363" s="218"/>
      <c r="BE363" s="219"/>
      <c r="BF363" s="220"/>
      <c r="BG363" s="219"/>
      <c r="BH363" s="219"/>
      <c r="BI363" s="220"/>
      <c r="BJ363" s="218"/>
      <c r="BK363" s="219"/>
      <c r="BL363" s="197"/>
      <c r="BM363" s="215"/>
      <c r="BN363" s="221"/>
      <c r="BO363" s="222" t="str">
        <f t="shared" si="66"/>
        <v/>
      </c>
      <c r="BP363" s="217" t="str">
        <f t="shared" si="67"/>
        <v/>
      </c>
      <c r="BQ363" s="215"/>
      <c r="BR363" s="224"/>
      <c r="BS363" s="225"/>
      <c r="BT363" s="223"/>
      <c r="BU363" s="215"/>
      <c r="BV363" s="226"/>
      <c r="BW363" s="222" t="str">
        <f t="shared" si="68"/>
        <v/>
      </c>
      <c r="BX363" s="223" t="str">
        <f t="shared" si="69"/>
        <v/>
      </c>
      <c r="BY363" s="215"/>
      <c r="BZ363" s="227"/>
      <c r="CA363" s="227"/>
      <c r="CB363" s="228"/>
      <c r="CC363" s="229"/>
      <c r="CD363" s="230" t="str">
        <f t="shared" si="70"/>
        <v/>
      </c>
      <c r="CE363" s="231" t="str">
        <f t="shared" si="71"/>
        <v/>
      </c>
      <c r="CF363" s="232" t="str">
        <f t="shared" si="72"/>
        <v/>
      </c>
      <c r="CG363" s="233" t="str">
        <f t="shared" si="73"/>
        <v/>
      </c>
      <c r="CH363" s="207" t="str">
        <f>IF(OR(G363="",CC363= ""), "", IF(ISERROR(SMALL((CJ363,CN363,CV363), 1)-CC363), "",  SMALL((CJ363,CN363,CV363), 1)-CC363))</f>
        <v/>
      </c>
      <c r="CI363" s="234"/>
      <c r="CJ363" s="235"/>
      <c r="CK363" s="236"/>
      <c r="CL363" s="222" t="str">
        <f t="shared" si="74"/>
        <v/>
      </c>
      <c r="CM363" s="237" t="str">
        <f>IF(OR(G363="", CJ363="",CK363=""), "", IF(ISERROR(SMALL((CN363,CV363), 1)-CK363), "",  SMALL((CN363,CV363), 1)-CK363))</f>
        <v/>
      </c>
      <c r="CN363" s="235"/>
      <c r="CO363" s="236"/>
      <c r="CP363" s="224" t="str">
        <f t="shared" si="75"/>
        <v/>
      </c>
      <c r="CQ363" s="235"/>
      <c r="CR363" s="236"/>
      <c r="CS363" s="222" t="str">
        <f t="shared" si="76"/>
        <v/>
      </c>
      <c r="CT363" s="237" t="str">
        <f t="shared" si="77"/>
        <v/>
      </c>
      <c r="CU363" s="238"/>
      <c r="CV363" s="239"/>
      <c r="CW363" s="240"/>
    </row>
    <row r="364" spans="2:101" ht="16.5" customHeight="1">
      <c r="B364" s="122"/>
      <c r="E364" s="122"/>
      <c r="F364" s="194"/>
      <c r="G364" s="195"/>
      <c r="H364" s="195"/>
      <c r="I364" s="195"/>
      <c r="J364" s="196"/>
      <c r="K364" s="197"/>
      <c r="L364" s="198"/>
      <c r="M364" s="199"/>
      <c r="N364" s="200"/>
      <c r="O364" s="201"/>
      <c r="P364" s="201"/>
      <c r="Q364" s="201"/>
      <c r="R364" s="201"/>
      <c r="S364" s="201"/>
      <c r="T364" s="201"/>
      <c r="U364" s="201"/>
      <c r="V364" s="201"/>
      <c r="W364" s="201"/>
      <c r="X364" s="202"/>
      <c r="Y364" s="203"/>
      <c r="Z364" s="204"/>
      <c r="AA364" s="205"/>
      <c r="AB364" s="206"/>
      <c r="AC364" s="206"/>
      <c r="AD364" s="194"/>
      <c r="AE364" s="201"/>
      <c r="AF364" s="207"/>
      <c r="AG364" s="208"/>
      <c r="AH364" s="209"/>
      <c r="AI364" s="210"/>
      <c r="AJ364" s="197"/>
      <c r="AK364" s="201"/>
      <c r="AL364" s="196"/>
      <c r="AM364" s="201"/>
      <c r="AN364" s="201"/>
      <c r="AO364" s="201"/>
      <c r="AP364" s="211"/>
      <c r="AQ364" s="212"/>
      <c r="AR364" s="201"/>
      <c r="AS364" s="201"/>
      <c r="AT364" s="201"/>
      <c r="AU364" s="201"/>
      <c r="AV364" s="202"/>
      <c r="AW364" s="194"/>
      <c r="AX364" s="201"/>
      <c r="AY364" s="213"/>
      <c r="AZ364" s="214"/>
      <c r="BA364" s="215"/>
      <c r="BB364" s="216"/>
      <c r="BC364" s="217" t="str">
        <f t="shared" si="65"/>
        <v/>
      </c>
      <c r="BD364" s="218"/>
      <c r="BE364" s="219"/>
      <c r="BF364" s="220"/>
      <c r="BG364" s="219"/>
      <c r="BH364" s="219"/>
      <c r="BI364" s="220"/>
      <c r="BJ364" s="218"/>
      <c r="BK364" s="219"/>
      <c r="BL364" s="197"/>
      <c r="BM364" s="215"/>
      <c r="BN364" s="221"/>
      <c r="BO364" s="222" t="str">
        <f t="shared" si="66"/>
        <v/>
      </c>
      <c r="BP364" s="217" t="str">
        <f t="shared" si="67"/>
        <v/>
      </c>
      <c r="BQ364" s="215"/>
      <c r="BR364" s="224"/>
      <c r="BS364" s="225"/>
      <c r="BT364" s="223"/>
      <c r="BU364" s="215"/>
      <c r="BV364" s="226"/>
      <c r="BW364" s="222" t="str">
        <f t="shared" si="68"/>
        <v/>
      </c>
      <c r="BX364" s="223" t="str">
        <f t="shared" si="69"/>
        <v/>
      </c>
      <c r="BY364" s="215"/>
      <c r="BZ364" s="227"/>
      <c r="CA364" s="227"/>
      <c r="CB364" s="228"/>
      <c r="CC364" s="229"/>
      <c r="CD364" s="230" t="str">
        <f t="shared" si="70"/>
        <v/>
      </c>
      <c r="CE364" s="231" t="str">
        <f t="shared" si="71"/>
        <v/>
      </c>
      <c r="CF364" s="232" t="str">
        <f t="shared" si="72"/>
        <v/>
      </c>
      <c r="CG364" s="233" t="str">
        <f t="shared" si="73"/>
        <v/>
      </c>
      <c r="CH364" s="207" t="str">
        <f>IF(OR(G364="",CC364= ""), "", IF(ISERROR(SMALL((CJ364,CN364,CV364), 1)-CC364), "",  SMALL((CJ364,CN364,CV364), 1)-CC364))</f>
        <v/>
      </c>
      <c r="CI364" s="234"/>
      <c r="CJ364" s="235"/>
      <c r="CK364" s="236"/>
      <c r="CL364" s="222" t="str">
        <f t="shared" si="74"/>
        <v/>
      </c>
      <c r="CM364" s="237" t="str">
        <f>IF(OR(G364="", CJ364="",CK364=""), "", IF(ISERROR(SMALL((CN364,CV364), 1)-CK364), "",  SMALL((CN364,CV364), 1)-CK364))</f>
        <v/>
      </c>
      <c r="CN364" s="235"/>
      <c r="CO364" s="236"/>
      <c r="CP364" s="224" t="str">
        <f t="shared" si="75"/>
        <v/>
      </c>
      <c r="CQ364" s="235"/>
      <c r="CR364" s="236"/>
      <c r="CS364" s="222" t="str">
        <f t="shared" si="76"/>
        <v/>
      </c>
      <c r="CT364" s="237" t="str">
        <f t="shared" si="77"/>
        <v/>
      </c>
      <c r="CU364" s="238"/>
      <c r="CV364" s="239"/>
      <c r="CW364" s="240"/>
    </row>
    <row r="365" spans="2:101" ht="16.5" customHeight="1">
      <c r="B365" s="122"/>
      <c r="E365" s="122"/>
      <c r="F365" s="194"/>
      <c r="G365" s="195"/>
      <c r="H365" s="195"/>
      <c r="I365" s="195"/>
      <c r="J365" s="196"/>
      <c r="K365" s="197"/>
      <c r="L365" s="198"/>
      <c r="M365" s="199"/>
      <c r="N365" s="200"/>
      <c r="O365" s="201"/>
      <c r="P365" s="201"/>
      <c r="Q365" s="201"/>
      <c r="R365" s="201"/>
      <c r="S365" s="201"/>
      <c r="T365" s="201"/>
      <c r="U365" s="201"/>
      <c r="V365" s="201"/>
      <c r="W365" s="201"/>
      <c r="X365" s="202"/>
      <c r="Y365" s="203"/>
      <c r="Z365" s="204"/>
      <c r="AA365" s="205"/>
      <c r="AB365" s="206"/>
      <c r="AC365" s="206"/>
      <c r="AD365" s="194"/>
      <c r="AE365" s="201"/>
      <c r="AF365" s="207"/>
      <c r="AG365" s="208"/>
      <c r="AH365" s="209"/>
      <c r="AI365" s="210"/>
      <c r="AJ365" s="197"/>
      <c r="AK365" s="201"/>
      <c r="AL365" s="196"/>
      <c r="AM365" s="201"/>
      <c r="AN365" s="201"/>
      <c r="AO365" s="201"/>
      <c r="AP365" s="211"/>
      <c r="AQ365" s="212"/>
      <c r="AR365" s="201"/>
      <c r="AS365" s="201"/>
      <c r="AT365" s="201"/>
      <c r="AU365" s="201"/>
      <c r="AV365" s="202"/>
      <c r="AW365" s="194"/>
      <c r="AX365" s="201"/>
      <c r="AY365" s="213"/>
      <c r="AZ365" s="214"/>
      <c r="BA365" s="215"/>
      <c r="BB365" s="216"/>
      <c r="BC365" s="217" t="str">
        <f t="shared" si="65"/>
        <v/>
      </c>
      <c r="BD365" s="218"/>
      <c r="BE365" s="219"/>
      <c r="BF365" s="220"/>
      <c r="BG365" s="219"/>
      <c r="BH365" s="219"/>
      <c r="BI365" s="220"/>
      <c r="BJ365" s="218"/>
      <c r="BK365" s="219"/>
      <c r="BL365" s="197"/>
      <c r="BM365" s="215"/>
      <c r="BN365" s="221"/>
      <c r="BO365" s="222" t="str">
        <f t="shared" si="66"/>
        <v/>
      </c>
      <c r="BP365" s="217" t="str">
        <f t="shared" si="67"/>
        <v/>
      </c>
      <c r="BQ365" s="215"/>
      <c r="BR365" s="224"/>
      <c r="BS365" s="225"/>
      <c r="BT365" s="223"/>
      <c r="BU365" s="215"/>
      <c r="BV365" s="226"/>
      <c r="BW365" s="222" t="str">
        <f t="shared" si="68"/>
        <v/>
      </c>
      <c r="BX365" s="223" t="str">
        <f t="shared" si="69"/>
        <v/>
      </c>
      <c r="BY365" s="215"/>
      <c r="BZ365" s="227"/>
      <c r="CA365" s="227"/>
      <c r="CB365" s="228"/>
      <c r="CC365" s="229"/>
      <c r="CD365" s="230" t="str">
        <f t="shared" si="70"/>
        <v/>
      </c>
      <c r="CE365" s="231" t="str">
        <f t="shared" si="71"/>
        <v/>
      </c>
      <c r="CF365" s="232" t="str">
        <f t="shared" si="72"/>
        <v/>
      </c>
      <c r="CG365" s="233" t="str">
        <f t="shared" si="73"/>
        <v/>
      </c>
      <c r="CH365" s="207" t="str">
        <f>IF(OR(G365="",CC365= ""), "", IF(ISERROR(SMALL((CJ365,CN365,CV365), 1)-CC365), "",  SMALL((CJ365,CN365,CV365), 1)-CC365))</f>
        <v/>
      </c>
      <c r="CI365" s="234"/>
      <c r="CJ365" s="235"/>
      <c r="CK365" s="236"/>
      <c r="CL365" s="222" t="str">
        <f t="shared" si="74"/>
        <v/>
      </c>
      <c r="CM365" s="237" t="str">
        <f>IF(OR(G365="", CJ365="",CK365=""), "", IF(ISERROR(SMALL((CN365,CV365), 1)-CK365), "",  SMALL((CN365,CV365), 1)-CK365))</f>
        <v/>
      </c>
      <c r="CN365" s="235"/>
      <c r="CO365" s="236"/>
      <c r="CP365" s="224" t="str">
        <f t="shared" si="75"/>
        <v/>
      </c>
      <c r="CQ365" s="235"/>
      <c r="CR365" s="236"/>
      <c r="CS365" s="222" t="str">
        <f t="shared" si="76"/>
        <v/>
      </c>
      <c r="CT365" s="237" t="str">
        <f t="shared" si="77"/>
        <v/>
      </c>
      <c r="CU365" s="238"/>
      <c r="CV365" s="239"/>
      <c r="CW365" s="240"/>
    </row>
    <row r="366" spans="2:101" ht="16.5" customHeight="1">
      <c r="B366" s="122"/>
      <c r="E366" s="122"/>
      <c r="F366" s="194"/>
      <c r="G366" s="195"/>
      <c r="H366" s="195"/>
      <c r="I366" s="195"/>
      <c r="J366" s="196"/>
      <c r="K366" s="197"/>
      <c r="L366" s="198"/>
      <c r="M366" s="199"/>
      <c r="N366" s="200"/>
      <c r="O366" s="201"/>
      <c r="P366" s="201"/>
      <c r="Q366" s="201"/>
      <c r="R366" s="201"/>
      <c r="S366" s="201"/>
      <c r="T366" s="201"/>
      <c r="U366" s="201"/>
      <c r="V366" s="201"/>
      <c r="W366" s="201"/>
      <c r="X366" s="202"/>
      <c r="Y366" s="203"/>
      <c r="Z366" s="204"/>
      <c r="AA366" s="205"/>
      <c r="AB366" s="206"/>
      <c r="AC366" s="206"/>
      <c r="AD366" s="194"/>
      <c r="AE366" s="201"/>
      <c r="AF366" s="207"/>
      <c r="AG366" s="208"/>
      <c r="AH366" s="209"/>
      <c r="AI366" s="210"/>
      <c r="AJ366" s="197"/>
      <c r="AK366" s="201"/>
      <c r="AL366" s="196"/>
      <c r="AM366" s="201"/>
      <c r="AN366" s="201"/>
      <c r="AO366" s="201"/>
      <c r="AP366" s="211"/>
      <c r="AQ366" s="212"/>
      <c r="AR366" s="201"/>
      <c r="AS366" s="201"/>
      <c r="AT366" s="201"/>
      <c r="AU366" s="201"/>
      <c r="AV366" s="202"/>
      <c r="AW366" s="194"/>
      <c r="AX366" s="201"/>
      <c r="AY366" s="213"/>
      <c r="AZ366" s="214"/>
      <c r="BA366" s="215"/>
      <c r="BB366" s="216"/>
      <c r="BC366" s="217" t="str">
        <f t="shared" si="65"/>
        <v/>
      </c>
      <c r="BD366" s="218"/>
      <c r="BE366" s="219"/>
      <c r="BF366" s="220"/>
      <c r="BG366" s="219"/>
      <c r="BH366" s="219"/>
      <c r="BI366" s="220"/>
      <c r="BJ366" s="218"/>
      <c r="BK366" s="219"/>
      <c r="BL366" s="197"/>
      <c r="BM366" s="215"/>
      <c r="BN366" s="221"/>
      <c r="BO366" s="222" t="str">
        <f t="shared" si="66"/>
        <v/>
      </c>
      <c r="BP366" s="217" t="str">
        <f t="shared" si="67"/>
        <v/>
      </c>
      <c r="BQ366" s="215"/>
      <c r="BR366" s="224"/>
      <c r="BS366" s="225"/>
      <c r="BT366" s="223"/>
      <c r="BU366" s="215"/>
      <c r="BV366" s="226"/>
      <c r="BW366" s="222" t="str">
        <f t="shared" si="68"/>
        <v/>
      </c>
      <c r="BX366" s="223" t="str">
        <f t="shared" si="69"/>
        <v/>
      </c>
      <c r="BY366" s="215"/>
      <c r="BZ366" s="227"/>
      <c r="CA366" s="227"/>
      <c r="CB366" s="228"/>
      <c r="CC366" s="229"/>
      <c r="CD366" s="230" t="str">
        <f t="shared" si="70"/>
        <v/>
      </c>
      <c r="CE366" s="231" t="str">
        <f t="shared" si="71"/>
        <v/>
      </c>
      <c r="CF366" s="232" t="str">
        <f t="shared" si="72"/>
        <v/>
      </c>
      <c r="CG366" s="233" t="str">
        <f t="shared" si="73"/>
        <v/>
      </c>
      <c r="CH366" s="207" t="str">
        <f>IF(OR(G366="",CC366= ""), "", IF(ISERROR(SMALL((CJ366,CN366,CV366), 1)-CC366), "",  SMALL((CJ366,CN366,CV366), 1)-CC366))</f>
        <v/>
      </c>
      <c r="CI366" s="234"/>
      <c r="CJ366" s="235"/>
      <c r="CK366" s="236"/>
      <c r="CL366" s="222" t="str">
        <f t="shared" si="74"/>
        <v/>
      </c>
      <c r="CM366" s="237" t="str">
        <f>IF(OR(G366="", CJ366="",CK366=""), "", IF(ISERROR(SMALL((CN366,CV366), 1)-CK366), "",  SMALL((CN366,CV366), 1)-CK366))</f>
        <v/>
      </c>
      <c r="CN366" s="235"/>
      <c r="CO366" s="236"/>
      <c r="CP366" s="224" t="str">
        <f t="shared" si="75"/>
        <v/>
      </c>
      <c r="CQ366" s="235"/>
      <c r="CR366" s="236"/>
      <c r="CS366" s="222" t="str">
        <f t="shared" si="76"/>
        <v/>
      </c>
      <c r="CT366" s="237" t="str">
        <f t="shared" si="77"/>
        <v/>
      </c>
      <c r="CU366" s="238"/>
      <c r="CV366" s="239"/>
      <c r="CW366" s="240"/>
    </row>
    <row r="367" spans="2:101" ht="16.5" customHeight="1">
      <c r="B367" s="122"/>
      <c r="E367" s="122"/>
      <c r="F367" s="194"/>
      <c r="G367" s="195"/>
      <c r="H367" s="195"/>
      <c r="I367" s="195"/>
      <c r="J367" s="196"/>
      <c r="K367" s="197"/>
      <c r="L367" s="198"/>
      <c r="M367" s="199"/>
      <c r="N367" s="200"/>
      <c r="O367" s="201"/>
      <c r="P367" s="201"/>
      <c r="Q367" s="201"/>
      <c r="R367" s="201"/>
      <c r="S367" s="201"/>
      <c r="T367" s="201"/>
      <c r="U367" s="201"/>
      <c r="V367" s="201"/>
      <c r="W367" s="201"/>
      <c r="X367" s="202"/>
      <c r="Y367" s="203"/>
      <c r="Z367" s="204"/>
      <c r="AA367" s="205"/>
      <c r="AB367" s="206"/>
      <c r="AC367" s="206"/>
      <c r="AD367" s="194"/>
      <c r="AE367" s="201"/>
      <c r="AF367" s="207"/>
      <c r="AG367" s="208"/>
      <c r="AH367" s="209"/>
      <c r="AI367" s="210"/>
      <c r="AJ367" s="197"/>
      <c r="AK367" s="201"/>
      <c r="AL367" s="196"/>
      <c r="AM367" s="201"/>
      <c r="AN367" s="201"/>
      <c r="AO367" s="201"/>
      <c r="AP367" s="211"/>
      <c r="AQ367" s="212"/>
      <c r="AR367" s="201"/>
      <c r="AS367" s="201"/>
      <c r="AT367" s="201"/>
      <c r="AU367" s="201"/>
      <c r="AV367" s="202"/>
      <c r="AW367" s="194"/>
      <c r="AX367" s="201"/>
      <c r="AY367" s="213"/>
      <c r="AZ367" s="214"/>
      <c r="BA367" s="215"/>
      <c r="BB367" s="216"/>
      <c r="BC367" s="217" t="str">
        <f t="shared" si="65"/>
        <v/>
      </c>
      <c r="BD367" s="218"/>
      <c r="BE367" s="219"/>
      <c r="BF367" s="220"/>
      <c r="BG367" s="219"/>
      <c r="BH367" s="219"/>
      <c r="BI367" s="220"/>
      <c r="BJ367" s="218"/>
      <c r="BK367" s="219"/>
      <c r="BL367" s="197"/>
      <c r="BM367" s="215"/>
      <c r="BN367" s="221"/>
      <c r="BO367" s="222" t="str">
        <f t="shared" si="66"/>
        <v/>
      </c>
      <c r="BP367" s="217" t="str">
        <f t="shared" si="67"/>
        <v/>
      </c>
      <c r="BQ367" s="215"/>
      <c r="BR367" s="224"/>
      <c r="BS367" s="225"/>
      <c r="BT367" s="223"/>
      <c r="BU367" s="215"/>
      <c r="BV367" s="226"/>
      <c r="BW367" s="222" t="str">
        <f t="shared" si="68"/>
        <v/>
      </c>
      <c r="BX367" s="223" t="str">
        <f t="shared" si="69"/>
        <v/>
      </c>
      <c r="BY367" s="215"/>
      <c r="BZ367" s="227"/>
      <c r="CA367" s="227"/>
      <c r="CB367" s="228"/>
      <c r="CC367" s="229"/>
      <c r="CD367" s="230" t="str">
        <f t="shared" si="70"/>
        <v/>
      </c>
      <c r="CE367" s="231" t="str">
        <f t="shared" si="71"/>
        <v/>
      </c>
      <c r="CF367" s="232" t="str">
        <f t="shared" si="72"/>
        <v/>
      </c>
      <c r="CG367" s="233" t="str">
        <f t="shared" si="73"/>
        <v/>
      </c>
      <c r="CH367" s="207" t="str">
        <f>IF(OR(G367="",CC367= ""), "", IF(ISERROR(SMALL((CJ367,CN367,CV367), 1)-CC367), "",  SMALL((CJ367,CN367,CV367), 1)-CC367))</f>
        <v/>
      </c>
      <c r="CI367" s="234"/>
      <c r="CJ367" s="235"/>
      <c r="CK367" s="236"/>
      <c r="CL367" s="222" t="str">
        <f t="shared" si="74"/>
        <v/>
      </c>
      <c r="CM367" s="237" t="str">
        <f>IF(OR(G367="", CJ367="",CK367=""), "", IF(ISERROR(SMALL((CN367,CV367), 1)-CK367), "",  SMALL((CN367,CV367), 1)-CK367))</f>
        <v/>
      </c>
      <c r="CN367" s="235"/>
      <c r="CO367" s="236"/>
      <c r="CP367" s="224" t="str">
        <f t="shared" si="75"/>
        <v/>
      </c>
      <c r="CQ367" s="235"/>
      <c r="CR367" s="236"/>
      <c r="CS367" s="222" t="str">
        <f t="shared" si="76"/>
        <v/>
      </c>
      <c r="CT367" s="237" t="str">
        <f t="shared" si="77"/>
        <v/>
      </c>
      <c r="CU367" s="238"/>
      <c r="CV367" s="239"/>
      <c r="CW367" s="240"/>
    </row>
    <row r="368" spans="2:101" ht="16.5" customHeight="1">
      <c r="B368" s="122"/>
      <c r="E368" s="122"/>
      <c r="F368" s="194"/>
      <c r="G368" s="195"/>
      <c r="H368" s="195"/>
      <c r="I368" s="195"/>
      <c r="J368" s="196"/>
      <c r="K368" s="197"/>
      <c r="L368" s="198"/>
      <c r="M368" s="199"/>
      <c r="N368" s="200"/>
      <c r="O368" s="201"/>
      <c r="P368" s="201"/>
      <c r="Q368" s="201"/>
      <c r="R368" s="201"/>
      <c r="S368" s="201"/>
      <c r="T368" s="201"/>
      <c r="U368" s="201"/>
      <c r="V368" s="201"/>
      <c r="W368" s="201"/>
      <c r="X368" s="202"/>
      <c r="Y368" s="203"/>
      <c r="Z368" s="204"/>
      <c r="AA368" s="205"/>
      <c r="AB368" s="206"/>
      <c r="AC368" s="206"/>
      <c r="AD368" s="194"/>
      <c r="AE368" s="201"/>
      <c r="AF368" s="207"/>
      <c r="AG368" s="208"/>
      <c r="AH368" s="209"/>
      <c r="AI368" s="210"/>
      <c r="AJ368" s="197"/>
      <c r="AK368" s="201"/>
      <c r="AL368" s="196"/>
      <c r="AM368" s="201"/>
      <c r="AN368" s="201"/>
      <c r="AO368" s="201"/>
      <c r="AP368" s="211"/>
      <c r="AQ368" s="212"/>
      <c r="AR368" s="201"/>
      <c r="AS368" s="201"/>
      <c r="AT368" s="201"/>
      <c r="AU368" s="201"/>
      <c r="AV368" s="202"/>
      <c r="AW368" s="194"/>
      <c r="AX368" s="201"/>
      <c r="AY368" s="213"/>
      <c r="AZ368" s="214"/>
      <c r="BA368" s="215"/>
      <c r="BB368" s="216"/>
      <c r="BC368" s="217" t="str">
        <f t="shared" si="65"/>
        <v/>
      </c>
      <c r="BD368" s="218"/>
      <c r="BE368" s="219"/>
      <c r="BF368" s="220"/>
      <c r="BG368" s="219"/>
      <c r="BH368" s="219"/>
      <c r="BI368" s="220"/>
      <c r="BJ368" s="218"/>
      <c r="BK368" s="219"/>
      <c r="BL368" s="197"/>
      <c r="BM368" s="215"/>
      <c r="BN368" s="221"/>
      <c r="BO368" s="222" t="str">
        <f t="shared" si="66"/>
        <v/>
      </c>
      <c r="BP368" s="217" t="str">
        <f t="shared" si="67"/>
        <v/>
      </c>
      <c r="BQ368" s="215"/>
      <c r="BR368" s="224"/>
      <c r="BS368" s="225"/>
      <c r="BT368" s="223"/>
      <c r="BU368" s="215"/>
      <c r="BV368" s="226"/>
      <c r="BW368" s="222" t="str">
        <f t="shared" si="68"/>
        <v/>
      </c>
      <c r="BX368" s="223" t="str">
        <f t="shared" si="69"/>
        <v/>
      </c>
      <c r="BY368" s="215"/>
      <c r="BZ368" s="227"/>
      <c r="CA368" s="227"/>
      <c r="CB368" s="228"/>
      <c r="CC368" s="229"/>
      <c r="CD368" s="230" t="str">
        <f t="shared" si="70"/>
        <v/>
      </c>
      <c r="CE368" s="231" t="str">
        <f t="shared" si="71"/>
        <v/>
      </c>
      <c r="CF368" s="232" t="str">
        <f t="shared" si="72"/>
        <v/>
      </c>
      <c r="CG368" s="233" t="str">
        <f t="shared" si="73"/>
        <v/>
      </c>
      <c r="CH368" s="207" t="str">
        <f>IF(OR(G368="",CC368= ""), "", IF(ISERROR(SMALL((CJ368,CN368,CV368), 1)-CC368), "",  SMALL((CJ368,CN368,CV368), 1)-CC368))</f>
        <v/>
      </c>
      <c r="CI368" s="234"/>
      <c r="CJ368" s="235"/>
      <c r="CK368" s="236"/>
      <c r="CL368" s="222" t="str">
        <f t="shared" si="74"/>
        <v/>
      </c>
      <c r="CM368" s="237" t="str">
        <f>IF(OR(G368="", CJ368="",CK368=""), "", IF(ISERROR(SMALL((CN368,CV368), 1)-CK368), "",  SMALL((CN368,CV368), 1)-CK368))</f>
        <v/>
      </c>
      <c r="CN368" s="235"/>
      <c r="CO368" s="236"/>
      <c r="CP368" s="224" t="str">
        <f t="shared" si="75"/>
        <v/>
      </c>
      <c r="CQ368" s="235"/>
      <c r="CR368" s="236"/>
      <c r="CS368" s="222" t="str">
        <f t="shared" si="76"/>
        <v/>
      </c>
      <c r="CT368" s="237" t="str">
        <f t="shared" si="77"/>
        <v/>
      </c>
      <c r="CU368" s="238"/>
      <c r="CV368" s="239"/>
      <c r="CW368" s="240"/>
    </row>
    <row r="369" spans="2:101" ht="16.5" customHeight="1">
      <c r="B369" s="122"/>
      <c r="E369" s="122"/>
      <c r="F369" s="194"/>
      <c r="G369" s="195"/>
      <c r="H369" s="195"/>
      <c r="I369" s="195"/>
      <c r="J369" s="196"/>
      <c r="K369" s="197"/>
      <c r="L369" s="198"/>
      <c r="M369" s="199"/>
      <c r="N369" s="200"/>
      <c r="O369" s="201"/>
      <c r="P369" s="201"/>
      <c r="Q369" s="201"/>
      <c r="R369" s="201"/>
      <c r="S369" s="201"/>
      <c r="T369" s="201"/>
      <c r="U369" s="201"/>
      <c r="V369" s="201"/>
      <c r="W369" s="201"/>
      <c r="X369" s="202"/>
      <c r="Y369" s="203"/>
      <c r="Z369" s="204"/>
      <c r="AA369" s="205"/>
      <c r="AB369" s="206"/>
      <c r="AC369" s="206"/>
      <c r="AD369" s="194"/>
      <c r="AE369" s="201"/>
      <c r="AF369" s="207"/>
      <c r="AG369" s="208"/>
      <c r="AH369" s="209"/>
      <c r="AI369" s="210"/>
      <c r="AJ369" s="197"/>
      <c r="AK369" s="201"/>
      <c r="AL369" s="196"/>
      <c r="AM369" s="201"/>
      <c r="AN369" s="201"/>
      <c r="AO369" s="201"/>
      <c r="AP369" s="211"/>
      <c r="AQ369" s="212"/>
      <c r="AR369" s="201"/>
      <c r="AS369" s="201"/>
      <c r="AT369" s="201"/>
      <c r="AU369" s="201"/>
      <c r="AV369" s="202"/>
      <c r="AW369" s="194"/>
      <c r="AX369" s="201"/>
      <c r="AY369" s="213"/>
      <c r="AZ369" s="214"/>
      <c r="BA369" s="215"/>
      <c r="BB369" s="216"/>
      <c r="BC369" s="217" t="str">
        <f t="shared" si="65"/>
        <v/>
      </c>
      <c r="BD369" s="218"/>
      <c r="BE369" s="219"/>
      <c r="BF369" s="220"/>
      <c r="BG369" s="219"/>
      <c r="BH369" s="219"/>
      <c r="BI369" s="220"/>
      <c r="BJ369" s="218"/>
      <c r="BK369" s="219"/>
      <c r="BL369" s="197"/>
      <c r="BM369" s="215"/>
      <c r="BN369" s="221"/>
      <c r="BO369" s="222" t="str">
        <f t="shared" si="66"/>
        <v/>
      </c>
      <c r="BP369" s="217" t="str">
        <f t="shared" si="67"/>
        <v/>
      </c>
      <c r="BQ369" s="215"/>
      <c r="BR369" s="224"/>
      <c r="BS369" s="225"/>
      <c r="BT369" s="223"/>
      <c r="BU369" s="215"/>
      <c r="BV369" s="226"/>
      <c r="BW369" s="222" t="str">
        <f t="shared" si="68"/>
        <v/>
      </c>
      <c r="BX369" s="223" t="str">
        <f t="shared" si="69"/>
        <v/>
      </c>
      <c r="BY369" s="215"/>
      <c r="BZ369" s="227"/>
      <c r="CA369" s="227"/>
      <c r="CB369" s="228"/>
      <c r="CC369" s="229"/>
      <c r="CD369" s="230" t="str">
        <f t="shared" si="70"/>
        <v/>
      </c>
      <c r="CE369" s="231" t="str">
        <f t="shared" si="71"/>
        <v/>
      </c>
      <c r="CF369" s="232" t="str">
        <f t="shared" si="72"/>
        <v/>
      </c>
      <c r="CG369" s="233" t="str">
        <f t="shared" si="73"/>
        <v/>
      </c>
      <c r="CH369" s="207" t="str">
        <f>IF(OR(G369="",CC369= ""), "", IF(ISERROR(SMALL((CJ369,CN369,CV369), 1)-CC369), "",  SMALL((CJ369,CN369,CV369), 1)-CC369))</f>
        <v/>
      </c>
      <c r="CI369" s="234"/>
      <c r="CJ369" s="235"/>
      <c r="CK369" s="236"/>
      <c r="CL369" s="222" t="str">
        <f t="shared" si="74"/>
        <v/>
      </c>
      <c r="CM369" s="237" t="str">
        <f>IF(OR(G369="", CJ369="",CK369=""), "", IF(ISERROR(SMALL((CN369,CV369), 1)-CK369), "",  SMALL((CN369,CV369), 1)-CK369))</f>
        <v/>
      </c>
      <c r="CN369" s="235"/>
      <c r="CO369" s="236"/>
      <c r="CP369" s="224" t="str">
        <f t="shared" si="75"/>
        <v/>
      </c>
      <c r="CQ369" s="235"/>
      <c r="CR369" s="236"/>
      <c r="CS369" s="222" t="str">
        <f t="shared" si="76"/>
        <v/>
      </c>
      <c r="CT369" s="237" t="str">
        <f t="shared" si="77"/>
        <v/>
      </c>
      <c r="CU369" s="238"/>
      <c r="CV369" s="239"/>
      <c r="CW369" s="240"/>
    </row>
    <row r="370" spans="2:101" ht="16.5" customHeight="1">
      <c r="B370" s="122"/>
      <c r="E370" s="122"/>
      <c r="F370" s="194"/>
      <c r="G370" s="195"/>
      <c r="H370" s="195"/>
      <c r="I370" s="195"/>
      <c r="J370" s="196"/>
      <c r="K370" s="197"/>
      <c r="L370" s="198"/>
      <c r="M370" s="199"/>
      <c r="N370" s="200"/>
      <c r="O370" s="201"/>
      <c r="P370" s="201"/>
      <c r="Q370" s="201"/>
      <c r="R370" s="201"/>
      <c r="S370" s="201"/>
      <c r="T370" s="201"/>
      <c r="U370" s="201"/>
      <c r="V370" s="201"/>
      <c r="W370" s="201"/>
      <c r="X370" s="202"/>
      <c r="Y370" s="203"/>
      <c r="Z370" s="204"/>
      <c r="AA370" s="205"/>
      <c r="AB370" s="206"/>
      <c r="AC370" s="206"/>
      <c r="AD370" s="194"/>
      <c r="AE370" s="201"/>
      <c r="AF370" s="207"/>
      <c r="AG370" s="208"/>
      <c r="AH370" s="209"/>
      <c r="AI370" s="210"/>
      <c r="AJ370" s="197"/>
      <c r="AK370" s="201"/>
      <c r="AL370" s="196"/>
      <c r="AM370" s="201"/>
      <c r="AN370" s="201"/>
      <c r="AO370" s="201"/>
      <c r="AP370" s="211"/>
      <c r="AQ370" s="212"/>
      <c r="AR370" s="201"/>
      <c r="AS370" s="201"/>
      <c r="AT370" s="201"/>
      <c r="AU370" s="201"/>
      <c r="AV370" s="202"/>
      <c r="AW370" s="194"/>
      <c r="AX370" s="201"/>
      <c r="AY370" s="213"/>
      <c r="AZ370" s="214"/>
      <c r="BA370" s="215"/>
      <c r="BB370" s="216"/>
      <c r="BC370" s="217" t="str">
        <f t="shared" si="65"/>
        <v/>
      </c>
      <c r="BD370" s="218"/>
      <c r="BE370" s="219"/>
      <c r="BF370" s="220"/>
      <c r="BG370" s="219"/>
      <c r="BH370" s="219"/>
      <c r="BI370" s="220"/>
      <c r="BJ370" s="218"/>
      <c r="BK370" s="219"/>
      <c r="BL370" s="197"/>
      <c r="BM370" s="215"/>
      <c r="BN370" s="221"/>
      <c r="BO370" s="222" t="str">
        <f t="shared" si="66"/>
        <v/>
      </c>
      <c r="BP370" s="217" t="str">
        <f t="shared" si="67"/>
        <v/>
      </c>
      <c r="BQ370" s="215"/>
      <c r="BR370" s="224"/>
      <c r="BS370" s="225"/>
      <c r="BT370" s="223"/>
      <c r="BU370" s="215"/>
      <c r="BV370" s="226"/>
      <c r="BW370" s="222" t="str">
        <f t="shared" si="68"/>
        <v/>
      </c>
      <c r="BX370" s="223" t="str">
        <f t="shared" si="69"/>
        <v/>
      </c>
      <c r="BY370" s="215"/>
      <c r="BZ370" s="227"/>
      <c r="CA370" s="227"/>
      <c r="CB370" s="228"/>
      <c r="CC370" s="229"/>
      <c r="CD370" s="230" t="str">
        <f t="shared" si="70"/>
        <v/>
      </c>
      <c r="CE370" s="231" t="str">
        <f t="shared" si="71"/>
        <v/>
      </c>
      <c r="CF370" s="232" t="str">
        <f t="shared" si="72"/>
        <v/>
      </c>
      <c r="CG370" s="233" t="str">
        <f t="shared" si="73"/>
        <v/>
      </c>
      <c r="CH370" s="207" t="str">
        <f>IF(OR(G370="",CC370= ""), "", IF(ISERROR(SMALL((CJ370,CN370,CV370), 1)-CC370), "",  SMALL((CJ370,CN370,CV370), 1)-CC370))</f>
        <v/>
      </c>
      <c r="CI370" s="234"/>
      <c r="CJ370" s="235"/>
      <c r="CK370" s="236"/>
      <c r="CL370" s="222" t="str">
        <f t="shared" si="74"/>
        <v/>
      </c>
      <c r="CM370" s="237" t="str">
        <f>IF(OR(G370="", CJ370="",CK370=""), "", IF(ISERROR(SMALL((CN370,CV370), 1)-CK370), "",  SMALL((CN370,CV370), 1)-CK370))</f>
        <v/>
      </c>
      <c r="CN370" s="235"/>
      <c r="CO370" s="236"/>
      <c r="CP370" s="224" t="str">
        <f t="shared" si="75"/>
        <v/>
      </c>
      <c r="CQ370" s="235"/>
      <c r="CR370" s="236"/>
      <c r="CS370" s="222" t="str">
        <f t="shared" si="76"/>
        <v/>
      </c>
      <c r="CT370" s="237" t="str">
        <f t="shared" si="77"/>
        <v/>
      </c>
      <c r="CU370" s="238"/>
      <c r="CV370" s="239"/>
      <c r="CW370" s="240"/>
    </row>
    <row r="371" spans="2:101" ht="16.5" customHeight="1">
      <c r="B371" s="122"/>
      <c r="E371" s="122"/>
      <c r="F371" s="194"/>
      <c r="G371" s="195"/>
      <c r="H371" s="195"/>
      <c r="I371" s="195"/>
      <c r="J371" s="196"/>
      <c r="K371" s="197"/>
      <c r="L371" s="198"/>
      <c r="M371" s="199"/>
      <c r="N371" s="200"/>
      <c r="O371" s="201"/>
      <c r="P371" s="201"/>
      <c r="Q371" s="201"/>
      <c r="R371" s="201"/>
      <c r="S371" s="201"/>
      <c r="T371" s="201"/>
      <c r="U371" s="201"/>
      <c r="V371" s="201"/>
      <c r="W371" s="201"/>
      <c r="X371" s="202"/>
      <c r="Y371" s="203"/>
      <c r="Z371" s="204"/>
      <c r="AA371" s="205"/>
      <c r="AB371" s="206"/>
      <c r="AC371" s="206"/>
      <c r="AD371" s="194"/>
      <c r="AE371" s="201"/>
      <c r="AF371" s="207"/>
      <c r="AG371" s="208"/>
      <c r="AH371" s="209"/>
      <c r="AI371" s="210"/>
      <c r="AJ371" s="197"/>
      <c r="AK371" s="201"/>
      <c r="AL371" s="196"/>
      <c r="AM371" s="201"/>
      <c r="AN371" s="201"/>
      <c r="AO371" s="201"/>
      <c r="AP371" s="211"/>
      <c r="AQ371" s="212"/>
      <c r="AR371" s="201"/>
      <c r="AS371" s="201"/>
      <c r="AT371" s="201"/>
      <c r="AU371" s="201"/>
      <c r="AV371" s="202"/>
      <c r="AW371" s="194"/>
      <c r="AX371" s="201"/>
      <c r="AY371" s="213"/>
      <c r="AZ371" s="214"/>
      <c r="BA371" s="215"/>
      <c r="BB371" s="216"/>
      <c r="BC371" s="217" t="str">
        <f t="shared" si="65"/>
        <v/>
      </c>
      <c r="BD371" s="218"/>
      <c r="BE371" s="219"/>
      <c r="BF371" s="220"/>
      <c r="BG371" s="219"/>
      <c r="BH371" s="219"/>
      <c r="BI371" s="220"/>
      <c r="BJ371" s="218"/>
      <c r="BK371" s="219"/>
      <c r="BL371" s="197"/>
      <c r="BM371" s="215"/>
      <c r="BN371" s="221"/>
      <c r="BO371" s="222" t="str">
        <f t="shared" si="66"/>
        <v/>
      </c>
      <c r="BP371" s="217" t="str">
        <f t="shared" si="67"/>
        <v/>
      </c>
      <c r="BQ371" s="215"/>
      <c r="BR371" s="224"/>
      <c r="BS371" s="225"/>
      <c r="BT371" s="223"/>
      <c r="BU371" s="215"/>
      <c r="BV371" s="226"/>
      <c r="BW371" s="222" t="str">
        <f t="shared" si="68"/>
        <v/>
      </c>
      <c r="BX371" s="223" t="str">
        <f t="shared" si="69"/>
        <v/>
      </c>
      <c r="BY371" s="215"/>
      <c r="BZ371" s="227"/>
      <c r="CA371" s="227"/>
      <c r="CB371" s="228"/>
      <c r="CC371" s="229"/>
      <c r="CD371" s="230" t="str">
        <f t="shared" si="70"/>
        <v/>
      </c>
      <c r="CE371" s="231" t="str">
        <f t="shared" si="71"/>
        <v/>
      </c>
      <c r="CF371" s="232" t="str">
        <f t="shared" si="72"/>
        <v/>
      </c>
      <c r="CG371" s="233" t="str">
        <f t="shared" si="73"/>
        <v/>
      </c>
      <c r="CH371" s="207" t="str">
        <f>IF(OR(G371="",CC371= ""), "", IF(ISERROR(SMALL((CJ371,CN371,CV371), 1)-CC371), "",  SMALL((CJ371,CN371,CV371), 1)-CC371))</f>
        <v/>
      </c>
      <c r="CI371" s="234"/>
      <c r="CJ371" s="235"/>
      <c r="CK371" s="236"/>
      <c r="CL371" s="222" t="str">
        <f t="shared" si="74"/>
        <v/>
      </c>
      <c r="CM371" s="237" t="str">
        <f>IF(OR(G371="", CJ371="",CK371=""), "", IF(ISERROR(SMALL((CN371,CV371), 1)-CK371), "",  SMALL((CN371,CV371), 1)-CK371))</f>
        <v/>
      </c>
      <c r="CN371" s="235"/>
      <c r="CO371" s="236"/>
      <c r="CP371" s="224" t="str">
        <f t="shared" si="75"/>
        <v/>
      </c>
      <c r="CQ371" s="235"/>
      <c r="CR371" s="236"/>
      <c r="CS371" s="222" t="str">
        <f t="shared" si="76"/>
        <v/>
      </c>
      <c r="CT371" s="237" t="str">
        <f t="shared" si="77"/>
        <v/>
      </c>
      <c r="CU371" s="238"/>
      <c r="CV371" s="239"/>
      <c r="CW371" s="240"/>
    </row>
    <row r="372" spans="2:101" ht="16.5" customHeight="1">
      <c r="B372" s="122"/>
      <c r="E372" s="122"/>
      <c r="F372" s="194"/>
      <c r="G372" s="195"/>
      <c r="H372" s="195"/>
      <c r="I372" s="195"/>
      <c r="J372" s="196"/>
      <c r="K372" s="197"/>
      <c r="L372" s="198"/>
      <c r="M372" s="199"/>
      <c r="N372" s="200"/>
      <c r="O372" s="201"/>
      <c r="P372" s="201"/>
      <c r="Q372" s="201"/>
      <c r="R372" s="201"/>
      <c r="S372" s="201"/>
      <c r="T372" s="201"/>
      <c r="U372" s="201"/>
      <c r="V372" s="201"/>
      <c r="W372" s="201"/>
      <c r="X372" s="202"/>
      <c r="Y372" s="203"/>
      <c r="Z372" s="204"/>
      <c r="AA372" s="205"/>
      <c r="AB372" s="206"/>
      <c r="AC372" s="206"/>
      <c r="AD372" s="194"/>
      <c r="AE372" s="201"/>
      <c r="AF372" s="207"/>
      <c r="AG372" s="208"/>
      <c r="AH372" s="209"/>
      <c r="AI372" s="210"/>
      <c r="AJ372" s="197"/>
      <c r="AK372" s="201"/>
      <c r="AL372" s="196"/>
      <c r="AM372" s="201"/>
      <c r="AN372" s="201"/>
      <c r="AO372" s="201"/>
      <c r="AP372" s="211"/>
      <c r="AQ372" s="212"/>
      <c r="AR372" s="201"/>
      <c r="AS372" s="201"/>
      <c r="AT372" s="201"/>
      <c r="AU372" s="201"/>
      <c r="AV372" s="202"/>
      <c r="AW372" s="194"/>
      <c r="AX372" s="201"/>
      <c r="AY372" s="213"/>
      <c r="AZ372" s="214"/>
      <c r="BA372" s="215"/>
      <c r="BB372" s="216"/>
      <c r="BC372" s="217" t="str">
        <f t="shared" si="65"/>
        <v/>
      </c>
      <c r="BD372" s="218"/>
      <c r="BE372" s="219"/>
      <c r="BF372" s="220"/>
      <c r="BG372" s="219"/>
      <c r="BH372" s="219"/>
      <c r="BI372" s="220"/>
      <c r="BJ372" s="218"/>
      <c r="BK372" s="219"/>
      <c r="BL372" s="197"/>
      <c r="BM372" s="215"/>
      <c r="BN372" s="221"/>
      <c r="BO372" s="222" t="str">
        <f t="shared" si="66"/>
        <v/>
      </c>
      <c r="BP372" s="217" t="str">
        <f t="shared" si="67"/>
        <v/>
      </c>
      <c r="BQ372" s="215"/>
      <c r="BR372" s="224"/>
      <c r="BS372" s="225"/>
      <c r="BT372" s="223"/>
      <c r="BU372" s="215"/>
      <c r="BV372" s="226"/>
      <c r="BW372" s="222" t="str">
        <f t="shared" si="68"/>
        <v/>
      </c>
      <c r="BX372" s="223" t="str">
        <f t="shared" si="69"/>
        <v/>
      </c>
      <c r="BY372" s="215"/>
      <c r="BZ372" s="227"/>
      <c r="CA372" s="227"/>
      <c r="CB372" s="228"/>
      <c r="CC372" s="229"/>
      <c r="CD372" s="230" t="str">
        <f t="shared" si="70"/>
        <v/>
      </c>
      <c r="CE372" s="231" t="str">
        <f t="shared" si="71"/>
        <v/>
      </c>
      <c r="CF372" s="232" t="str">
        <f t="shared" si="72"/>
        <v/>
      </c>
      <c r="CG372" s="233" t="str">
        <f t="shared" si="73"/>
        <v/>
      </c>
      <c r="CH372" s="207" t="str">
        <f>IF(OR(G372="",CC372= ""), "", IF(ISERROR(SMALL((CJ372,CN372,CV372), 1)-CC372), "",  SMALL((CJ372,CN372,CV372), 1)-CC372))</f>
        <v/>
      </c>
      <c r="CI372" s="234"/>
      <c r="CJ372" s="235"/>
      <c r="CK372" s="236"/>
      <c r="CL372" s="222" t="str">
        <f t="shared" si="74"/>
        <v/>
      </c>
      <c r="CM372" s="237" t="str">
        <f>IF(OR(G372="", CJ372="",CK372=""), "", IF(ISERROR(SMALL((CN372,CV372), 1)-CK372), "",  SMALL((CN372,CV372), 1)-CK372))</f>
        <v/>
      </c>
      <c r="CN372" s="235"/>
      <c r="CO372" s="236"/>
      <c r="CP372" s="224" t="str">
        <f t="shared" si="75"/>
        <v/>
      </c>
      <c r="CQ372" s="235"/>
      <c r="CR372" s="236"/>
      <c r="CS372" s="222" t="str">
        <f t="shared" si="76"/>
        <v/>
      </c>
      <c r="CT372" s="237" t="str">
        <f t="shared" si="77"/>
        <v/>
      </c>
      <c r="CU372" s="238"/>
      <c r="CV372" s="239"/>
      <c r="CW372" s="240"/>
    </row>
    <row r="373" spans="2:101" ht="16.5" customHeight="1">
      <c r="B373" s="122"/>
      <c r="E373" s="122"/>
      <c r="F373" s="194"/>
      <c r="G373" s="195"/>
      <c r="H373" s="195"/>
      <c r="I373" s="195"/>
      <c r="J373" s="196"/>
      <c r="K373" s="197"/>
      <c r="L373" s="198"/>
      <c r="M373" s="199"/>
      <c r="N373" s="200"/>
      <c r="O373" s="201"/>
      <c r="P373" s="201"/>
      <c r="Q373" s="201"/>
      <c r="R373" s="201"/>
      <c r="S373" s="201"/>
      <c r="T373" s="201"/>
      <c r="U373" s="201"/>
      <c r="V373" s="201"/>
      <c r="W373" s="201"/>
      <c r="X373" s="202"/>
      <c r="Y373" s="203"/>
      <c r="Z373" s="204"/>
      <c r="AA373" s="205"/>
      <c r="AB373" s="206"/>
      <c r="AC373" s="206"/>
      <c r="AD373" s="194"/>
      <c r="AE373" s="201"/>
      <c r="AF373" s="207"/>
      <c r="AG373" s="208"/>
      <c r="AH373" s="209"/>
      <c r="AI373" s="210"/>
      <c r="AJ373" s="197"/>
      <c r="AK373" s="201"/>
      <c r="AL373" s="196"/>
      <c r="AM373" s="201"/>
      <c r="AN373" s="201"/>
      <c r="AO373" s="201"/>
      <c r="AP373" s="211"/>
      <c r="AQ373" s="212"/>
      <c r="AR373" s="201"/>
      <c r="AS373" s="201"/>
      <c r="AT373" s="201"/>
      <c r="AU373" s="201"/>
      <c r="AV373" s="202"/>
      <c r="AW373" s="194"/>
      <c r="AX373" s="201"/>
      <c r="AY373" s="213"/>
      <c r="AZ373" s="214"/>
      <c r="BA373" s="215"/>
      <c r="BB373" s="216"/>
      <c r="BC373" s="217" t="str">
        <f t="shared" si="65"/>
        <v/>
      </c>
      <c r="BD373" s="218"/>
      <c r="BE373" s="219"/>
      <c r="BF373" s="220"/>
      <c r="BG373" s="219"/>
      <c r="BH373" s="219"/>
      <c r="BI373" s="220"/>
      <c r="BJ373" s="218"/>
      <c r="BK373" s="219"/>
      <c r="BL373" s="197"/>
      <c r="BM373" s="215"/>
      <c r="BN373" s="221"/>
      <c r="BO373" s="222" t="str">
        <f t="shared" si="66"/>
        <v/>
      </c>
      <c r="BP373" s="217" t="str">
        <f t="shared" si="67"/>
        <v/>
      </c>
      <c r="BQ373" s="215"/>
      <c r="BR373" s="224"/>
      <c r="BS373" s="225"/>
      <c r="BT373" s="223"/>
      <c r="BU373" s="215"/>
      <c r="BV373" s="226"/>
      <c r="BW373" s="222" t="str">
        <f t="shared" si="68"/>
        <v/>
      </c>
      <c r="BX373" s="223" t="str">
        <f t="shared" si="69"/>
        <v/>
      </c>
      <c r="BY373" s="215"/>
      <c r="BZ373" s="227"/>
      <c r="CA373" s="227"/>
      <c r="CB373" s="228"/>
      <c r="CC373" s="229"/>
      <c r="CD373" s="230" t="str">
        <f t="shared" si="70"/>
        <v/>
      </c>
      <c r="CE373" s="231" t="str">
        <f t="shared" si="71"/>
        <v/>
      </c>
      <c r="CF373" s="232" t="str">
        <f t="shared" si="72"/>
        <v/>
      </c>
      <c r="CG373" s="233" t="str">
        <f t="shared" si="73"/>
        <v/>
      </c>
      <c r="CH373" s="207" t="str">
        <f>IF(OR(G373="",CC373= ""), "", IF(ISERROR(SMALL((CJ373,CN373,CV373), 1)-CC373), "",  SMALL((CJ373,CN373,CV373), 1)-CC373))</f>
        <v/>
      </c>
      <c r="CI373" s="234"/>
      <c r="CJ373" s="235"/>
      <c r="CK373" s="236"/>
      <c r="CL373" s="222" t="str">
        <f t="shared" si="74"/>
        <v/>
      </c>
      <c r="CM373" s="237" t="str">
        <f>IF(OR(G373="", CJ373="",CK373=""), "", IF(ISERROR(SMALL((CN373,CV373), 1)-CK373), "",  SMALL((CN373,CV373), 1)-CK373))</f>
        <v/>
      </c>
      <c r="CN373" s="235"/>
      <c r="CO373" s="236"/>
      <c r="CP373" s="224" t="str">
        <f t="shared" si="75"/>
        <v/>
      </c>
      <c r="CQ373" s="235"/>
      <c r="CR373" s="236"/>
      <c r="CS373" s="222" t="str">
        <f t="shared" si="76"/>
        <v/>
      </c>
      <c r="CT373" s="237" t="str">
        <f t="shared" si="77"/>
        <v/>
      </c>
      <c r="CU373" s="238"/>
      <c r="CV373" s="239"/>
      <c r="CW373" s="240"/>
    </row>
    <row r="374" spans="2:101" ht="16.5" customHeight="1">
      <c r="B374" s="122"/>
      <c r="E374" s="122"/>
      <c r="F374" s="194"/>
      <c r="G374" s="195"/>
      <c r="H374" s="195"/>
      <c r="I374" s="195"/>
      <c r="J374" s="196"/>
      <c r="K374" s="197"/>
      <c r="L374" s="198"/>
      <c r="M374" s="199"/>
      <c r="N374" s="200"/>
      <c r="O374" s="201"/>
      <c r="P374" s="201"/>
      <c r="Q374" s="201"/>
      <c r="R374" s="201"/>
      <c r="S374" s="201"/>
      <c r="T374" s="201"/>
      <c r="U374" s="201"/>
      <c r="V374" s="201"/>
      <c r="W374" s="201"/>
      <c r="X374" s="202"/>
      <c r="Y374" s="203"/>
      <c r="Z374" s="204"/>
      <c r="AA374" s="205"/>
      <c r="AB374" s="206"/>
      <c r="AC374" s="206"/>
      <c r="AD374" s="194"/>
      <c r="AE374" s="201"/>
      <c r="AF374" s="207"/>
      <c r="AG374" s="208"/>
      <c r="AH374" s="209"/>
      <c r="AI374" s="210"/>
      <c r="AJ374" s="197"/>
      <c r="AK374" s="201"/>
      <c r="AL374" s="196"/>
      <c r="AM374" s="201"/>
      <c r="AN374" s="201"/>
      <c r="AO374" s="201"/>
      <c r="AP374" s="211"/>
      <c r="AQ374" s="212"/>
      <c r="AR374" s="201"/>
      <c r="AS374" s="201"/>
      <c r="AT374" s="201"/>
      <c r="AU374" s="201"/>
      <c r="AV374" s="202"/>
      <c r="AW374" s="194"/>
      <c r="AX374" s="201"/>
      <c r="AY374" s="213"/>
      <c r="AZ374" s="214"/>
      <c r="BA374" s="215"/>
      <c r="BB374" s="216"/>
      <c r="BC374" s="217" t="str">
        <f t="shared" si="65"/>
        <v/>
      </c>
      <c r="BD374" s="218"/>
      <c r="BE374" s="219"/>
      <c r="BF374" s="220"/>
      <c r="BG374" s="219"/>
      <c r="BH374" s="219"/>
      <c r="BI374" s="220"/>
      <c r="BJ374" s="218"/>
      <c r="BK374" s="219"/>
      <c r="BL374" s="197"/>
      <c r="BM374" s="215"/>
      <c r="BN374" s="221"/>
      <c r="BO374" s="222" t="str">
        <f t="shared" si="66"/>
        <v/>
      </c>
      <c r="BP374" s="217" t="str">
        <f t="shared" si="67"/>
        <v/>
      </c>
      <c r="BQ374" s="215"/>
      <c r="BR374" s="224"/>
      <c r="BS374" s="225"/>
      <c r="BT374" s="223"/>
      <c r="BU374" s="215"/>
      <c r="BV374" s="226"/>
      <c r="BW374" s="222" t="str">
        <f t="shared" si="68"/>
        <v/>
      </c>
      <c r="BX374" s="223" t="str">
        <f t="shared" si="69"/>
        <v/>
      </c>
      <c r="BY374" s="215"/>
      <c r="BZ374" s="227"/>
      <c r="CA374" s="227"/>
      <c r="CB374" s="228"/>
      <c r="CC374" s="229"/>
      <c r="CD374" s="230" t="str">
        <f t="shared" si="70"/>
        <v/>
      </c>
      <c r="CE374" s="231" t="str">
        <f t="shared" si="71"/>
        <v/>
      </c>
      <c r="CF374" s="232" t="str">
        <f t="shared" si="72"/>
        <v/>
      </c>
      <c r="CG374" s="233" t="str">
        <f t="shared" si="73"/>
        <v/>
      </c>
      <c r="CH374" s="207" t="str">
        <f>IF(OR(G374="",CC374= ""), "", IF(ISERROR(SMALL((CJ374,CN374,CV374), 1)-CC374), "",  SMALL((CJ374,CN374,CV374), 1)-CC374))</f>
        <v/>
      </c>
      <c r="CI374" s="234"/>
      <c r="CJ374" s="235"/>
      <c r="CK374" s="236"/>
      <c r="CL374" s="222" t="str">
        <f t="shared" si="74"/>
        <v/>
      </c>
      <c r="CM374" s="237" t="str">
        <f>IF(OR(G374="", CJ374="",CK374=""), "", IF(ISERROR(SMALL((CN374,CV374), 1)-CK374), "",  SMALL((CN374,CV374), 1)-CK374))</f>
        <v/>
      </c>
      <c r="CN374" s="235"/>
      <c r="CO374" s="236"/>
      <c r="CP374" s="224" t="str">
        <f t="shared" si="75"/>
        <v/>
      </c>
      <c r="CQ374" s="235"/>
      <c r="CR374" s="236"/>
      <c r="CS374" s="222" t="str">
        <f t="shared" si="76"/>
        <v/>
      </c>
      <c r="CT374" s="237" t="str">
        <f t="shared" si="77"/>
        <v/>
      </c>
      <c r="CU374" s="238"/>
      <c r="CV374" s="239"/>
      <c r="CW374" s="240"/>
    </row>
    <row r="375" spans="2:101" ht="16.5" customHeight="1">
      <c r="B375" s="122"/>
      <c r="E375" s="122"/>
      <c r="F375" s="194"/>
      <c r="G375" s="195"/>
      <c r="H375" s="195"/>
      <c r="I375" s="195"/>
      <c r="J375" s="196"/>
      <c r="K375" s="197"/>
      <c r="L375" s="198"/>
      <c r="M375" s="199"/>
      <c r="N375" s="200"/>
      <c r="O375" s="201"/>
      <c r="P375" s="201"/>
      <c r="Q375" s="201"/>
      <c r="R375" s="201"/>
      <c r="S375" s="201"/>
      <c r="T375" s="201"/>
      <c r="U375" s="201"/>
      <c r="V375" s="201"/>
      <c r="W375" s="201"/>
      <c r="X375" s="202"/>
      <c r="Y375" s="203"/>
      <c r="Z375" s="204"/>
      <c r="AA375" s="205"/>
      <c r="AB375" s="206"/>
      <c r="AC375" s="206"/>
      <c r="AD375" s="194"/>
      <c r="AE375" s="201"/>
      <c r="AF375" s="207"/>
      <c r="AG375" s="208"/>
      <c r="AH375" s="209"/>
      <c r="AI375" s="210"/>
      <c r="AJ375" s="197"/>
      <c r="AK375" s="201"/>
      <c r="AL375" s="196"/>
      <c r="AM375" s="201"/>
      <c r="AN375" s="201"/>
      <c r="AO375" s="201"/>
      <c r="AP375" s="211"/>
      <c r="AQ375" s="212"/>
      <c r="AR375" s="201"/>
      <c r="AS375" s="201"/>
      <c r="AT375" s="201"/>
      <c r="AU375" s="201"/>
      <c r="AV375" s="202"/>
      <c r="AW375" s="194"/>
      <c r="AX375" s="201"/>
      <c r="AY375" s="213"/>
      <c r="AZ375" s="214"/>
      <c r="BA375" s="215"/>
      <c r="BB375" s="216"/>
      <c r="BC375" s="217" t="str">
        <f t="shared" si="65"/>
        <v/>
      </c>
      <c r="BD375" s="218"/>
      <c r="BE375" s="219"/>
      <c r="BF375" s="220"/>
      <c r="BG375" s="219"/>
      <c r="BH375" s="219"/>
      <c r="BI375" s="220"/>
      <c r="BJ375" s="218"/>
      <c r="BK375" s="219"/>
      <c r="BL375" s="197"/>
      <c r="BM375" s="215"/>
      <c r="BN375" s="221"/>
      <c r="BO375" s="222" t="str">
        <f t="shared" si="66"/>
        <v/>
      </c>
      <c r="BP375" s="217" t="str">
        <f t="shared" si="67"/>
        <v/>
      </c>
      <c r="BQ375" s="215"/>
      <c r="BR375" s="224"/>
      <c r="BS375" s="225"/>
      <c r="BT375" s="223"/>
      <c r="BU375" s="215"/>
      <c r="BV375" s="226"/>
      <c r="BW375" s="222" t="str">
        <f t="shared" si="68"/>
        <v/>
      </c>
      <c r="BX375" s="223" t="str">
        <f t="shared" si="69"/>
        <v/>
      </c>
      <c r="BY375" s="215"/>
      <c r="BZ375" s="227"/>
      <c r="CA375" s="227"/>
      <c r="CB375" s="228"/>
      <c r="CC375" s="229"/>
      <c r="CD375" s="230" t="str">
        <f t="shared" si="70"/>
        <v/>
      </c>
      <c r="CE375" s="231" t="str">
        <f t="shared" si="71"/>
        <v/>
      </c>
      <c r="CF375" s="232" t="str">
        <f t="shared" si="72"/>
        <v/>
      </c>
      <c r="CG375" s="233" t="str">
        <f t="shared" si="73"/>
        <v/>
      </c>
      <c r="CH375" s="207" t="str">
        <f>IF(OR(G375="",CC375= ""), "", IF(ISERROR(SMALL((CJ375,CN375,CV375), 1)-CC375), "",  SMALL((CJ375,CN375,CV375), 1)-CC375))</f>
        <v/>
      </c>
      <c r="CI375" s="234"/>
      <c r="CJ375" s="235"/>
      <c r="CK375" s="236"/>
      <c r="CL375" s="222" t="str">
        <f t="shared" si="74"/>
        <v/>
      </c>
      <c r="CM375" s="237" t="str">
        <f>IF(OR(G375="", CJ375="",CK375=""), "", IF(ISERROR(SMALL((CN375,CV375), 1)-CK375), "",  SMALL((CN375,CV375), 1)-CK375))</f>
        <v/>
      </c>
      <c r="CN375" s="235"/>
      <c r="CO375" s="236"/>
      <c r="CP375" s="224" t="str">
        <f t="shared" si="75"/>
        <v/>
      </c>
      <c r="CQ375" s="235"/>
      <c r="CR375" s="236"/>
      <c r="CS375" s="222" t="str">
        <f t="shared" si="76"/>
        <v/>
      </c>
      <c r="CT375" s="237" t="str">
        <f t="shared" si="77"/>
        <v/>
      </c>
      <c r="CU375" s="238"/>
      <c r="CV375" s="239"/>
      <c r="CW375" s="240"/>
    </row>
    <row r="376" spans="2:101" ht="16.5" customHeight="1">
      <c r="B376" s="122"/>
      <c r="E376" s="122"/>
      <c r="F376" s="194"/>
      <c r="G376" s="195"/>
      <c r="H376" s="195"/>
      <c r="I376" s="195"/>
      <c r="J376" s="196"/>
      <c r="K376" s="197"/>
      <c r="L376" s="198"/>
      <c r="M376" s="199"/>
      <c r="N376" s="200"/>
      <c r="O376" s="201"/>
      <c r="P376" s="201"/>
      <c r="Q376" s="201"/>
      <c r="R376" s="201"/>
      <c r="S376" s="201"/>
      <c r="T376" s="201"/>
      <c r="U376" s="201"/>
      <c r="V376" s="201"/>
      <c r="W376" s="201"/>
      <c r="X376" s="202"/>
      <c r="Y376" s="203"/>
      <c r="Z376" s="204"/>
      <c r="AA376" s="205"/>
      <c r="AB376" s="206"/>
      <c r="AC376" s="206"/>
      <c r="AD376" s="194"/>
      <c r="AE376" s="201"/>
      <c r="AF376" s="207"/>
      <c r="AG376" s="208"/>
      <c r="AH376" s="209"/>
      <c r="AI376" s="210"/>
      <c r="AJ376" s="197"/>
      <c r="AK376" s="201"/>
      <c r="AL376" s="196"/>
      <c r="AM376" s="201"/>
      <c r="AN376" s="201"/>
      <c r="AO376" s="201"/>
      <c r="AP376" s="211"/>
      <c r="AQ376" s="212"/>
      <c r="AR376" s="201"/>
      <c r="AS376" s="201"/>
      <c r="AT376" s="201"/>
      <c r="AU376" s="201"/>
      <c r="AV376" s="202"/>
      <c r="AW376" s="194"/>
      <c r="AX376" s="201"/>
      <c r="AY376" s="213"/>
      <c r="AZ376" s="214"/>
      <c r="BA376" s="215"/>
      <c r="BB376" s="216"/>
      <c r="BC376" s="217" t="str">
        <f t="shared" si="65"/>
        <v/>
      </c>
      <c r="BD376" s="218"/>
      <c r="BE376" s="219"/>
      <c r="BF376" s="220"/>
      <c r="BG376" s="219"/>
      <c r="BH376" s="219"/>
      <c r="BI376" s="220"/>
      <c r="BJ376" s="218"/>
      <c r="BK376" s="219"/>
      <c r="BL376" s="197"/>
      <c r="BM376" s="215"/>
      <c r="BN376" s="221"/>
      <c r="BO376" s="222" t="str">
        <f t="shared" si="66"/>
        <v/>
      </c>
      <c r="BP376" s="217" t="str">
        <f t="shared" si="67"/>
        <v/>
      </c>
      <c r="BQ376" s="215"/>
      <c r="BR376" s="224"/>
      <c r="BS376" s="225"/>
      <c r="BT376" s="223"/>
      <c r="BU376" s="215"/>
      <c r="BV376" s="226"/>
      <c r="BW376" s="222" t="str">
        <f t="shared" si="68"/>
        <v/>
      </c>
      <c r="BX376" s="223" t="str">
        <f t="shared" si="69"/>
        <v/>
      </c>
      <c r="BY376" s="215"/>
      <c r="BZ376" s="227"/>
      <c r="CA376" s="227"/>
      <c r="CB376" s="228"/>
      <c r="CC376" s="229"/>
      <c r="CD376" s="230" t="str">
        <f t="shared" si="70"/>
        <v/>
      </c>
      <c r="CE376" s="231" t="str">
        <f t="shared" si="71"/>
        <v/>
      </c>
      <c r="CF376" s="232" t="str">
        <f t="shared" si="72"/>
        <v/>
      </c>
      <c r="CG376" s="233" t="str">
        <f t="shared" si="73"/>
        <v/>
      </c>
      <c r="CH376" s="207" t="str">
        <f>IF(OR(G376="",CC376= ""), "", IF(ISERROR(SMALL((CJ376,CN376,CV376), 1)-CC376), "",  SMALL((CJ376,CN376,CV376), 1)-CC376))</f>
        <v/>
      </c>
      <c r="CI376" s="234"/>
      <c r="CJ376" s="235"/>
      <c r="CK376" s="236"/>
      <c r="CL376" s="222" t="str">
        <f t="shared" si="74"/>
        <v/>
      </c>
      <c r="CM376" s="237" t="str">
        <f>IF(OR(G376="", CJ376="",CK376=""), "", IF(ISERROR(SMALL((CN376,CV376), 1)-CK376), "",  SMALL((CN376,CV376), 1)-CK376))</f>
        <v/>
      </c>
      <c r="CN376" s="235"/>
      <c r="CO376" s="236"/>
      <c r="CP376" s="224" t="str">
        <f t="shared" si="75"/>
        <v/>
      </c>
      <c r="CQ376" s="235"/>
      <c r="CR376" s="236"/>
      <c r="CS376" s="222" t="str">
        <f t="shared" si="76"/>
        <v/>
      </c>
      <c r="CT376" s="237" t="str">
        <f t="shared" si="77"/>
        <v/>
      </c>
      <c r="CU376" s="238"/>
      <c r="CV376" s="239"/>
      <c r="CW376" s="240"/>
    </row>
    <row r="377" spans="2:101" ht="16.5" customHeight="1">
      <c r="B377" s="122"/>
      <c r="E377" s="122"/>
      <c r="F377" s="194"/>
      <c r="G377" s="195"/>
      <c r="H377" s="195"/>
      <c r="I377" s="195"/>
      <c r="J377" s="196"/>
      <c r="K377" s="197"/>
      <c r="L377" s="198"/>
      <c r="M377" s="199"/>
      <c r="N377" s="200"/>
      <c r="O377" s="201"/>
      <c r="P377" s="201"/>
      <c r="Q377" s="201"/>
      <c r="R377" s="201"/>
      <c r="S377" s="201"/>
      <c r="T377" s="201"/>
      <c r="U377" s="201"/>
      <c r="V377" s="201"/>
      <c r="W377" s="201"/>
      <c r="X377" s="202"/>
      <c r="Y377" s="203"/>
      <c r="Z377" s="204"/>
      <c r="AA377" s="205"/>
      <c r="AB377" s="206"/>
      <c r="AC377" s="206"/>
      <c r="AD377" s="194"/>
      <c r="AE377" s="201"/>
      <c r="AF377" s="207"/>
      <c r="AG377" s="208"/>
      <c r="AH377" s="209"/>
      <c r="AI377" s="210"/>
      <c r="AJ377" s="197"/>
      <c r="AK377" s="201"/>
      <c r="AL377" s="196"/>
      <c r="AM377" s="201"/>
      <c r="AN377" s="201"/>
      <c r="AO377" s="201"/>
      <c r="AP377" s="211"/>
      <c r="AQ377" s="212"/>
      <c r="AR377" s="201"/>
      <c r="AS377" s="201"/>
      <c r="AT377" s="201"/>
      <c r="AU377" s="201"/>
      <c r="AV377" s="202"/>
      <c r="AW377" s="194"/>
      <c r="AX377" s="201"/>
      <c r="AY377" s="213"/>
      <c r="AZ377" s="214"/>
      <c r="BA377" s="215"/>
      <c r="BB377" s="216"/>
      <c r="BC377" s="217" t="str">
        <f t="shared" si="65"/>
        <v/>
      </c>
      <c r="BD377" s="218"/>
      <c r="BE377" s="219"/>
      <c r="BF377" s="220"/>
      <c r="BG377" s="219"/>
      <c r="BH377" s="219"/>
      <c r="BI377" s="220"/>
      <c r="BJ377" s="218"/>
      <c r="BK377" s="219"/>
      <c r="BL377" s="197"/>
      <c r="BM377" s="215"/>
      <c r="BN377" s="221"/>
      <c r="BO377" s="222" t="str">
        <f t="shared" si="66"/>
        <v/>
      </c>
      <c r="BP377" s="217" t="str">
        <f t="shared" si="67"/>
        <v/>
      </c>
      <c r="BQ377" s="215"/>
      <c r="BR377" s="224"/>
      <c r="BS377" s="225"/>
      <c r="BT377" s="223"/>
      <c r="BU377" s="215"/>
      <c r="BV377" s="226"/>
      <c r="BW377" s="222" t="str">
        <f t="shared" si="68"/>
        <v/>
      </c>
      <c r="BX377" s="223" t="str">
        <f t="shared" si="69"/>
        <v/>
      </c>
      <c r="BY377" s="215"/>
      <c r="BZ377" s="227"/>
      <c r="CA377" s="227"/>
      <c r="CB377" s="228"/>
      <c r="CC377" s="229"/>
      <c r="CD377" s="230" t="str">
        <f t="shared" si="70"/>
        <v/>
      </c>
      <c r="CE377" s="231" t="str">
        <f t="shared" si="71"/>
        <v/>
      </c>
      <c r="CF377" s="232" t="str">
        <f t="shared" si="72"/>
        <v/>
      </c>
      <c r="CG377" s="233" t="str">
        <f t="shared" si="73"/>
        <v/>
      </c>
      <c r="CH377" s="207" t="str">
        <f>IF(OR(G377="",CC377= ""), "", IF(ISERROR(SMALL((CJ377,CN377,CV377), 1)-CC377), "",  SMALL((CJ377,CN377,CV377), 1)-CC377))</f>
        <v/>
      </c>
      <c r="CI377" s="234"/>
      <c r="CJ377" s="235"/>
      <c r="CK377" s="236"/>
      <c r="CL377" s="222" t="str">
        <f t="shared" si="74"/>
        <v/>
      </c>
      <c r="CM377" s="237" t="str">
        <f>IF(OR(G377="", CJ377="",CK377=""), "", IF(ISERROR(SMALL((CN377,CV377), 1)-CK377), "",  SMALL((CN377,CV377), 1)-CK377))</f>
        <v/>
      </c>
      <c r="CN377" s="235"/>
      <c r="CO377" s="236"/>
      <c r="CP377" s="224" t="str">
        <f t="shared" si="75"/>
        <v/>
      </c>
      <c r="CQ377" s="235"/>
      <c r="CR377" s="236"/>
      <c r="CS377" s="222" t="str">
        <f t="shared" si="76"/>
        <v/>
      </c>
      <c r="CT377" s="237" t="str">
        <f t="shared" si="77"/>
        <v/>
      </c>
      <c r="CU377" s="238"/>
      <c r="CV377" s="239"/>
      <c r="CW377" s="240"/>
    </row>
    <row r="378" spans="2:101" ht="16.5" customHeight="1">
      <c r="B378" s="122"/>
      <c r="E378" s="122"/>
      <c r="F378" s="194"/>
      <c r="G378" s="195"/>
      <c r="H378" s="195"/>
      <c r="I378" s="195"/>
      <c r="J378" s="196"/>
      <c r="K378" s="197"/>
      <c r="L378" s="198"/>
      <c r="M378" s="199"/>
      <c r="N378" s="200"/>
      <c r="O378" s="201"/>
      <c r="P378" s="201"/>
      <c r="Q378" s="201"/>
      <c r="R378" s="201"/>
      <c r="S378" s="201"/>
      <c r="T378" s="201"/>
      <c r="U378" s="201"/>
      <c r="V378" s="201"/>
      <c r="W378" s="201"/>
      <c r="X378" s="202"/>
      <c r="Y378" s="203"/>
      <c r="Z378" s="204"/>
      <c r="AA378" s="205"/>
      <c r="AB378" s="206"/>
      <c r="AC378" s="206"/>
      <c r="AD378" s="194"/>
      <c r="AE378" s="201"/>
      <c r="AF378" s="207"/>
      <c r="AG378" s="208"/>
      <c r="AH378" s="209"/>
      <c r="AI378" s="210"/>
      <c r="AJ378" s="197"/>
      <c r="AK378" s="201"/>
      <c r="AL378" s="196"/>
      <c r="AM378" s="201"/>
      <c r="AN378" s="201"/>
      <c r="AO378" s="201"/>
      <c r="AP378" s="211"/>
      <c r="AQ378" s="212"/>
      <c r="AR378" s="201"/>
      <c r="AS378" s="201"/>
      <c r="AT378" s="201"/>
      <c r="AU378" s="201"/>
      <c r="AV378" s="202"/>
      <c r="AW378" s="194"/>
      <c r="AX378" s="201"/>
      <c r="AY378" s="213"/>
      <c r="AZ378" s="214"/>
      <c r="BA378" s="215"/>
      <c r="BB378" s="216"/>
      <c r="BC378" s="217" t="str">
        <f t="shared" si="65"/>
        <v/>
      </c>
      <c r="BD378" s="218"/>
      <c r="BE378" s="219"/>
      <c r="BF378" s="220"/>
      <c r="BG378" s="219"/>
      <c r="BH378" s="219"/>
      <c r="BI378" s="220"/>
      <c r="BJ378" s="218"/>
      <c r="BK378" s="219"/>
      <c r="BL378" s="197"/>
      <c r="BM378" s="215"/>
      <c r="BN378" s="221"/>
      <c r="BO378" s="222" t="str">
        <f t="shared" si="66"/>
        <v/>
      </c>
      <c r="BP378" s="217" t="str">
        <f t="shared" si="67"/>
        <v/>
      </c>
      <c r="BQ378" s="215"/>
      <c r="BR378" s="224"/>
      <c r="BS378" s="225"/>
      <c r="BT378" s="223"/>
      <c r="BU378" s="215"/>
      <c r="BV378" s="226"/>
      <c r="BW378" s="222" t="str">
        <f t="shared" si="68"/>
        <v/>
      </c>
      <c r="BX378" s="223" t="str">
        <f t="shared" si="69"/>
        <v/>
      </c>
      <c r="BY378" s="215"/>
      <c r="BZ378" s="227"/>
      <c r="CA378" s="227"/>
      <c r="CB378" s="228"/>
      <c r="CC378" s="229"/>
      <c r="CD378" s="230" t="str">
        <f t="shared" si="70"/>
        <v/>
      </c>
      <c r="CE378" s="231" t="str">
        <f t="shared" si="71"/>
        <v/>
      </c>
      <c r="CF378" s="232" t="str">
        <f t="shared" si="72"/>
        <v/>
      </c>
      <c r="CG378" s="233" t="str">
        <f t="shared" si="73"/>
        <v/>
      </c>
      <c r="CH378" s="207" t="str">
        <f>IF(OR(G378="",CC378= ""), "", IF(ISERROR(SMALL((CJ378,CN378,CV378), 1)-CC378), "",  SMALL((CJ378,CN378,CV378), 1)-CC378))</f>
        <v/>
      </c>
      <c r="CI378" s="234"/>
      <c r="CJ378" s="235"/>
      <c r="CK378" s="236"/>
      <c r="CL378" s="222" t="str">
        <f t="shared" si="74"/>
        <v/>
      </c>
      <c r="CM378" s="237" t="str">
        <f>IF(OR(G378="", CJ378="",CK378=""), "", IF(ISERROR(SMALL((CN378,CV378), 1)-CK378), "",  SMALL((CN378,CV378), 1)-CK378))</f>
        <v/>
      </c>
      <c r="CN378" s="235"/>
      <c r="CO378" s="236"/>
      <c r="CP378" s="224" t="str">
        <f t="shared" si="75"/>
        <v/>
      </c>
      <c r="CQ378" s="235"/>
      <c r="CR378" s="236"/>
      <c r="CS378" s="222" t="str">
        <f t="shared" si="76"/>
        <v/>
      </c>
      <c r="CT378" s="237" t="str">
        <f t="shared" si="77"/>
        <v/>
      </c>
      <c r="CU378" s="238"/>
      <c r="CV378" s="239"/>
      <c r="CW378" s="240"/>
    </row>
    <row r="379" spans="2:101" ht="16.5" customHeight="1">
      <c r="B379" s="122"/>
      <c r="E379" s="122"/>
      <c r="F379" s="194"/>
      <c r="G379" s="195"/>
      <c r="H379" s="195"/>
      <c r="I379" s="195"/>
      <c r="J379" s="196"/>
      <c r="K379" s="197"/>
      <c r="L379" s="198"/>
      <c r="M379" s="199"/>
      <c r="N379" s="200"/>
      <c r="O379" s="201"/>
      <c r="P379" s="201"/>
      <c r="Q379" s="201"/>
      <c r="R379" s="201"/>
      <c r="S379" s="201"/>
      <c r="T379" s="201"/>
      <c r="U379" s="201"/>
      <c r="V379" s="201"/>
      <c r="W379" s="201"/>
      <c r="X379" s="202"/>
      <c r="Y379" s="203"/>
      <c r="Z379" s="204"/>
      <c r="AA379" s="205"/>
      <c r="AB379" s="206"/>
      <c r="AC379" s="206"/>
      <c r="AD379" s="194"/>
      <c r="AE379" s="201"/>
      <c r="AF379" s="207"/>
      <c r="AG379" s="208"/>
      <c r="AH379" s="209"/>
      <c r="AI379" s="210"/>
      <c r="AJ379" s="197"/>
      <c r="AK379" s="201"/>
      <c r="AL379" s="196"/>
      <c r="AM379" s="201"/>
      <c r="AN379" s="201"/>
      <c r="AO379" s="201"/>
      <c r="AP379" s="211"/>
      <c r="AQ379" s="212"/>
      <c r="AR379" s="201"/>
      <c r="AS379" s="201"/>
      <c r="AT379" s="201"/>
      <c r="AU379" s="201"/>
      <c r="AV379" s="202"/>
      <c r="AW379" s="194"/>
      <c r="AX379" s="201"/>
      <c r="AY379" s="213"/>
      <c r="AZ379" s="214"/>
      <c r="BA379" s="215"/>
      <c r="BB379" s="216"/>
      <c r="BC379" s="217" t="str">
        <f t="shared" si="65"/>
        <v/>
      </c>
      <c r="BD379" s="218"/>
      <c r="BE379" s="219"/>
      <c r="BF379" s="220"/>
      <c r="BG379" s="219"/>
      <c r="BH379" s="219"/>
      <c r="BI379" s="220"/>
      <c r="BJ379" s="218"/>
      <c r="BK379" s="219"/>
      <c r="BL379" s="197"/>
      <c r="BM379" s="215"/>
      <c r="BN379" s="221"/>
      <c r="BO379" s="222" t="str">
        <f t="shared" si="66"/>
        <v/>
      </c>
      <c r="BP379" s="217" t="str">
        <f t="shared" si="67"/>
        <v/>
      </c>
      <c r="BQ379" s="215"/>
      <c r="BR379" s="224"/>
      <c r="BS379" s="225"/>
      <c r="BT379" s="223"/>
      <c r="BU379" s="215"/>
      <c r="BV379" s="226"/>
      <c r="BW379" s="222" t="str">
        <f t="shared" si="68"/>
        <v/>
      </c>
      <c r="BX379" s="223" t="str">
        <f t="shared" si="69"/>
        <v/>
      </c>
      <c r="BY379" s="215"/>
      <c r="BZ379" s="227"/>
      <c r="CA379" s="227"/>
      <c r="CB379" s="228"/>
      <c r="CC379" s="229"/>
      <c r="CD379" s="230" t="str">
        <f t="shared" si="70"/>
        <v/>
      </c>
      <c r="CE379" s="231" t="str">
        <f t="shared" si="71"/>
        <v/>
      </c>
      <c r="CF379" s="232" t="str">
        <f t="shared" si="72"/>
        <v/>
      </c>
      <c r="CG379" s="233" t="str">
        <f t="shared" si="73"/>
        <v/>
      </c>
      <c r="CH379" s="207" t="str">
        <f>IF(OR(G379="",CC379= ""), "", IF(ISERROR(SMALL((CJ379,CN379,CV379), 1)-CC379), "",  SMALL((CJ379,CN379,CV379), 1)-CC379))</f>
        <v/>
      </c>
      <c r="CI379" s="234"/>
      <c r="CJ379" s="235"/>
      <c r="CK379" s="236"/>
      <c r="CL379" s="222" t="str">
        <f t="shared" si="74"/>
        <v/>
      </c>
      <c r="CM379" s="237" t="str">
        <f>IF(OR(G379="", CJ379="",CK379=""), "", IF(ISERROR(SMALL((CN379,CV379), 1)-CK379), "",  SMALL((CN379,CV379), 1)-CK379))</f>
        <v/>
      </c>
      <c r="CN379" s="235"/>
      <c r="CO379" s="236"/>
      <c r="CP379" s="224" t="str">
        <f t="shared" si="75"/>
        <v/>
      </c>
      <c r="CQ379" s="235"/>
      <c r="CR379" s="236"/>
      <c r="CS379" s="222" t="str">
        <f t="shared" si="76"/>
        <v/>
      </c>
      <c r="CT379" s="237" t="str">
        <f t="shared" si="77"/>
        <v/>
      </c>
      <c r="CU379" s="238"/>
      <c r="CV379" s="239"/>
      <c r="CW379" s="240"/>
    </row>
    <row r="380" spans="2:101" ht="16.5" customHeight="1">
      <c r="B380" s="122"/>
      <c r="E380" s="122"/>
      <c r="F380" s="194"/>
      <c r="G380" s="195"/>
      <c r="H380" s="195"/>
      <c r="I380" s="195"/>
      <c r="J380" s="196"/>
      <c r="K380" s="197"/>
      <c r="L380" s="198"/>
      <c r="M380" s="199"/>
      <c r="N380" s="200"/>
      <c r="O380" s="201"/>
      <c r="P380" s="201"/>
      <c r="Q380" s="201"/>
      <c r="R380" s="201"/>
      <c r="S380" s="201"/>
      <c r="T380" s="201"/>
      <c r="U380" s="201"/>
      <c r="V380" s="201"/>
      <c r="W380" s="201"/>
      <c r="X380" s="202"/>
      <c r="Y380" s="203"/>
      <c r="Z380" s="204"/>
      <c r="AA380" s="205"/>
      <c r="AB380" s="206"/>
      <c r="AC380" s="206"/>
      <c r="AD380" s="194"/>
      <c r="AE380" s="201"/>
      <c r="AF380" s="207"/>
      <c r="AG380" s="208"/>
      <c r="AH380" s="209"/>
      <c r="AI380" s="210"/>
      <c r="AJ380" s="197"/>
      <c r="AK380" s="201"/>
      <c r="AL380" s="196"/>
      <c r="AM380" s="201"/>
      <c r="AN380" s="201"/>
      <c r="AO380" s="201"/>
      <c r="AP380" s="211"/>
      <c r="AQ380" s="212"/>
      <c r="AR380" s="201"/>
      <c r="AS380" s="201"/>
      <c r="AT380" s="201"/>
      <c r="AU380" s="201"/>
      <c r="AV380" s="202"/>
      <c r="AW380" s="194"/>
      <c r="AX380" s="201"/>
      <c r="AY380" s="213"/>
      <c r="AZ380" s="214"/>
      <c r="BA380" s="215"/>
      <c r="BB380" s="216"/>
      <c r="BC380" s="217" t="str">
        <f t="shared" si="65"/>
        <v/>
      </c>
      <c r="BD380" s="218"/>
      <c r="BE380" s="219"/>
      <c r="BF380" s="220"/>
      <c r="BG380" s="219"/>
      <c r="BH380" s="219"/>
      <c r="BI380" s="220"/>
      <c r="BJ380" s="218"/>
      <c r="BK380" s="219"/>
      <c r="BL380" s="197"/>
      <c r="BM380" s="215"/>
      <c r="BN380" s="221"/>
      <c r="BO380" s="222" t="str">
        <f t="shared" si="66"/>
        <v/>
      </c>
      <c r="BP380" s="217" t="str">
        <f t="shared" si="67"/>
        <v/>
      </c>
      <c r="BQ380" s="215"/>
      <c r="BR380" s="224"/>
      <c r="BS380" s="225"/>
      <c r="BT380" s="223"/>
      <c r="BU380" s="215"/>
      <c r="BV380" s="226"/>
      <c r="BW380" s="222" t="str">
        <f t="shared" si="68"/>
        <v/>
      </c>
      <c r="BX380" s="223" t="str">
        <f t="shared" si="69"/>
        <v/>
      </c>
      <c r="BY380" s="215"/>
      <c r="BZ380" s="227"/>
      <c r="CA380" s="227"/>
      <c r="CB380" s="228"/>
      <c r="CC380" s="229"/>
      <c r="CD380" s="230" t="str">
        <f t="shared" si="70"/>
        <v/>
      </c>
      <c r="CE380" s="231" t="str">
        <f t="shared" si="71"/>
        <v/>
      </c>
      <c r="CF380" s="232" t="str">
        <f t="shared" si="72"/>
        <v/>
      </c>
      <c r="CG380" s="233" t="str">
        <f t="shared" si="73"/>
        <v/>
      </c>
      <c r="CH380" s="207" t="str">
        <f>IF(OR(G380="",CC380= ""), "", IF(ISERROR(SMALL((CJ380,CN380,CV380), 1)-CC380), "",  SMALL((CJ380,CN380,CV380), 1)-CC380))</f>
        <v/>
      </c>
      <c r="CI380" s="234"/>
      <c r="CJ380" s="235"/>
      <c r="CK380" s="236"/>
      <c r="CL380" s="222" t="str">
        <f t="shared" si="74"/>
        <v/>
      </c>
      <c r="CM380" s="237" t="str">
        <f>IF(OR(G380="", CJ380="",CK380=""), "", IF(ISERROR(SMALL((CN380,CV380), 1)-CK380), "",  SMALL((CN380,CV380), 1)-CK380))</f>
        <v/>
      </c>
      <c r="CN380" s="235"/>
      <c r="CO380" s="236"/>
      <c r="CP380" s="224" t="str">
        <f t="shared" si="75"/>
        <v/>
      </c>
      <c r="CQ380" s="235"/>
      <c r="CR380" s="236"/>
      <c r="CS380" s="222" t="str">
        <f t="shared" si="76"/>
        <v/>
      </c>
      <c r="CT380" s="237" t="str">
        <f t="shared" si="77"/>
        <v/>
      </c>
      <c r="CU380" s="238"/>
      <c r="CV380" s="239"/>
      <c r="CW380" s="240"/>
    </row>
    <row r="381" spans="2:101" ht="16.5" customHeight="1">
      <c r="B381" s="122"/>
      <c r="E381" s="122"/>
      <c r="F381" s="194"/>
      <c r="G381" s="195"/>
      <c r="H381" s="195"/>
      <c r="I381" s="195"/>
      <c r="J381" s="196"/>
      <c r="K381" s="197"/>
      <c r="L381" s="198"/>
      <c r="M381" s="199"/>
      <c r="N381" s="200"/>
      <c r="O381" s="201"/>
      <c r="P381" s="201"/>
      <c r="Q381" s="201"/>
      <c r="R381" s="201"/>
      <c r="S381" s="201"/>
      <c r="T381" s="201"/>
      <c r="U381" s="201"/>
      <c r="V381" s="201"/>
      <c r="W381" s="201"/>
      <c r="X381" s="202"/>
      <c r="Y381" s="203"/>
      <c r="Z381" s="204"/>
      <c r="AA381" s="205"/>
      <c r="AB381" s="206"/>
      <c r="AC381" s="206"/>
      <c r="AD381" s="194"/>
      <c r="AE381" s="201"/>
      <c r="AF381" s="207"/>
      <c r="AG381" s="208"/>
      <c r="AH381" s="209"/>
      <c r="AI381" s="210"/>
      <c r="AJ381" s="197"/>
      <c r="AK381" s="201"/>
      <c r="AL381" s="196"/>
      <c r="AM381" s="201"/>
      <c r="AN381" s="201"/>
      <c r="AO381" s="201"/>
      <c r="AP381" s="211"/>
      <c r="AQ381" s="212"/>
      <c r="AR381" s="201"/>
      <c r="AS381" s="201"/>
      <c r="AT381" s="201"/>
      <c r="AU381" s="201"/>
      <c r="AV381" s="202"/>
      <c r="AW381" s="194"/>
      <c r="AX381" s="201"/>
      <c r="AY381" s="213"/>
      <c r="AZ381" s="214"/>
      <c r="BA381" s="215"/>
      <c r="BB381" s="216"/>
      <c r="BC381" s="217" t="str">
        <f t="shared" si="65"/>
        <v/>
      </c>
      <c r="BD381" s="218"/>
      <c r="BE381" s="219"/>
      <c r="BF381" s="220"/>
      <c r="BG381" s="219"/>
      <c r="BH381" s="219"/>
      <c r="BI381" s="220"/>
      <c r="BJ381" s="218"/>
      <c r="BK381" s="219"/>
      <c r="BL381" s="197"/>
      <c r="BM381" s="215"/>
      <c r="BN381" s="221"/>
      <c r="BO381" s="222" t="str">
        <f t="shared" si="66"/>
        <v/>
      </c>
      <c r="BP381" s="217" t="str">
        <f t="shared" si="67"/>
        <v/>
      </c>
      <c r="BQ381" s="215"/>
      <c r="BR381" s="224"/>
      <c r="BS381" s="225"/>
      <c r="BT381" s="223"/>
      <c r="BU381" s="215"/>
      <c r="BV381" s="226"/>
      <c r="BW381" s="222" t="str">
        <f t="shared" si="68"/>
        <v/>
      </c>
      <c r="BX381" s="223" t="str">
        <f t="shared" si="69"/>
        <v/>
      </c>
      <c r="BY381" s="215"/>
      <c r="BZ381" s="227"/>
      <c r="CA381" s="227"/>
      <c r="CB381" s="228"/>
      <c r="CC381" s="229"/>
      <c r="CD381" s="230" t="str">
        <f t="shared" si="70"/>
        <v/>
      </c>
      <c r="CE381" s="231" t="str">
        <f t="shared" si="71"/>
        <v/>
      </c>
      <c r="CF381" s="232" t="str">
        <f t="shared" si="72"/>
        <v/>
      </c>
      <c r="CG381" s="233" t="str">
        <f t="shared" si="73"/>
        <v/>
      </c>
      <c r="CH381" s="207" t="str">
        <f>IF(OR(G381="",CC381= ""), "", IF(ISERROR(SMALL((CJ381,CN381,CV381), 1)-CC381), "",  SMALL((CJ381,CN381,CV381), 1)-CC381))</f>
        <v/>
      </c>
      <c r="CI381" s="234"/>
      <c r="CJ381" s="235"/>
      <c r="CK381" s="236"/>
      <c r="CL381" s="222" t="str">
        <f t="shared" si="74"/>
        <v/>
      </c>
      <c r="CM381" s="237" t="str">
        <f>IF(OR(G381="", CJ381="",CK381=""), "", IF(ISERROR(SMALL((CN381,CV381), 1)-CK381), "",  SMALL((CN381,CV381), 1)-CK381))</f>
        <v/>
      </c>
      <c r="CN381" s="235"/>
      <c r="CO381" s="236"/>
      <c r="CP381" s="224" t="str">
        <f t="shared" si="75"/>
        <v/>
      </c>
      <c r="CQ381" s="235"/>
      <c r="CR381" s="236"/>
      <c r="CS381" s="222" t="str">
        <f t="shared" si="76"/>
        <v/>
      </c>
      <c r="CT381" s="237" t="str">
        <f t="shared" si="77"/>
        <v/>
      </c>
      <c r="CU381" s="238"/>
      <c r="CV381" s="239"/>
      <c r="CW381" s="240"/>
    </row>
    <row r="382" spans="2:101" ht="16.5" customHeight="1">
      <c r="B382" s="122"/>
      <c r="E382" s="122"/>
      <c r="F382" s="194"/>
      <c r="G382" s="195"/>
      <c r="H382" s="195"/>
      <c r="I382" s="195"/>
      <c r="J382" s="196"/>
      <c r="K382" s="197"/>
      <c r="L382" s="198"/>
      <c r="M382" s="199"/>
      <c r="N382" s="200"/>
      <c r="O382" s="201"/>
      <c r="P382" s="201"/>
      <c r="Q382" s="201"/>
      <c r="R382" s="201"/>
      <c r="S382" s="201"/>
      <c r="T382" s="201"/>
      <c r="U382" s="201"/>
      <c r="V382" s="201"/>
      <c r="W382" s="201"/>
      <c r="X382" s="202"/>
      <c r="Y382" s="203"/>
      <c r="Z382" s="204"/>
      <c r="AA382" s="205"/>
      <c r="AB382" s="206"/>
      <c r="AC382" s="206"/>
      <c r="AD382" s="194"/>
      <c r="AE382" s="201"/>
      <c r="AF382" s="207"/>
      <c r="AG382" s="208"/>
      <c r="AH382" s="209"/>
      <c r="AI382" s="210"/>
      <c r="AJ382" s="197"/>
      <c r="AK382" s="201"/>
      <c r="AL382" s="196"/>
      <c r="AM382" s="201"/>
      <c r="AN382" s="201"/>
      <c r="AO382" s="201"/>
      <c r="AP382" s="211"/>
      <c r="AQ382" s="212"/>
      <c r="AR382" s="201"/>
      <c r="AS382" s="201"/>
      <c r="AT382" s="201"/>
      <c r="AU382" s="201"/>
      <c r="AV382" s="202"/>
      <c r="AW382" s="194"/>
      <c r="AX382" s="201"/>
      <c r="AY382" s="213"/>
      <c r="AZ382" s="214"/>
      <c r="BA382" s="215"/>
      <c r="BB382" s="216"/>
      <c r="BC382" s="217" t="str">
        <f t="shared" si="65"/>
        <v/>
      </c>
      <c r="BD382" s="218"/>
      <c r="BE382" s="219"/>
      <c r="BF382" s="220"/>
      <c r="BG382" s="219"/>
      <c r="BH382" s="219"/>
      <c r="BI382" s="220"/>
      <c r="BJ382" s="218"/>
      <c r="BK382" s="219"/>
      <c r="BL382" s="197"/>
      <c r="BM382" s="215"/>
      <c r="BN382" s="221"/>
      <c r="BO382" s="222" t="str">
        <f t="shared" si="66"/>
        <v/>
      </c>
      <c r="BP382" s="217" t="str">
        <f t="shared" si="67"/>
        <v/>
      </c>
      <c r="BQ382" s="215"/>
      <c r="BR382" s="224"/>
      <c r="BS382" s="225"/>
      <c r="BT382" s="223"/>
      <c r="BU382" s="215"/>
      <c r="BV382" s="226"/>
      <c r="BW382" s="222" t="str">
        <f t="shared" si="68"/>
        <v/>
      </c>
      <c r="BX382" s="223" t="str">
        <f t="shared" si="69"/>
        <v/>
      </c>
      <c r="BY382" s="215"/>
      <c r="BZ382" s="227"/>
      <c r="CA382" s="227"/>
      <c r="CB382" s="228"/>
      <c r="CC382" s="229"/>
      <c r="CD382" s="230" t="str">
        <f t="shared" si="70"/>
        <v/>
      </c>
      <c r="CE382" s="231" t="str">
        <f t="shared" si="71"/>
        <v/>
      </c>
      <c r="CF382" s="232" t="str">
        <f t="shared" si="72"/>
        <v/>
      </c>
      <c r="CG382" s="233" t="str">
        <f t="shared" si="73"/>
        <v/>
      </c>
      <c r="CH382" s="207" t="str">
        <f>IF(OR(G382="",CC382= ""), "", IF(ISERROR(SMALL((CJ382,CN382,CV382), 1)-CC382), "",  SMALL((CJ382,CN382,CV382), 1)-CC382))</f>
        <v/>
      </c>
      <c r="CI382" s="234"/>
      <c r="CJ382" s="235"/>
      <c r="CK382" s="236"/>
      <c r="CL382" s="222" t="str">
        <f t="shared" si="74"/>
        <v/>
      </c>
      <c r="CM382" s="237" t="str">
        <f>IF(OR(G382="", CJ382="",CK382=""), "", IF(ISERROR(SMALL((CN382,CV382), 1)-CK382), "",  SMALL((CN382,CV382), 1)-CK382))</f>
        <v/>
      </c>
      <c r="CN382" s="235"/>
      <c r="CO382" s="236"/>
      <c r="CP382" s="224" t="str">
        <f t="shared" si="75"/>
        <v/>
      </c>
      <c r="CQ382" s="235"/>
      <c r="CR382" s="236"/>
      <c r="CS382" s="222" t="str">
        <f t="shared" si="76"/>
        <v/>
      </c>
      <c r="CT382" s="237" t="str">
        <f t="shared" si="77"/>
        <v/>
      </c>
      <c r="CU382" s="238"/>
      <c r="CV382" s="239"/>
      <c r="CW382" s="240"/>
    </row>
    <row r="383" spans="2:101" ht="16.5" customHeight="1">
      <c r="B383" s="122"/>
      <c r="E383" s="122"/>
      <c r="F383" s="194"/>
      <c r="G383" s="195"/>
      <c r="H383" s="195"/>
      <c r="I383" s="195"/>
      <c r="J383" s="196"/>
      <c r="K383" s="197"/>
      <c r="L383" s="198"/>
      <c r="M383" s="199"/>
      <c r="N383" s="200"/>
      <c r="O383" s="201"/>
      <c r="P383" s="201"/>
      <c r="Q383" s="201"/>
      <c r="R383" s="201"/>
      <c r="S383" s="201"/>
      <c r="T383" s="201"/>
      <c r="U383" s="201"/>
      <c r="V383" s="201"/>
      <c r="W383" s="201"/>
      <c r="X383" s="202"/>
      <c r="Y383" s="203"/>
      <c r="Z383" s="204"/>
      <c r="AA383" s="205"/>
      <c r="AB383" s="206"/>
      <c r="AC383" s="206"/>
      <c r="AD383" s="194"/>
      <c r="AE383" s="201"/>
      <c r="AF383" s="207"/>
      <c r="AG383" s="208"/>
      <c r="AH383" s="209"/>
      <c r="AI383" s="210"/>
      <c r="AJ383" s="197"/>
      <c r="AK383" s="201"/>
      <c r="AL383" s="196"/>
      <c r="AM383" s="201"/>
      <c r="AN383" s="201"/>
      <c r="AO383" s="201"/>
      <c r="AP383" s="211"/>
      <c r="AQ383" s="212"/>
      <c r="AR383" s="201"/>
      <c r="AS383" s="201"/>
      <c r="AT383" s="201"/>
      <c r="AU383" s="201"/>
      <c r="AV383" s="202"/>
      <c r="AW383" s="194"/>
      <c r="AX383" s="201"/>
      <c r="AY383" s="213"/>
      <c r="AZ383" s="214"/>
      <c r="BA383" s="215"/>
      <c r="BB383" s="216"/>
      <c r="BC383" s="217" t="str">
        <f t="shared" si="65"/>
        <v/>
      </c>
      <c r="BD383" s="218"/>
      <c r="BE383" s="219"/>
      <c r="BF383" s="220"/>
      <c r="BG383" s="219"/>
      <c r="BH383" s="219"/>
      <c r="BI383" s="220"/>
      <c r="BJ383" s="218"/>
      <c r="BK383" s="219"/>
      <c r="BL383" s="197"/>
      <c r="BM383" s="215"/>
      <c r="BN383" s="221"/>
      <c r="BO383" s="222" t="str">
        <f t="shared" si="66"/>
        <v/>
      </c>
      <c r="BP383" s="217" t="str">
        <f t="shared" si="67"/>
        <v/>
      </c>
      <c r="BQ383" s="215"/>
      <c r="BR383" s="224"/>
      <c r="BS383" s="225"/>
      <c r="BT383" s="223"/>
      <c r="BU383" s="215"/>
      <c r="BV383" s="226"/>
      <c r="BW383" s="222" t="str">
        <f t="shared" si="68"/>
        <v/>
      </c>
      <c r="BX383" s="223" t="str">
        <f t="shared" si="69"/>
        <v/>
      </c>
      <c r="BY383" s="215"/>
      <c r="BZ383" s="227"/>
      <c r="CA383" s="227"/>
      <c r="CB383" s="228"/>
      <c r="CC383" s="229"/>
      <c r="CD383" s="230" t="str">
        <f t="shared" si="70"/>
        <v/>
      </c>
      <c r="CE383" s="231" t="str">
        <f t="shared" si="71"/>
        <v/>
      </c>
      <c r="CF383" s="232" t="str">
        <f t="shared" si="72"/>
        <v/>
      </c>
      <c r="CG383" s="233" t="str">
        <f t="shared" si="73"/>
        <v/>
      </c>
      <c r="CH383" s="207" t="str">
        <f>IF(OR(G383="",CC383= ""), "", IF(ISERROR(SMALL((CJ383,CN383,CV383), 1)-CC383), "",  SMALL((CJ383,CN383,CV383), 1)-CC383))</f>
        <v/>
      </c>
      <c r="CI383" s="234"/>
      <c r="CJ383" s="235"/>
      <c r="CK383" s="236"/>
      <c r="CL383" s="222" t="str">
        <f t="shared" si="74"/>
        <v/>
      </c>
      <c r="CM383" s="237" t="str">
        <f>IF(OR(G383="", CJ383="",CK383=""), "", IF(ISERROR(SMALL((CN383,CV383), 1)-CK383), "",  SMALL((CN383,CV383), 1)-CK383))</f>
        <v/>
      </c>
      <c r="CN383" s="235"/>
      <c r="CO383" s="236"/>
      <c r="CP383" s="224" t="str">
        <f t="shared" si="75"/>
        <v/>
      </c>
      <c r="CQ383" s="235"/>
      <c r="CR383" s="236"/>
      <c r="CS383" s="222" t="str">
        <f t="shared" si="76"/>
        <v/>
      </c>
      <c r="CT383" s="237" t="str">
        <f t="shared" si="77"/>
        <v/>
      </c>
      <c r="CU383" s="238"/>
      <c r="CV383" s="239"/>
      <c r="CW383" s="240"/>
    </row>
    <row r="384" spans="2:101" ht="16.5" customHeight="1">
      <c r="B384" s="122"/>
      <c r="E384" s="122"/>
      <c r="F384" s="194"/>
      <c r="G384" s="195"/>
      <c r="H384" s="195"/>
      <c r="I384" s="195"/>
      <c r="J384" s="196"/>
      <c r="K384" s="197"/>
      <c r="L384" s="198"/>
      <c r="M384" s="199"/>
      <c r="N384" s="200"/>
      <c r="O384" s="201"/>
      <c r="P384" s="201"/>
      <c r="Q384" s="201"/>
      <c r="R384" s="201"/>
      <c r="S384" s="201"/>
      <c r="T384" s="201"/>
      <c r="U384" s="201"/>
      <c r="V384" s="201"/>
      <c r="W384" s="201"/>
      <c r="X384" s="202"/>
      <c r="Y384" s="203"/>
      <c r="Z384" s="204"/>
      <c r="AA384" s="205"/>
      <c r="AB384" s="206"/>
      <c r="AC384" s="206"/>
      <c r="AD384" s="194"/>
      <c r="AE384" s="201"/>
      <c r="AF384" s="207"/>
      <c r="AG384" s="208"/>
      <c r="AH384" s="209"/>
      <c r="AI384" s="210"/>
      <c r="AJ384" s="197"/>
      <c r="AK384" s="201"/>
      <c r="AL384" s="196"/>
      <c r="AM384" s="201"/>
      <c r="AN384" s="201"/>
      <c r="AO384" s="201"/>
      <c r="AP384" s="211"/>
      <c r="AQ384" s="212"/>
      <c r="AR384" s="201"/>
      <c r="AS384" s="201"/>
      <c r="AT384" s="201"/>
      <c r="AU384" s="201"/>
      <c r="AV384" s="202"/>
      <c r="AW384" s="194"/>
      <c r="AX384" s="201"/>
      <c r="AY384" s="213"/>
      <c r="AZ384" s="214"/>
      <c r="BA384" s="215"/>
      <c r="BB384" s="216"/>
      <c r="BC384" s="217" t="str">
        <f t="shared" si="65"/>
        <v/>
      </c>
      <c r="BD384" s="218"/>
      <c r="BE384" s="219"/>
      <c r="BF384" s="220"/>
      <c r="BG384" s="219"/>
      <c r="BH384" s="219"/>
      <c r="BI384" s="220"/>
      <c r="BJ384" s="218"/>
      <c r="BK384" s="219"/>
      <c r="BL384" s="197"/>
      <c r="BM384" s="215"/>
      <c r="BN384" s="221"/>
      <c r="BO384" s="222" t="str">
        <f t="shared" si="66"/>
        <v/>
      </c>
      <c r="BP384" s="217" t="str">
        <f t="shared" si="67"/>
        <v/>
      </c>
      <c r="BQ384" s="215"/>
      <c r="BR384" s="224"/>
      <c r="BS384" s="225"/>
      <c r="BT384" s="223"/>
      <c r="BU384" s="215"/>
      <c r="BV384" s="226"/>
      <c r="BW384" s="222" t="str">
        <f t="shared" si="68"/>
        <v/>
      </c>
      <c r="BX384" s="223" t="str">
        <f t="shared" si="69"/>
        <v/>
      </c>
      <c r="BY384" s="215"/>
      <c r="BZ384" s="227"/>
      <c r="CA384" s="227"/>
      <c r="CB384" s="228"/>
      <c r="CC384" s="229"/>
      <c r="CD384" s="230" t="str">
        <f t="shared" si="70"/>
        <v/>
      </c>
      <c r="CE384" s="231" t="str">
        <f t="shared" si="71"/>
        <v/>
      </c>
      <c r="CF384" s="232" t="str">
        <f t="shared" si="72"/>
        <v/>
      </c>
      <c r="CG384" s="233" t="str">
        <f t="shared" si="73"/>
        <v/>
      </c>
      <c r="CH384" s="207" t="str">
        <f>IF(OR(G384="",CC384= ""), "", IF(ISERROR(SMALL((CJ384,CN384,CV384), 1)-CC384), "",  SMALL((CJ384,CN384,CV384), 1)-CC384))</f>
        <v/>
      </c>
      <c r="CI384" s="234"/>
      <c r="CJ384" s="235"/>
      <c r="CK384" s="236"/>
      <c r="CL384" s="222" t="str">
        <f t="shared" si="74"/>
        <v/>
      </c>
      <c r="CM384" s="237" t="str">
        <f>IF(OR(G384="", CJ384="",CK384=""), "", IF(ISERROR(SMALL((CN384,CV384), 1)-CK384), "",  SMALL((CN384,CV384), 1)-CK384))</f>
        <v/>
      </c>
      <c r="CN384" s="235"/>
      <c r="CO384" s="236"/>
      <c r="CP384" s="224" t="str">
        <f t="shared" si="75"/>
        <v/>
      </c>
      <c r="CQ384" s="235"/>
      <c r="CR384" s="236"/>
      <c r="CS384" s="222" t="str">
        <f t="shared" si="76"/>
        <v/>
      </c>
      <c r="CT384" s="237" t="str">
        <f t="shared" si="77"/>
        <v/>
      </c>
      <c r="CU384" s="238"/>
      <c r="CV384" s="239"/>
      <c r="CW384" s="240"/>
    </row>
    <row r="385" spans="2:101" ht="16.5" customHeight="1">
      <c r="B385" s="122"/>
      <c r="E385" s="122"/>
      <c r="F385" s="194"/>
      <c r="G385" s="195"/>
      <c r="H385" s="195"/>
      <c r="I385" s="195"/>
      <c r="J385" s="196"/>
      <c r="K385" s="197"/>
      <c r="L385" s="198"/>
      <c r="M385" s="199"/>
      <c r="N385" s="200"/>
      <c r="O385" s="201"/>
      <c r="P385" s="201"/>
      <c r="Q385" s="201"/>
      <c r="R385" s="201"/>
      <c r="S385" s="201"/>
      <c r="T385" s="201"/>
      <c r="U385" s="201"/>
      <c r="V385" s="201"/>
      <c r="W385" s="201"/>
      <c r="X385" s="202"/>
      <c r="Y385" s="203"/>
      <c r="Z385" s="204"/>
      <c r="AA385" s="205"/>
      <c r="AB385" s="206"/>
      <c r="AC385" s="206"/>
      <c r="AD385" s="194"/>
      <c r="AE385" s="201"/>
      <c r="AF385" s="207"/>
      <c r="AG385" s="208"/>
      <c r="AH385" s="209"/>
      <c r="AI385" s="210"/>
      <c r="AJ385" s="197"/>
      <c r="AK385" s="201"/>
      <c r="AL385" s="196"/>
      <c r="AM385" s="201"/>
      <c r="AN385" s="201"/>
      <c r="AO385" s="201"/>
      <c r="AP385" s="211"/>
      <c r="AQ385" s="212"/>
      <c r="AR385" s="201"/>
      <c r="AS385" s="201"/>
      <c r="AT385" s="201"/>
      <c r="AU385" s="201"/>
      <c r="AV385" s="202"/>
      <c r="AW385" s="194"/>
      <c r="AX385" s="201"/>
      <c r="AY385" s="213"/>
      <c r="AZ385" s="214"/>
      <c r="BA385" s="215"/>
      <c r="BB385" s="216"/>
      <c r="BC385" s="217" t="str">
        <f t="shared" si="65"/>
        <v/>
      </c>
      <c r="BD385" s="218"/>
      <c r="BE385" s="219"/>
      <c r="BF385" s="220"/>
      <c r="BG385" s="219"/>
      <c r="BH385" s="219"/>
      <c r="BI385" s="220"/>
      <c r="BJ385" s="218"/>
      <c r="BK385" s="219"/>
      <c r="BL385" s="197"/>
      <c r="BM385" s="215"/>
      <c r="BN385" s="221"/>
      <c r="BO385" s="222" t="str">
        <f t="shared" si="66"/>
        <v/>
      </c>
      <c r="BP385" s="217" t="str">
        <f t="shared" si="67"/>
        <v/>
      </c>
      <c r="BQ385" s="215"/>
      <c r="BR385" s="224"/>
      <c r="BS385" s="225"/>
      <c r="BT385" s="223"/>
      <c r="BU385" s="215"/>
      <c r="BV385" s="226"/>
      <c r="BW385" s="222" t="str">
        <f t="shared" si="68"/>
        <v/>
      </c>
      <c r="BX385" s="223" t="str">
        <f t="shared" si="69"/>
        <v/>
      </c>
      <c r="BY385" s="215"/>
      <c r="BZ385" s="227"/>
      <c r="CA385" s="227"/>
      <c r="CB385" s="228"/>
      <c r="CC385" s="229"/>
      <c r="CD385" s="230" t="str">
        <f t="shared" si="70"/>
        <v/>
      </c>
      <c r="CE385" s="231" t="str">
        <f t="shared" si="71"/>
        <v/>
      </c>
      <c r="CF385" s="232" t="str">
        <f t="shared" si="72"/>
        <v/>
      </c>
      <c r="CG385" s="233" t="str">
        <f t="shared" si="73"/>
        <v/>
      </c>
      <c r="CH385" s="207" t="str">
        <f>IF(OR(G385="",CC385= ""), "", IF(ISERROR(SMALL((CJ385,CN385,CV385), 1)-CC385), "",  SMALL((CJ385,CN385,CV385), 1)-CC385))</f>
        <v/>
      </c>
      <c r="CI385" s="234"/>
      <c r="CJ385" s="235"/>
      <c r="CK385" s="236"/>
      <c r="CL385" s="222" t="str">
        <f t="shared" si="74"/>
        <v/>
      </c>
      <c r="CM385" s="237" t="str">
        <f>IF(OR(G385="", CJ385="",CK385=""), "", IF(ISERROR(SMALL((CN385,CV385), 1)-CK385), "",  SMALL((CN385,CV385), 1)-CK385))</f>
        <v/>
      </c>
      <c r="CN385" s="235"/>
      <c r="CO385" s="236"/>
      <c r="CP385" s="224" t="str">
        <f t="shared" si="75"/>
        <v/>
      </c>
      <c r="CQ385" s="235"/>
      <c r="CR385" s="236"/>
      <c r="CS385" s="222" t="str">
        <f t="shared" si="76"/>
        <v/>
      </c>
      <c r="CT385" s="237" t="str">
        <f t="shared" si="77"/>
        <v/>
      </c>
      <c r="CU385" s="238"/>
      <c r="CV385" s="239"/>
      <c r="CW385" s="240"/>
    </row>
    <row r="386" spans="2:101" ht="16.5" customHeight="1">
      <c r="B386" s="122"/>
      <c r="E386" s="122"/>
      <c r="F386" s="194"/>
      <c r="G386" s="195"/>
      <c r="H386" s="195"/>
      <c r="I386" s="195"/>
      <c r="J386" s="196"/>
      <c r="K386" s="197"/>
      <c r="L386" s="198"/>
      <c r="M386" s="199"/>
      <c r="N386" s="200"/>
      <c r="O386" s="201"/>
      <c r="P386" s="201"/>
      <c r="Q386" s="201"/>
      <c r="R386" s="201"/>
      <c r="S386" s="201"/>
      <c r="T386" s="201"/>
      <c r="U386" s="201"/>
      <c r="V386" s="201"/>
      <c r="W386" s="201"/>
      <c r="X386" s="202"/>
      <c r="Y386" s="203"/>
      <c r="Z386" s="204"/>
      <c r="AA386" s="205"/>
      <c r="AB386" s="206"/>
      <c r="AC386" s="206"/>
      <c r="AD386" s="194"/>
      <c r="AE386" s="201"/>
      <c r="AF386" s="207"/>
      <c r="AG386" s="208"/>
      <c r="AH386" s="209"/>
      <c r="AI386" s="210"/>
      <c r="AJ386" s="197"/>
      <c r="AK386" s="201"/>
      <c r="AL386" s="196"/>
      <c r="AM386" s="201"/>
      <c r="AN386" s="201"/>
      <c r="AO386" s="201"/>
      <c r="AP386" s="211"/>
      <c r="AQ386" s="212"/>
      <c r="AR386" s="201"/>
      <c r="AS386" s="201"/>
      <c r="AT386" s="201"/>
      <c r="AU386" s="201"/>
      <c r="AV386" s="202"/>
      <c r="AW386" s="194"/>
      <c r="AX386" s="201"/>
      <c r="AY386" s="213"/>
      <c r="AZ386" s="214"/>
      <c r="BA386" s="215"/>
      <c r="BB386" s="216"/>
      <c r="BC386" s="217" t="str">
        <f t="shared" si="65"/>
        <v/>
      </c>
      <c r="BD386" s="218"/>
      <c r="BE386" s="219"/>
      <c r="BF386" s="220"/>
      <c r="BG386" s="219"/>
      <c r="BH386" s="219"/>
      <c r="BI386" s="220"/>
      <c r="BJ386" s="218"/>
      <c r="BK386" s="219"/>
      <c r="BL386" s="197"/>
      <c r="BM386" s="215"/>
      <c r="BN386" s="221"/>
      <c r="BO386" s="222" t="str">
        <f t="shared" si="66"/>
        <v/>
      </c>
      <c r="BP386" s="217" t="str">
        <f t="shared" si="67"/>
        <v/>
      </c>
      <c r="BQ386" s="215"/>
      <c r="BR386" s="224"/>
      <c r="BS386" s="225"/>
      <c r="BT386" s="223"/>
      <c r="BU386" s="215"/>
      <c r="BV386" s="226"/>
      <c r="BW386" s="222" t="str">
        <f t="shared" si="68"/>
        <v/>
      </c>
      <c r="BX386" s="223" t="str">
        <f t="shared" si="69"/>
        <v/>
      </c>
      <c r="BY386" s="215"/>
      <c r="BZ386" s="227"/>
      <c r="CA386" s="227"/>
      <c r="CB386" s="228"/>
      <c r="CC386" s="229"/>
      <c r="CD386" s="230" t="str">
        <f t="shared" si="70"/>
        <v/>
      </c>
      <c r="CE386" s="231" t="str">
        <f t="shared" si="71"/>
        <v/>
      </c>
      <c r="CF386" s="232" t="str">
        <f t="shared" si="72"/>
        <v/>
      </c>
      <c r="CG386" s="233" t="str">
        <f t="shared" si="73"/>
        <v/>
      </c>
      <c r="CH386" s="207" t="str">
        <f>IF(OR(G386="",CC386= ""), "", IF(ISERROR(SMALL((CJ386,CN386,CV386), 1)-CC386), "",  SMALL((CJ386,CN386,CV386), 1)-CC386))</f>
        <v/>
      </c>
      <c r="CI386" s="234"/>
      <c r="CJ386" s="235"/>
      <c r="CK386" s="236"/>
      <c r="CL386" s="222" t="str">
        <f t="shared" si="74"/>
        <v/>
      </c>
      <c r="CM386" s="237" t="str">
        <f>IF(OR(G386="", CJ386="",CK386=""), "", IF(ISERROR(SMALL((CN386,CV386), 1)-CK386), "",  SMALL((CN386,CV386), 1)-CK386))</f>
        <v/>
      </c>
      <c r="CN386" s="235"/>
      <c r="CO386" s="236"/>
      <c r="CP386" s="224" t="str">
        <f t="shared" si="75"/>
        <v/>
      </c>
      <c r="CQ386" s="235"/>
      <c r="CR386" s="236"/>
      <c r="CS386" s="222" t="str">
        <f t="shared" si="76"/>
        <v/>
      </c>
      <c r="CT386" s="237" t="str">
        <f t="shared" si="77"/>
        <v/>
      </c>
      <c r="CU386" s="238"/>
      <c r="CV386" s="239"/>
      <c r="CW386" s="240"/>
    </row>
    <row r="387" spans="2:101" ht="16.5" customHeight="1">
      <c r="B387" s="122"/>
      <c r="E387" s="122"/>
      <c r="F387" s="194"/>
      <c r="G387" s="195"/>
      <c r="H387" s="195"/>
      <c r="I387" s="195"/>
      <c r="J387" s="196"/>
      <c r="K387" s="197"/>
      <c r="L387" s="198"/>
      <c r="M387" s="199"/>
      <c r="N387" s="200"/>
      <c r="O387" s="201"/>
      <c r="P387" s="201"/>
      <c r="Q387" s="201"/>
      <c r="R387" s="201"/>
      <c r="S387" s="201"/>
      <c r="T387" s="201"/>
      <c r="U387" s="201"/>
      <c r="V387" s="201"/>
      <c r="W387" s="201"/>
      <c r="X387" s="202"/>
      <c r="Y387" s="203"/>
      <c r="Z387" s="204"/>
      <c r="AA387" s="205"/>
      <c r="AB387" s="206"/>
      <c r="AC387" s="206"/>
      <c r="AD387" s="194"/>
      <c r="AE387" s="201"/>
      <c r="AF387" s="207"/>
      <c r="AG387" s="208"/>
      <c r="AH387" s="209"/>
      <c r="AI387" s="210"/>
      <c r="AJ387" s="197"/>
      <c r="AK387" s="201"/>
      <c r="AL387" s="196"/>
      <c r="AM387" s="201"/>
      <c r="AN387" s="201"/>
      <c r="AO387" s="201"/>
      <c r="AP387" s="211"/>
      <c r="AQ387" s="212"/>
      <c r="AR387" s="201"/>
      <c r="AS387" s="201"/>
      <c r="AT387" s="201"/>
      <c r="AU387" s="201"/>
      <c r="AV387" s="202"/>
      <c r="AW387" s="194"/>
      <c r="AX387" s="201"/>
      <c r="AY387" s="213"/>
      <c r="AZ387" s="214"/>
      <c r="BA387" s="215"/>
      <c r="BB387" s="216"/>
      <c r="BC387" s="217" t="str">
        <f t="shared" si="65"/>
        <v/>
      </c>
      <c r="BD387" s="218"/>
      <c r="BE387" s="219"/>
      <c r="BF387" s="220"/>
      <c r="BG387" s="219"/>
      <c r="BH387" s="219"/>
      <c r="BI387" s="220"/>
      <c r="BJ387" s="218"/>
      <c r="BK387" s="219"/>
      <c r="BL387" s="197"/>
      <c r="BM387" s="215"/>
      <c r="BN387" s="221"/>
      <c r="BO387" s="222" t="str">
        <f t="shared" si="66"/>
        <v/>
      </c>
      <c r="BP387" s="217" t="str">
        <f t="shared" si="67"/>
        <v/>
      </c>
      <c r="BQ387" s="215"/>
      <c r="BR387" s="224"/>
      <c r="BS387" s="225"/>
      <c r="BT387" s="223"/>
      <c r="BU387" s="215"/>
      <c r="BV387" s="226"/>
      <c r="BW387" s="222" t="str">
        <f t="shared" si="68"/>
        <v/>
      </c>
      <c r="BX387" s="223" t="str">
        <f t="shared" si="69"/>
        <v/>
      </c>
      <c r="BY387" s="215"/>
      <c r="BZ387" s="227"/>
      <c r="CA387" s="227"/>
      <c r="CB387" s="228"/>
      <c r="CC387" s="229"/>
      <c r="CD387" s="230" t="str">
        <f t="shared" si="70"/>
        <v/>
      </c>
      <c r="CE387" s="231" t="str">
        <f t="shared" si="71"/>
        <v/>
      </c>
      <c r="CF387" s="232" t="str">
        <f t="shared" si="72"/>
        <v/>
      </c>
      <c r="CG387" s="233" t="str">
        <f t="shared" si="73"/>
        <v/>
      </c>
      <c r="CH387" s="207" t="str">
        <f>IF(OR(G387="",CC387= ""), "", IF(ISERROR(SMALL((CJ387,CN387,CV387), 1)-CC387), "",  SMALL((CJ387,CN387,CV387), 1)-CC387))</f>
        <v/>
      </c>
      <c r="CI387" s="234"/>
      <c r="CJ387" s="235"/>
      <c r="CK387" s="236"/>
      <c r="CL387" s="222" t="str">
        <f t="shared" si="74"/>
        <v/>
      </c>
      <c r="CM387" s="237" t="str">
        <f>IF(OR(G387="", CJ387="",CK387=""), "", IF(ISERROR(SMALL((CN387,CV387), 1)-CK387), "",  SMALL((CN387,CV387), 1)-CK387))</f>
        <v/>
      </c>
      <c r="CN387" s="235"/>
      <c r="CO387" s="236"/>
      <c r="CP387" s="224" t="str">
        <f t="shared" si="75"/>
        <v/>
      </c>
      <c r="CQ387" s="235"/>
      <c r="CR387" s="236"/>
      <c r="CS387" s="222" t="str">
        <f t="shared" si="76"/>
        <v/>
      </c>
      <c r="CT387" s="237" t="str">
        <f t="shared" si="77"/>
        <v/>
      </c>
      <c r="CU387" s="238"/>
      <c r="CV387" s="239"/>
      <c r="CW387" s="240"/>
    </row>
    <row r="388" spans="2:101" ht="16.5" customHeight="1">
      <c r="B388" s="122"/>
      <c r="E388" s="122"/>
      <c r="F388" s="194"/>
      <c r="G388" s="195"/>
      <c r="H388" s="195"/>
      <c r="I388" s="195"/>
      <c r="J388" s="196"/>
      <c r="K388" s="197"/>
      <c r="L388" s="198"/>
      <c r="M388" s="199"/>
      <c r="N388" s="200"/>
      <c r="O388" s="201"/>
      <c r="P388" s="201"/>
      <c r="Q388" s="201"/>
      <c r="R388" s="201"/>
      <c r="S388" s="201"/>
      <c r="T388" s="201"/>
      <c r="U388" s="201"/>
      <c r="V388" s="201"/>
      <c r="W388" s="201"/>
      <c r="X388" s="202"/>
      <c r="Y388" s="203"/>
      <c r="Z388" s="204"/>
      <c r="AA388" s="205"/>
      <c r="AB388" s="206"/>
      <c r="AC388" s="206"/>
      <c r="AD388" s="194"/>
      <c r="AE388" s="201"/>
      <c r="AF388" s="207"/>
      <c r="AG388" s="208"/>
      <c r="AH388" s="209"/>
      <c r="AI388" s="210"/>
      <c r="AJ388" s="197"/>
      <c r="AK388" s="201"/>
      <c r="AL388" s="196"/>
      <c r="AM388" s="201"/>
      <c r="AN388" s="201"/>
      <c r="AO388" s="201"/>
      <c r="AP388" s="211"/>
      <c r="AQ388" s="212"/>
      <c r="AR388" s="201"/>
      <c r="AS388" s="201"/>
      <c r="AT388" s="201"/>
      <c r="AU388" s="201"/>
      <c r="AV388" s="202"/>
      <c r="AW388" s="194"/>
      <c r="AX388" s="201"/>
      <c r="AY388" s="213"/>
      <c r="AZ388" s="214"/>
      <c r="BA388" s="215"/>
      <c r="BB388" s="216"/>
      <c r="BC388" s="217" t="str">
        <f t="shared" si="65"/>
        <v/>
      </c>
      <c r="BD388" s="218"/>
      <c r="BE388" s="219"/>
      <c r="BF388" s="220"/>
      <c r="BG388" s="219"/>
      <c r="BH388" s="219"/>
      <c r="BI388" s="220"/>
      <c r="BJ388" s="218"/>
      <c r="BK388" s="219"/>
      <c r="BL388" s="197"/>
      <c r="BM388" s="215"/>
      <c r="BN388" s="221"/>
      <c r="BO388" s="222" t="str">
        <f t="shared" si="66"/>
        <v/>
      </c>
      <c r="BP388" s="217" t="str">
        <f t="shared" si="67"/>
        <v/>
      </c>
      <c r="BQ388" s="215"/>
      <c r="BR388" s="224"/>
      <c r="BS388" s="225"/>
      <c r="BT388" s="223"/>
      <c r="BU388" s="215"/>
      <c r="BV388" s="226"/>
      <c r="BW388" s="222" t="str">
        <f t="shared" si="68"/>
        <v/>
      </c>
      <c r="BX388" s="223" t="str">
        <f t="shared" si="69"/>
        <v/>
      </c>
      <c r="BY388" s="215"/>
      <c r="BZ388" s="227"/>
      <c r="CA388" s="227"/>
      <c r="CB388" s="228"/>
      <c r="CC388" s="229"/>
      <c r="CD388" s="230" t="str">
        <f t="shared" si="70"/>
        <v/>
      </c>
      <c r="CE388" s="231" t="str">
        <f t="shared" si="71"/>
        <v/>
      </c>
      <c r="CF388" s="232" t="str">
        <f t="shared" si="72"/>
        <v/>
      </c>
      <c r="CG388" s="233" t="str">
        <f t="shared" si="73"/>
        <v/>
      </c>
      <c r="CH388" s="207" t="str">
        <f>IF(OR(G388="",CC388= ""), "", IF(ISERROR(SMALL((CJ388,CN388,CV388), 1)-CC388), "",  SMALL((CJ388,CN388,CV388), 1)-CC388))</f>
        <v/>
      </c>
      <c r="CI388" s="234"/>
      <c r="CJ388" s="235"/>
      <c r="CK388" s="236"/>
      <c r="CL388" s="222" t="str">
        <f t="shared" si="74"/>
        <v/>
      </c>
      <c r="CM388" s="237" t="str">
        <f>IF(OR(G388="", CJ388="",CK388=""), "", IF(ISERROR(SMALL((CN388,CV388), 1)-CK388), "",  SMALL((CN388,CV388), 1)-CK388))</f>
        <v/>
      </c>
      <c r="CN388" s="235"/>
      <c r="CO388" s="236"/>
      <c r="CP388" s="224" t="str">
        <f t="shared" si="75"/>
        <v/>
      </c>
      <c r="CQ388" s="235"/>
      <c r="CR388" s="236"/>
      <c r="CS388" s="222" t="str">
        <f t="shared" si="76"/>
        <v/>
      </c>
      <c r="CT388" s="237" t="str">
        <f t="shared" si="77"/>
        <v/>
      </c>
      <c r="CU388" s="238"/>
      <c r="CV388" s="239"/>
      <c r="CW388" s="240"/>
    </row>
    <row r="389" spans="2:101" ht="16.5" customHeight="1">
      <c r="B389" s="122"/>
      <c r="E389" s="122"/>
      <c r="F389" s="194"/>
      <c r="G389" s="195"/>
      <c r="H389" s="195"/>
      <c r="I389" s="195"/>
      <c r="J389" s="196"/>
      <c r="K389" s="197"/>
      <c r="L389" s="198"/>
      <c r="M389" s="199"/>
      <c r="N389" s="200"/>
      <c r="O389" s="201"/>
      <c r="P389" s="201"/>
      <c r="Q389" s="201"/>
      <c r="R389" s="201"/>
      <c r="S389" s="201"/>
      <c r="T389" s="201"/>
      <c r="U389" s="201"/>
      <c r="V389" s="201"/>
      <c r="W389" s="201"/>
      <c r="X389" s="202"/>
      <c r="Y389" s="203"/>
      <c r="Z389" s="204"/>
      <c r="AA389" s="205"/>
      <c r="AB389" s="206"/>
      <c r="AC389" s="206"/>
      <c r="AD389" s="194"/>
      <c r="AE389" s="201"/>
      <c r="AF389" s="207"/>
      <c r="AG389" s="208"/>
      <c r="AH389" s="209"/>
      <c r="AI389" s="210"/>
      <c r="AJ389" s="197"/>
      <c r="AK389" s="201"/>
      <c r="AL389" s="196"/>
      <c r="AM389" s="201"/>
      <c r="AN389" s="201"/>
      <c r="AO389" s="201"/>
      <c r="AP389" s="211"/>
      <c r="AQ389" s="212"/>
      <c r="AR389" s="201"/>
      <c r="AS389" s="201"/>
      <c r="AT389" s="201"/>
      <c r="AU389" s="201"/>
      <c r="AV389" s="202"/>
      <c r="AW389" s="194"/>
      <c r="AX389" s="201"/>
      <c r="AY389" s="213"/>
      <c r="AZ389" s="214"/>
      <c r="BA389" s="215"/>
      <c r="BB389" s="216"/>
      <c r="BC389" s="217" t="str">
        <f t="shared" si="65"/>
        <v/>
      </c>
      <c r="BD389" s="218"/>
      <c r="BE389" s="219"/>
      <c r="BF389" s="220"/>
      <c r="BG389" s="219"/>
      <c r="BH389" s="219"/>
      <c r="BI389" s="220"/>
      <c r="BJ389" s="218"/>
      <c r="BK389" s="219"/>
      <c r="BL389" s="197"/>
      <c r="BM389" s="215"/>
      <c r="BN389" s="221"/>
      <c r="BO389" s="222" t="str">
        <f t="shared" si="66"/>
        <v/>
      </c>
      <c r="BP389" s="217" t="str">
        <f t="shared" si="67"/>
        <v/>
      </c>
      <c r="BQ389" s="215"/>
      <c r="BR389" s="224"/>
      <c r="BS389" s="225"/>
      <c r="BT389" s="223"/>
      <c r="BU389" s="215"/>
      <c r="BV389" s="226"/>
      <c r="BW389" s="222" t="str">
        <f t="shared" si="68"/>
        <v/>
      </c>
      <c r="BX389" s="223" t="str">
        <f t="shared" si="69"/>
        <v/>
      </c>
      <c r="BY389" s="215"/>
      <c r="BZ389" s="227"/>
      <c r="CA389" s="227"/>
      <c r="CB389" s="228"/>
      <c r="CC389" s="229"/>
      <c r="CD389" s="230" t="str">
        <f t="shared" si="70"/>
        <v/>
      </c>
      <c r="CE389" s="231" t="str">
        <f t="shared" si="71"/>
        <v/>
      </c>
      <c r="CF389" s="232" t="str">
        <f t="shared" si="72"/>
        <v/>
      </c>
      <c r="CG389" s="233" t="str">
        <f t="shared" si="73"/>
        <v/>
      </c>
      <c r="CH389" s="207" t="str">
        <f>IF(OR(G389="",CC389= ""), "", IF(ISERROR(SMALL((CJ389,CN389,CV389), 1)-CC389), "",  SMALL((CJ389,CN389,CV389), 1)-CC389))</f>
        <v/>
      </c>
      <c r="CI389" s="234"/>
      <c r="CJ389" s="235"/>
      <c r="CK389" s="236"/>
      <c r="CL389" s="222" t="str">
        <f t="shared" si="74"/>
        <v/>
      </c>
      <c r="CM389" s="237" t="str">
        <f>IF(OR(G389="", CJ389="",CK389=""), "", IF(ISERROR(SMALL((CN389,CV389), 1)-CK389), "",  SMALL((CN389,CV389), 1)-CK389))</f>
        <v/>
      </c>
      <c r="CN389" s="235"/>
      <c r="CO389" s="236"/>
      <c r="CP389" s="224" t="str">
        <f t="shared" si="75"/>
        <v/>
      </c>
      <c r="CQ389" s="235"/>
      <c r="CR389" s="236"/>
      <c r="CS389" s="222" t="str">
        <f t="shared" si="76"/>
        <v/>
      </c>
      <c r="CT389" s="237" t="str">
        <f t="shared" si="77"/>
        <v/>
      </c>
      <c r="CU389" s="238"/>
      <c r="CV389" s="239"/>
      <c r="CW389" s="240"/>
    </row>
    <row r="390" spans="2:101" ht="16.5" customHeight="1">
      <c r="B390" s="122"/>
      <c r="E390" s="122"/>
      <c r="F390" s="194"/>
      <c r="G390" s="195"/>
      <c r="H390" s="195"/>
      <c r="I390" s="195"/>
      <c r="J390" s="196"/>
      <c r="K390" s="197"/>
      <c r="L390" s="198"/>
      <c r="M390" s="199"/>
      <c r="N390" s="200"/>
      <c r="O390" s="201"/>
      <c r="P390" s="201"/>
      <c r="Q390" s="201"/>
      <c r="R390" s="201"/>
      <c r="S390" s="201"/>
      <c r="T390" s="201"/>
      <c r="U390" s="201"/>
      <c r="V390" s="201"/>
      <c r="W390" s="201"/>
      <c r="X390" s="202"/>
      <c r="Y390" s="203"/>
      <c r="Z390" s="204"/>
      <c r="AA390" s="205"/>
      <c r="AB390" s="206"/>
      <c r="AC390" s="206"/>
      <c r="AD390" s="194"/>
      <c r="AE390" s="201"/>
      <c r="AF390" s="207"/>
      <c r="AG390" s="208"/>
      <c r="AH390" s="209"/>
      <c r="AI390" s="210"/>
      <c r="AJ390" s="197"/>
      <c r="AK390" s="201"/>
      <c r="AL390" s="196"/>
      <c r="AM390" s="201"/>
      <c r="AN390" s="201"/>
      <c r="AO390" s="201"/>
      <c r="AP390" s="211"/>
      <c r="AQ390" s="212"/>
      <c r="AR390" s="201"/>
      <c r="AS390" s="201"/>
      <c r="AT390" s="201"/>
      <c r="AU390" s="201"/>
      <c r="AV390" s="202"/>
      <c r="AW390" s="194"/>
      <c r="AX390" s="201"/>
      <c r="AY390" s="213"/>
      <c r="AZ390" s="214"/>
      <c r="BA390" s="215"/>
      <c r="BB390" s="216"/>
      <c r="BC390" s="217" t="str">
        <f t="shared" si="65"/>
        <v/>
      </c>
      <c r="BD390" s="218"/>
      <c r="BE390" s="219"/>
      <c r="BF390" s="220"/>
      <c r="BG390" s="219"/>
      <c r="BH390" s="219"/>
      <c r="BI390" s="220"/>
      <c r="BJ390" s="218"/>
      <c r="BK390" s="219"/>
      <c r="BL390" s="197"/>
      <c r="BM390" s="215"/>
      <c r="BN390" s="221"/>
      <c r="BO390" s="222" t="str">
        <f t="shared" si="66"/>
        <v/>
      </c>
      <c r="BP390" s="217" t="str">
        <f t="shared" si="67"/>
        <v/>
      </c>
      <c r="BQ390" s="215"/>
      <c r="BR390" s="224"/>
      <c r="BS390" s="225"/>
      <c r="BT390" s="223"/>
      <c r="BU390" s="215"/>
      <c r="BV390" s="226"/>
      <c r="BW390" s="222" t="str">
        <f t="shared" si="68"/>
        <v/>
      </c>
      <c r="BX390" s="223" t="str">
        <f t="shared" si="69"/>
        <v/>
      </c>
      <c r="BY390" s="215"/>
      <c r="BZ390" s="227"/>
      <c r="CA390" s="227"/>
      <c r="CB390" s="228"/>
      <c r="CC390" s="229"/>
      <c r="CD390" s="230" t="str">
        <f t="shared" si="70"/>
        <v/>
      </c>
      <c r="CE390" s="231" t="str">
        <f t="shared" si="71"/>
        <v/>
      </c>
      <c r="CF390" s="232" t="str">
        <f t="shared" si="72"/>
        <v/>
      </c>
      <c r="CG390" s="233" t="str">
        <f t="shared" si="73"/>
        <v/>
      </c>
      <c r="CH390" s="207" t="str">
        <f>IF(OR(G390="",CC390= ""), "", IF(ISERROR(SMALL((CJ390,CN390,CV390), 1)-CC390), "",  SMALL((CJ390,CN390,CV390), 1)-CC390))</f>
        <v/>
      </c>
      <c r="CI390" s="234"/>
      <c r="CJ390" s="235"/>
      <c r="CK390" s="236"/>
      <c r="CL390" s="222" t="str">
        <f t="shared" si="74"/>
        <v/>
      </c>
      <c r="CM390" s="237" t="str">
        <f>IF(OR(G390="", CJ390="",CK390=""), "", IF(ISERROR(SMALL((CN390,CV390), 1)-CK390), "",  SMALL((CN390,CV390), 1)-CK390))</f>
        <v/>
      </c>
      <c r="CN390" s="235"/>
      <c r="CO390" s="236"/>
      <c r="CP390" s="224" t="str">
        <f t="shared" si="75"/>
        <v/>
      </c>
      <c r="CQ390" s="235"/>
      <c r="CR390" s="236"/>
      <c r="CS390" s="222" t="str">
        <f t="shared" si="76"/>
        <v/>
      </c>
      <c r="CT390" s="237" t="str">
        <f t="shared" si="77"/>
        <v/>
      </c>
      <c r="CU390" s="238"/>
      <c r="CV390" s="239"/>
      <c r="CW390" s="240"/>
    </row>
    <row r="391" spans="2:101" ht="16.5" customHeight="1">
      <c r="B391" s="122"/>
      <c r="E391" s="122"/>
      <c r="F391" s="194"/>
      <c r="G391" s="195"/>
      <c r="H391" s="195"/>
      <c r="I391" s="195"/>
      <c r="J391" s="196"/>
      <c r="K391" s="197"/>
      <c r="L391" s="198"/>
      <c r="M391" s="199"/>
      <c r="N391" s="200"/>
      <c r="O391" s="201"/>
      <c r="P391" s="201"/>
      <c r="Q391" s="201"/>
      <c r="R391" s="201"/>
      <c r="S391" s="201"/>
      <c r="T391" s="201"/>
      <c r="U391" s="201"/>
      <c r="V391" s="201"/>
      <c r="W391" s="201"/>
      <c r="X391" s="202"/>
      <c r="Y391" s="203"/>
      <c r="Z391" s="204"/>
      <c r="AA391" s="205"/>
      <c r="AB391" s="206"/>
      <c r="AC391" s="206"/>
      <c r="AD391" s="194"/>
      <c r="AE391" s="201"/>
      <c r="AF391" s="207"/>
      <c r="AG391" s="208"/>
      <c r="AH391" s="209"/>
      <c r="AI391" s="210"/>
      <c r="AJ391" s="197"/>
      <c r="AK391" s="201"/>
      <c r="AL391" s="196"/>
      <c r="AM391" s="201"/>
      <c r="AN391" s="201"/>
      <c r="AO391" s="201"/>
      <c r="AP391" s="211"/>
      <c r="AQ391" s="212"/>
      <c r="AR391" s="201"/>
      <c r="AS391" s="201"/>
      <c r="AT391" s="201"/>
      <c r="AU391" s="201"/>
      <c r="AV391" s="202"/>
      <c r="AW391" s="194"/>
      <c r="AX391" s="201"/>
      <c r="AY391" s="213"/>
      <c r="AZ391" s="214"/>
      <c r="BA391" s="215"/>
      <c r="BB391" s="216"/>
      <c r="BC391" s="217" t="str">
        <f t="shared" si="65"/>
        <v/>
      </c>
      <c r="BD391" s="218"/>
      <c r="BE391" s="219"/>
      <c r="BF391" s="220"/>
      <c r="BG391" s="219"/>
      <c r="BH391" s="219"/>
      <c r="BI391" s="220"/>
      <c r="BJ391" s="218"/>
      <c r="BK391" s="219"/>
      <c r="BL391" s="197"/>
      <c r="BM391" s="215"/>
      <c r="BN391" s="221"/>
      <c r="BO391" s="222" t="str">
        <f t="shared" si="66"/>
        <v/>
      </c>
      <c r="BP391" s="217" t="str">
        <f t="shared" si="67"/>
        <v/>
      </c>
      <c r="BQ391" s="215"/>
      <c r="BR391" s="224"/>
      <c r="BS391" s="225"/>
      <c r="BT391" s="223"/>
      <c r="BU391" s="215"/>
      <c r="BV391" s="226"/>
      <c r="BW391" s="222" t="str">
        <f t="shared" si="68"/>
        <v/>
      </c>
      <c r="BX391" s="223" t="str">
        <f t="shared" si="69"/>
        <v/>
      </c>
      <c r="BY391" s="215"/>
      <c r="BZ391" s="227"/>
      <c r="CA391" s="227"/>
      <c r="CB391" s="228"/>
      <c r="CC391" s="229"/>
      <c r="CD391" s="230" t="str">
        <f t="shared" si="70"/>
        <v/>
      </c>
      <c r="CE391" s="231" t="str">
        <f t="shared" si="71"/>
        <v/>
      </c>
      <c r="CF391" s="232" t="str">
        <f t="shared" si="72"/>
        <v/>
      </c>
      <c r="CG391" s="233" t="str">
        <f t="shared" si="73"/>
        <v/>
      </c>
      <c r="CH391" s="207" t="str">
        <f>IF(OR(G391="",CC391= ""), "", IF(ISERROR(SMALL((CJ391,CN391,CV391), 1)-CC391), "",  SMALL((CJ391,CN391,CV391), 1)-CC391))</f>
        <v/>
      </c>
      <c r="CI391" s="234"/>
      <c r="CJ391" s="235"/>
      <c r="CK391" s="236"/>
      <c r="CL391" s="222" t="str">
        <f t="shared" si="74"/>
        <v/>
      </c>
      <c r="CM391" s="237" t="str">
        <f>IF(OR(G391="", CJ391="",CK391=""), "", IF(ISERROR(SMALL((CN391,CV391), 1)-CK391), "",  SMALL((CN391,CV391), 1)-CK391))</f>
        <v/>
      </c>
      <c r="CN391" s="235"/>
      <c r="CO391" s="236"/>
      <c r="CP391" s="224" t="str">
        <f t="shared" si="75"/>
        <v/>
      </c>
      <c r="CQ391" s="235"/>
      <c r="CR391" s="236"/>
      <c r="CS391" s="222" t="str">
        <f t="shared" si="76"/>
        <v/>
      </c>
      <c r="CT391" s="237" t="str">
        <f t="shared" si="77"/>
        <v/>
      </c>
      <c r="CU391" s="238"/>
      <c r="CV391" s="239"/>
      <c r="CW391" s="240"/>
    </row>
    <row r="392" spans="2:101" ht="16.5" customHeight="1">
      <c r="B392" s="122"/>
      <c r="E392" s="122"/>
      <c r="F392" s="194"/>
      <c r="G392" s="195"/>
      <c r="H392" s="195"/>
      <c r="I392" s="195"/>
      <c r="J392" s="196"/>
      <c r="K392" s="197"/>
      <c r="L392" s="198"/>
      <c r="M392" s="199"/>
      <c r="N392" s="200"/>
      <c r="O392" s="201"/>
      <c r="P392" s="201"/>
      <c r="Q392" s="201"/>
      <c r="R392" s="201"/>
      <c r="S392" s="201"/>
      <c r="T392" s="201"/>
      <c r="U392" s="201"/>
      <c r="V392" s="201"/>
      <c r="W392" s="201"/>
      <c r="X392" s="202"/>
      <c r="Y392" s="203"/>
      <c r="Z392" s="204"/>
      <c r="AA392" s="205"/>
      <c r="AB392" s="206"/>
      <c r="AC392" s="206"/>
      <c r="AD392" s="194"/>
      <c r="AE392" s="201"/>
      <c r="AF392" s="207"/>
      <c r="AG392" s="208"/>
      <c r="AH392" s="209"/>
      <c r="AI392" s="210"/>
      <c r="AJ392" s="197"/>
      <c r="AK392" s="201"/>
      <c r="AL392" s="196"/>
      <c r="AM392" s="201"/>
      <c r="AN392" s="201"/>
      <c r="AO392" s="201"/>
      <c r="AP392" s="211"/>
      <c r="AQ392" s="212"/>
      <c r="AR392" s="201"/>
      <c r="AS392" s="201"/>
      <c r="AT392" s="201"/>
      <c r="AU392" s="201"/>
      <c r="AV392" s="202"/>
      <c r="AW392" s="194"/>
      <c r="AX392" s="201"/>
      <c r="AY392" s="213"/>
      <c r="AZ392" s="214"/>
      <c r="BA392" s="215"/>
      <c r="BB392" s="216"/>
      <c r="BC392" s="217" t="str">
        <f t="shared" si="65"/>
        <v/>
      </c>
      <c r="BD392" s="218"/>
      <c r="BE392" s="219"/>
      <c r="BF392" s="220"/>
      <c r="BG392" s="219"/>
      <c r="BH392" s="219"/>
      <c r="BI392" s="220"/>
      <c r="BJ392" s="218"/>
      <c r="BK392" s="219"/>
      <c r="BL392" s="197"/>
      <c r="BM392" s="215"/>
      <c r="BN392" s="221"/>
      <c r="BO392" s="222" t="str">
        <f t="shared" si="66"/>
        <v/>
      </c>
      <c r="BP392" s="217" t="str">
        <f t="shared" si="67"/>
        <v/>
      </c>
      <c r="BQ392" s="215"/>
      <c r="BR392" s="224"/>
      <c r="BS392" s="225"/>
      <c r="BT392" s="223"/>
      <c r="BU392" s="215"/>
      <c r="BV392" s="226"/>
      <c r="BW392" s="222" t="str">
        <f t="shared" si="68"/>
        <v/>
      </c>
      <c r="BX392" s="223" t="str">
        <f t="shared" si="69"/>
        <v/>
      </c>
      <c r="BY392" s="215"/>
      <c r="BZ392" s="227"/>
      <c r="CA392" s="227"/>
      <c r="CB392" s="228"/>
      <c r="CC392" s="229"/>
      <c r="CD392" s="230" t="str">
        <f t="shared" si="70"/>
        <v/>
      </c>
      <c r="CE392" s="231" t="str">
        <f t="shared" si="71"/>
        <v/>
      </c>
      <c r="CF392" s="232" t="str">
        <f t="shared" si="72"/>
        <v/>
      </c>
      <c r="CG392" s="233" t="str">
        <f t="shared" si="73"/>
        <v/>
      </c>
      <c r="CH392" s="207" t="str">
        <f>IF(OR(G392="",CC392= ""), "", IF(ISERROR(SMALL((CJ392,CN392,CV392), 1)-CC392), "",  SMALL((CJ392,CN392,CV392), 1)-CC392))</f>
        <v/>
      </c>
      <c r="CI392" s="234"/>
      <c r="CJ392" s="235"/>
      <c r="CK392" s="236"/>
      <c r="CL392" s="222" t="str">
        <f t="shared" si="74"/>
        <v/>
      </c>
      <c r="CM392" s="237" t="str">
        <f>IF(OR(G392="", CJ392="",CK392=""), "", IF(ISERROR(SMALL((CN392,CV392), 1)-CK392), "",  SMALL((CN392,CV392), 1)-CK392))</f>
        <v/>
      </c>
      <c r="CN392" s="235"/>
      <c r="CO392" s="236"/>
      <c r="CP392" s="224" t="str">
        <f t="shared" si="75"/>
        <v/>
      </c>
      <c r="CQ392" s="235"/>
      <c r="CR392" s="236"/>
      <c r="CS392" s="222" t="str">
        <f t="shared" si="76"/>
        <v/>
      </c>
      <c r="CT392" s="237" t="str">
        <f t="shared" si="77"/>
        <v/>
      </c>
      <c r="CU392" s="238"/>
      <c r="CV392" s="239"/>
      <c r="CW392" s="240"/>
    </row>
    <row r="393" spans="2:101" ht="16.5" customHeight="1">
      <c r="B393" s="122"/>
      <c r="E393" s="122"/>
      <c r="F393" s="194"/>
      <c r="G393" s="195"/>
      <c r="H393" s="195"/>
      <c r="I393" s="195"/>
      <c r="J393" s="196"/>
      <c r="K393" s="197"/>
      <c r="L393" s="198"/>
      <c r="M393" s="199"/>
      <c r="N393" s="200"/>
      <c r="O393" s="201"/>
      <c r="P393" s="201"/>
      <c r="Q393" s="201"/>
      <c r="R393" s="201"/>
      <c r="S393" s="201"/>
      <c r="T393" s="201"/>
      <c r="U393" s="201"/>
      <c r="V393" s="201"/>
      <c r="W393" s="201"/>
      <c r="X393" s="202"/>
      <c r="Y393" s="203"/>
      <c r="Z393" s="204"/>
      <c r="AA393" s="205"/>
      <c r="AB393" s="206"/>
      <c r="AC393" s="206"/>
      <c r="AD393" s="194"/>
      <c r="AE393" s="201"/>
      <c r="AF393" s="207"/>
      <c r="AG393" s="208"/>
      <c r="AH393" s="209"/>
      <c r="AI393" s="210"/>
      <c r="AJ393" s="197"/>
      <c r="AK393" s="201"/>
      <c r="AL393" s="196"/>
      <c r="AM393" s="201"/>
      <c r="AN393" s="201"/>
      <c r="AO393" s="201"/>
      <c r="AP393" s="211"/>
      <c r="AQ393" s="212"/>
      <c r="AR393" s="201"/>
      <c r="AS393" s="201"/>
      <c r="AT393" s="201"/>
      <c r="AU393" s="201"/>
      <c r="AV393" s="202"/>
      <c r="AW393" s="194"/>
      <c r="AX393" s="201"/>
      <c r="AY393" s="213"/>
      <c r="AZ393" s="214"/>
      <c r="BA393" s="215"/>
      <c r="BB393" s="216"/>
      <c r="BC393" s="217" t="str">
        <f t="shared" ref="BC393:BC456" si="78">IF(OR($H393="", $BM393="", BB393=""), "", IF(ISERROR($BM393-BB393), "", $BM393-BB393))</f>
        <v/>
      </c>
      <c r="BD393" s="218"/>
      <c r="BE393" s="219"/>
      <c r="BF393" s="220"/>
      <c r="BG393" s="219"/>
      <c r="BH393" s="219"/>
      <c r="BI393" s="220"/>
      <c r="BJ393" s="218"/>
      <c r="BK393" s="219"/>
      <c r="BL393" s="197"/>
      <c r="BM393" s="215"/>
      <c r="BN393" s="221"/>
      <c r="BO393" s="222" t="str">
        <f t="shared" ref="BO393:BO456" si="79">IF(OR(G393="", BM393="", BN393=""), "", IF(ISERROR(BN393-BM393+1), "", BN393-BM393+1))</f>
        <v/>
      </c>
      <c r="BP393" s="217" t="str">
        <f t="shared" ref="BP393:BP456" si="80">IF(OR(G393="", BN393="", BY393=""), "", IF(ISERROR(BY393-BN393), "", BY393-BN393))</f>
        <v/>
      </c>
      <c r="BQ393" s="215"/>
      <c r="BR393" s="224"/>
      <c r="BS393" s="225"/>
      <c r="BT393" s="223"/>
      <c r="BU393" s="215"/>
      <c r="BV393" s="226"/>
      <c r="BW393" s="222" t="str">
        <f t="shared" ref="BW393:BW456" si="81">IF(OR(H393="", BU393="", BV393=""), "", IF(ISERROR(BV393-BU393+1), "", BV393-BU393+1))</f>
        <v/>
      </c>
      <c r="BX393" s="223" t="str">
        <f t="shared" ref="BX393:BX456" si="82">IF(OR(H393="", BV393="", CB393=""), "", IF(ISERROR(CB393-BV393), "", CB393-BV393))</f>
        <v/>
      </c>
      <c r="BY393" s="215"/>
      <c r="BZ393" s="227"/>
      <c r="CA393" s="227"/>
      <c r="CB393" s="228"/>
      <c r="CC393" s="229"/>
      <c r="CD393" s="230" t="str">
        <f t="shared" ref="CD393:CD456" si="83">IF(OR($H393="",$BY393="",$CB393=""),"",IF((ISERROR($CB393-$BY393+1)),"",$CB393-$BY393+1))</f>
        <v/>
      </c>
      <c r="CE393" s="231" t="str">
        <f t="shared" ref="CE393:CE456" si="84">IF(OR(CB393="", CC393=""),"", IF(ISERROR(CC393-CB393+1), "",CC393-CB393+1))</f>
        <v/>
      </c>
      <c r="CF393" s="232" t="str">
        <f t="shared" ref="CF393:CF456" si="85">IF(OR(BY393="", CC393=""), "", IF(ISERROR(CC393-BY393+1), "",CC393-BY393+1))</f>
        <v/>
      </c>
      <c r="CG393" s="233" t="str">
        <f t="shared" ref="CG393:CG456" si="86">IF(OR(G393="", CC393="", CV393=""), "", IF(ISERROR(CV393-CC393), "", CV393-CC393))</f>
        <v/>
      </c>
      <c r="CH393" s="207" t="str">
        <f>IF(OR(G393="",CC393= ""), "", IF(ISERROR(SMALL((CJ393,CN393,CV393), 1)-CC393), "",  SMALL((CJ393,CN393,CV393), 1)-CC393))</f>
        <v/>
      </c>
      <c r="CI393" s="234"/>
      <c r="CJ393" s="235"/>
      <c r="CK393" s="236"/>
      <c r="CL393" s="222" t="str">
        <f t="shared" ref="CL393:CL456" si="87">IF(OR(G393="", CJ393="", CK393=""), "",   IF(ISERROR(CK393-CJ393+1), "",CK393-CJ393+1))</f>
        <v/>
      </c>
      <c r="CM393" s="237" t="str">
        <f>IF(OR(G393="", CJ393="",CK393=""), "", IF(ISERROR(SMALL((CN393,CV393), 1)-CK393), "",  SMALL((CN393,CV393), 1)-CK393))</f>
        <v/>
      </c>
      <c r="CN393" s="235"/>
      <c r="CO393" s="236"/>
      <c r="CP393" s="224" t="str">
        <f t="shared" ref="CP393:CP456" si="88">IF(OR(G393="", CN393="", CO393=""), "",   IF(ISERROR(CO393-CN393+1), "",CO393-CN393+1))</f>
        <v/>
      </c>
      <c r="CQ393" s="235"/>
      <c r="CR393" s="236"/>
      <c r="CS393" s="222" t="str">
        <f t="shared" ref="CS393:CS456" si="89">IF(OR(G393="", CQ393="", CR393=""), "",   IF(ISERROR(CR393-CQ393+1), "",CR393-CQ393+1))</f>
        <v/>
      </c>
      <c r="CT393" s="237" t="str">
        <f t="shared" ref="CT393:CT456" si="90">IF(AND(G393="", CK393="",CR393=""), "",IF(CR393="", IF(ISERROR(CV393-CK393), "",  CV393-CK393),  IF(ISERROR(CV393-CR393), "", CV393-CR393)))</f>
        <v/>
      </c>
      <c r="CU393" s="238"/>
      <c r="CV393" s="239"/>
      <c r="CW393" s="240"/>
    </row>
    <row r="394" spans="2:101" ht="16.5" customHeight="1">
      <c r="B394" s="122"/>
      <c r="E394" s="122"/>
      <c r="F394" s="194"/>
      <c r="G394" s="195"/>
      <c r="H394" s="195"/>
      <c r="I394" s="195"/>
      <c r="J394" s="196"/>
      <c r="K394" s="197"/>
      <c r="L394" s="198"/>
      <c r="M394" s="199"/>
      <c r="N394" s="200"/>
      <c r="O394" s="201"/>
      <c r="P394" s="201"/>
      <c r="Q394" s="201"/>
      <c r="R394" s="201"/>
      <c r="S394" s="201"/>
      <c r="T394" s="201"/>
      <c r="U394" s="201"/>
      <c r="V394" s="201"/>
      <c r="W394" s="201"/>
      <c r="X394" s="202"/>
      <c r="Y394" s="203"/>
      <c r="Z394" s="204"/>
      <c r="AA394" s="205"/>
      <c r="AB394" s="206"/>
      <c r="AC394" s="206"/>
      <c r="AD394" s="194"/>
      <c r="AE394" s="201"/>
      <c r="AF394" s="207"/>
      <c r="AG394" s="208"/>
      <c r="AH394" s="209"/>
      <c r="AI394" s="210"/>
      <c r="AJ394" s="197"/>
      <c r="AK394" s="201"/>
      <c r="AL394" s="196"/>
      <c r="AM394" s="201"/>
      <c r="AN394" s="201"/>
      <c r="AO394" s="201"/>
      <c r="AP394" s="211"/>
      <c r="AQ394" s="212"/>
      <c r="AR394" s="201"/>
      <c r="AS394" s="201"/>
      <c r="AT394" s="201"/>
      <c r="AU394" s="201"/>
      <c r="AV394" s="202"/>
      <c r="AW394" s="194"/>
      <c r="AX394" s="201"/>
      <c r="AY394" s="213"/>
      <c r="AZ394" s="214"/>
      <c r="BA394" s="215"/>
      <c r="BB394" s="216"/>
      <c r="BC394" s="217" t="str">
        <f t="shared" si="78"/>
        <v/>
      </c>
      <c r="BD394" s="218"/>
      <c r="BE394" s="219"/>
      <c r="BF394" s="220"/>
      <c r="BG394" s="219"/>
      <c r="BH394" s="219"/>
      <c r="BI394" s="220"/>
      <c r="BJ394" s="218"/>
      <c r="BK394" s="219"/>
      <c r="BL394" s="197"/>
      <c r="BM394" s="215"/>
      <c r="BN394" s="221"/>
      <c r="BO394" s="222" t="str">
        <f t="shared" si="79"/>
        <v/>
      </c>
      <c r="BP394" s="217" t="str">
        <f t="shared" si="80"/>
        <v/>
      </c>
      <c r="BQ394" s="215"/>
      <c r="BR394" s="224"/>
      <c r="BS394" s="225"/>
      <c r="BT394" s="223"/>
      <c r="BU394" s="215"/>
      <c r="BV394" s="226"/>
      <c r="BW394" s="222" t="str">
        <f t="shared" si="81"/>
        <v/>
      </c>
      <c r="BX394" s="223" t="str">
        <f t="shared" si="82"/>
        <v/>
      </c>
      <c r="BY394" s="215"/>
      <c r="BZ394" s="227"/>
      <c r="CA394" s="227"/>
      <c r="CB394" s="228"/>
      <c r="CC394" s="229"/>
      <c r="CD394" s="230" t="str">
        <f t="shared" si="83"/>
        <v/>
      </c>
      <c r="CE394" s="231" t="str">
        <f t="shared" si="84"/>
        <v/>
      </c>
      <c r="CF394" s="232" t="str">
        <f t="shared" si="85"/>
        <v/>
      </c>
      <c r="CG394" s="233" t="str">
        <f t="shared" si="86"/>
        <v/>
      </c>
      <c r="CH394" s="207" t="str">
        <f>IF(OR(G394="",CC394= ""), "", IF(ISERROR(SMALL((CJ394,CN394,CV394), 1)-CC394), "",  SMALL((CJ394,CN394,CV394), 1)-CC394))</f>
        <v/>
      </c>
      <c r="CI394" s="234"/>
      <c r="CJ394" s="235"/>
      <c r="CK394" s="236"/>
      <c r="CL394" s="222" t="str">
        <f t="shared" si="87"/>
        <v/>
      </c>
      <c r="CM394" s="237" t="str">
        <f>IF(OR(G394="", CJ394="",CK394=""), "", IF(ISERROR(SMALL((CN394,CV394), 1)-CK394), "",  SMALL((CN394,CV394), 1)-CK394))</f>
        <v/>
      </c>
      <c r="CN394" s="235"/>
      <c r="CO394" s="236"/>
      <c r="CP394" s="224" t="str">
        <f t="shared" si="88"/>
        <v/>
      </c>
      <c r="CQ394" s="235"/>
      <c r="CR394" s="236"/>
      <c r="CS394" s="222" t="str">
        <f t="shared" si="89"/>
        <v/>
      </c>
      <c r="CT394" s="237" t="str">
        <f t="shared" si="90"/>
        <v/>
      </c>
      <c r="CU394" s="238"/>
      <c r="CV394" s="239"/>
      <c r="CW394" s="240"/>
    </row>
    <row r="395" spans="2:101" ht="16.5" customHeight="1">
      <c r="B395" s="122"/>
      <c r="E395" s="122"/>
      <c r="F395" s="194"/>
      <c r="G395" s="195"/>
      <c r="H395" s="195"/>
      <c r="I395" s="195"/>
      <c r="J395" s="196"/>
      <c r="K395" s="197"/>
      <c r="L395" s="198"/>
      <c r="M395" s="199"/>
      <c r="N395" s="200"/>
      <c r="O395" s="201"/>
      <c r="P395" s="201"/>
      <c r="Q395" s="201"/>
      <c r="R395" s="201"/>
      <c r="S395" s="201"/>
      <c r="T395" s="201"/>
      <c r="U395" s="201"/>
      <c r="V395" s="201"/>
      <c r="W395" s="201"/>
      <c r="X395" s="202"/>
      <c r="Y395" s="203"/>
      <c r="Z395" s="204"/>
      <c r="AA395" s="205"/>
      <c r="AB395" s="206"/>
      <c r="AC395" s="206"/>
      <c r="AD395" s="194"/>
      <c r="AE395" s="201"/>
      <c r="AF395" s="207"/>
      <c r="AG395" s="208"/>
      <c r="AH395" s="209"/>
      <c r="AI395" s="210"/>
      <c r="AJ395" s="197"/>
      <c r="AK395" s="201"/>
      <c r="AL395" s="196"/>
      <c r="AM395" s="201"/>
      <c r="AN395" s="201"/>
      <c r="AO395" s="201"/>
      <c r="AP395" s="211"/>
      <c r="AQ395" s="212"/>
      <c r="AR395" s="201"/>
      <c r="AS395" s="201"/>
      <c r="AT395" s="201"/>
      <c r="AU395" s="201"/>
      <c r="AV395" s="202"/>
      <c r="AW395" s="194"/>
      <c r="AX395" s="201"/>
      <c r="AY395" s="213"/>
      <c r="AZ395" s="214"/>
      <c r="BA395" s="215"/>
      <c r="BB395" s="216"/>
      <c r="BC395" s="217" t="str">
        <f t="shared" si="78"/>
        <v/>
      </c>
      <c r="BD395" s="218"/>
      <c r="BE395" s="219"/>
      <c r="BF395" s="220"/>
      <c r="BG395" s="219"/>
      <c r="BH395" s="219"/>
      <c r="BI395" s="220"/>
      <c r="BJ395" s="218"/>
      <c r="BK395" s="219"/>
      <c r="BL395" s="197"/>
      <c r="BM395" s="215"/>
      <c r="BN395" s="221"/>
      <c r="BO395" s="222" t="str">
        <f t="shared" si="79"/>
        <v/>
      </c>
      <c r="BP395" s="217" t="str">
        <f t="shared" si="80"/>
        <v/>
      </c>
      <c r="BQ395" s="215"/>
      <c r="BR395" s="224"/>
      <c r="BS395" s="225"/>
      <c r="BT395" s="223"/>
      <c r="BU395" s="215"/>
      <c r="BV395" s="226"/>
      <c r="BW395" s="222" t="str">
        <f t="shared" si="81"/>
        <v/>
      </c>
      <c r="BX395" s="223" t="str">
        <f t="shared" si="82"/>
        <v/>
      </c>
      <c r="BY395" s="215"/>
      <c r="BZ395" s="227"/>
      <c r="CA395" s="227"/>
      <c r="CB395" s="228"/>
      <c r="CC395" s="229"/>
      <c r="CD395" s="230" t="str">
        <f t="shared" si="83"/>
        <v/>
      </c>
      <c r="CE395" s="231" t="str">
        <f t="shared" si="84"/>
        <v/>
      </c>
      <c r="CF395" s="232" t="str">
        <f t="shared" si="85"/>
        <v/>
      </c>
      <c r="CG395" s="233" t="str">
        <f t="shared" si="86"/>
        <v/>
      </c>
      <c r="CH395" s="207" t="str">
        <f>IF(OR(G395="",CC395= ""), "", IF(ISERROR(SMALL((CJ395,CN395,CV395), 1)-CC395), "",  SMALL((CJ395,CN395,CV395), 1)-CC395))</f>
        <v/>
      </c>
      <c r="CI395" s="234"/>
      <c r="CJ395" s="235"/>
      <c r="CK395" s="236"/>
      <c r="CL395" s="222" t="str">
        <f t="shared" si="87"/>
        <v/>
      </c>
      <c r="CM395" s="237" t="str">
        <f>IF(OR(G395="", CJ395="",CK395=""), "", IF(ISERROR(SMALL((CN395,CV395), 1)-CK395), "",  SMALL((CN395,CV395), 1)-CK395))</f>
        <v/>
      </c>
      <c r="CN395" s="235"/>
      <c r="CO395" s="236"/>
      <c r="CP395" s="224" t="str">
        <f t="shared" si="88"/>
        <v/>
      </c>
      <c r="CQ395" s="235"/>
      <c r="CR395" s="236"/>
      <c r="CS395" s="222" t="str">
        <f t="shared" si="89"/>
        <v/>
      </c>
      <c r="CT395" s="237" t="str">
        <f t="shared" si="90"/>
        <v/>
      </c>
      <c r="CU395" s="238"/>
      <c r="CV395" s="239"/>
      <c r="CW395" s="240"/>
    </row>
    <row r="396" spans="2:101" ht="16.5" customHeight="1">
      <c r="B396" s="122"/>
      <c r="E396" s="122"/>
      <c r="F396" s="194"/>
      <c r="G396" s="195"/>
      <c r="H396" s="195"/>
      <c r="I396" s="195"/>
      <c r="J396" s="196"/>
      <c r="K396" s="197"/>
      <c r="L396" s="198"/>
      <c r="M396" s="199"/>
      <c r="N396" s="200"/>
      <c r="O396" s="201"/>
      <c r="P396" s="201"/>
      <c r="Q396" s="201"/>
      <c r="R396" s="201"/>
      <c r="S396" s="201"/>
      <c r="T396" s="201"/>
      <c r="U396" s="201"/>
      <c r="V396" s="201"/>
      <c r="W396" s="201"/>
      <c r="X396" s="202"/>
      <c r="Y396" s="203"/>
      <c r="Z396" s="204"/>
      <c r="AA396" s="205"/>
      <c r="AB396" s="206"/>
      <c r="AC396" s="206"/>
      <c r="AD396" s="194"/>
      <c r="AE396" s="201"/>
      <c r="AF396" s="207"/>
      <c r="AG396" s="208"/>
      <c r="AH396" s="209"/>
      <c r="AI396" s="210"/>
      <c r="AJ396" s="197"/>
      <c r="AK396" s="201"/>
      <c r="AL396" s="196"/>
      <c r="AM396" s="201"/>
      <c r="AN396" s="201"/>
      <c r="AO396" s="201"/>
      <c r="AP396" s="211"/>
      <c r="AQ396" s="212"/>
      <c r="AR396" s="201"/>
      <c r="AS396" s="201"/>
      <c r="AT396" s="201"/>
      <c r="AU396" s="201"/>
      <c r="AV396" s="202"/>
      <c r="AW396" s="194"/>
      <c r="AX396" s="201"/>
      <c r="AY396" s="213"/>
      <c r="AZ396" s="214"/>
      <c r="BA396" s="215"/>
      <c r="BB396" s="216"/>
      <c r="BC396" s="217" t="str">
        <f t="shared" si="78"/>
        <v/>
      </c>
      <c r="BD396" s="218"/>
      <c r="BE396" s="219"/>
      <c r="BF396" s="220"/>
      <c r="BG396" s="219"/>
      <c r="BH396" s="219"/>
      <c r="BI396" s="220"/>
      <c r="BJ396" s="218"/>
      <c r="BK396" s="219"/>
      <c r="BL396" s="197"/>
      <c r="BM396" s="215"/>
      <c r="BN396" s="221"/>
      <c r="BO396" s="222" t="str">
        <f t="shared" si="79"/>
        <v/>
      </c>
      <c r="BP396" s="217" t="str">
        <f t="shared" si="80"/>
        <v/>
      </c>
      <c r="BQ396" s="215"/>
      <c r="BR396" s="224"/>
      <c r="BS396" s="225"/>
      <c r="BT396" s="223"/>
      <c r="BU396" s="215"/>
      <c r="BV396" s="226"/>
      <c r="BW396" s="222" t="str">
        <f t="shared" si="81"/>
        <v/>
      </c>
      <c r="BX396" s="223" t="str">
        <f t="shared" si="82"/>
        <v/>
      </c>
      <c r="BY396" s="215"/>
      <c r="BZ396" s="227"/>
      <c r="CA396" s="227"/>
      <c r="CB396" s="228"/>
      <c r="CC396" s="229"/>
      <c r="CD396" s="230" t="str">
        <f t="shared" si="83"/>
        <v/>
      </c>
      <c r="CE396" s="231" t="str">
        <f t="shared" si="84"/>
        <v/>
      </c>
      <c r="CF396" s="232" t="str">
        <f t="shared" si="85"/>
        <v/>
      </c>
      <c r="CG396" s="233" t="str">
        <f t="shared" si="86"/>
        <v/>
      </c>
      <c r="CH396" s="207" t="str">
        <f>IF(OR(G396="",CC396= ""), "", IF(ISERROR(SMALL((CJ396,CN396,CV396), 1)-CC396), "",  SMALL((CJ396,CN396,CV396), 1)-CC396))</f>
        <v/>
      </c>
      <c r="CI396" s="234"/>
      <c r="CJ396" s="235"/>
      <c r="CK396" s="236"/>
      <c r="CL396" s="222" t="str">
        <f t="shared" si="87"/>
        <v/>
      </c>
      <c r="CM396" s="237" t="str">
        <f>IF(OR(G396="", CJ396="",CK396=""), "", IF(ISERROR(SMALL((CN396,CV396), 1)-CK396), "",  SMALL((CN396,CV396), 1)-CK396))</f>
        <v/>
      </c>
      <c r="CN396" s="235"/>
      <c r="CO396" s="236"/>
      <c r="CP396" s="224" t="str">
        <f t="shared" si="88"/>
        <v/>
      </c>
      <c r="CQ396" s="235"/>
      <c r="CR396" s="236"/>
      <c r="CS396" s="222" t="str">
        <f t="shared" si="89"/>
        <v/>
      </c>
      <c r="CT396" s="237" t="str">
        <f t="shared" si="90"/>
        <v/>
      </c>
      <c r="CU396" s="238"/>
      <c r="CV396" s="239"/>
      <c r="CW396" s="240"/>
    </row>
    <row r="397" spans="2:101" ht="16.5" customHeight="1">
      <c r="B397" s="122"/>
      <c r="E397" s="122"/>
      <c r="F397" s="194"/>
      <c r="G397" s="195"/>
      <c r="H397" s="195"/>
      <c r="I397" s="195"/>
      <c r="J397" s="196"/>
      <c r="K397" s="197"/>
      <c r="L397" s="198"/>
      <c r="M397" s="199"/>
      <c r="N397" s="200"/>
      <c r="O397" s="201"/>
      <c r="P397" s="201"/>
      <c r="Q397" s="201"/>
      <c r="R397" s="201"/>
      <c r="S397" s="201"/>
      <c r="T397" s="201"/>
      <c r="U397" s="201"/>
      <c r="V397" s="201"/>
      <c r="W397" s="201"/>
      <c r="X397" s="202"/>
      <c r="Y397" s="203"/>
      <c r="Z397" s="204"/>
      <c r="AA397" s="205"/>
      <c r="AB397" s="206"/>
      <c r="AC397" s="206"/>
      <c r="AD397" s="194"/>
      <c r="AE397" s="201"/>
      <c r="AF397" s="207"/>
      <c r="AG397" s="208"/>
      <c r="AH397" s="209"/>
      <c r="AI397" s="210"/>
      <c r="AJ397" s="197"/>
      <c r="AK397" s="201"/>
      <c r="AL397" s="196"/>
      <c r="AM397" s="201"/>
      <c r="AN397" s="201"/>
      <c r="AO397" s="201"/>
      <c r="AP397" s="211"/>
      <c r="AQ397" s="212"/>
      <c r="AR397" s="201"/>
      <c r="AS397" s="201"/>
      <c r="AT397" s="201"/>
      <c r="AU397" s="201"/>
      <c r="AV397" s="202"/>
      <c r="AW397" s="194"/>
      <c r="AX397" s="201"/>
      <c r="AY397" s="213"/>
      <c r="AZ397" s="214"/>
      <c r="BA397" s="215"/>
      <c r="BB397" s="216"/>
      <c r="BC397" s="217" t="str">
        <f t="shared" si="78"/>
        <v/>
      </c>
      <c r="BD397" s="218"/>
      <c r="BE397" s="219"/>
      <c r="BF397" s="220"/>
      <c r="BG397" s="219"/>
      <c r="BH397" s="219"/>
      <c r="BI397" s="220"/>
      <c r="BJ397" s="218"/>
      <c r="BK397" s="219"/>
      <c r="BL397" s="197"/>
      <c r="BM397" s="215"/>
      <c r="BN397" s="221"/>
      <c r="BO397" s="222" t="str">
        <f t="shared" si="79"/>
        <v/>
      </c>
      <c r="BP397" s="217" t="str">
        <f t="shared" si="80"/>
        <v/>
      </c>
      <c r="BQ397" s="215"/>
      <c r="BR397" s="224"/>
      <c r="BS397" s="225"/>
      <c r="BT397" s="223"/>
      <c r="BU397" s="215"/>
      <c r="BV397" s="226"/>
      <c r="BW397" s="222" t="str">
        <f t="shared" si="81"/>
        <v/>
      </c>
      <c r="BX397" s="223" t="str">
        <f t="shared" si="82"/>
        <v/>
      </c>
      <c r="BY397" s="215"/>
      <c r="BZ397" s="227"/>
      <c r="CA397" s="227"/>
      <c r="CB397" s="228"/>
      <c r="CC397" s="229"/>
      <c r="CD397" s="230" t="str">
        <f t="shared" si="83"/>
        <v/>
      </c>
      <c r="CE397" s="231" t="str">
        <f t="shared" si="84"/>
        <v/>
      </c>
      <c r="CF397" s="232" t="str">
        <f t="shared" si="85"/>
        <v/>
      </c>
      <c r="CG397" s="233" t="str">
        <f t="shared" si="86"/>
        <v/>
      </c>
      <c r="CH397" s="207" t="str">
        <f>IF(OR(G397="",CC397= ""), "", IF(ISERROR(SMALL((CJ397,CN397,CV397), 1)-CC397), "",  SMALL((CJ397,CN397,CV397), 1)-CC397))</f>
        <v/>
      </c>
      <c r="CI397" s="234"/>
      <c r="CJ397" s="235"/>
      <c r="CK397" s="236"/>
      <c r="CL397" s="222" t="str">
        <f t="shared" si="87"/>
        <v/>
      </c>
      <c r="CM397" s="237" t="str">
        <f>IF(OR(G397="", CJ397="",CK397=""), "", IF(ISERROR(SMALL((CN397,CV397), 1)-CK397), "",  SMALL((CN397,CV397), 1)-CK397))</f>
        <v/>
      </c>
      <c r="CN397" s="235"/>
      <c r="CO397" s="236"/>
      <c r="CP397" s="224" t="str">
        <f t="shared" si="88"/>
        <v/>
      </c>
      <c r="CQ397" s="235"/>
      <c r="CR397" s="236"/>
      <c r="CS397" s="222" t="str">
        <f t="shared" si="89"/>
        <v/>
      </c>
      <c r="CT397" s="237" t="str">
        <f t="shared" si="90"/>
        <v/>
      </c>
      <c r="CU397" s="238"/>
      <c r="CV397" s="239"/>
      <c r="CW397" s="240"/>
    </row>
    <row r="398" spans="2:101" ht="16.5" customHeight="1">
      <c r="B398" s="122"/>
      <c r="E398" s="122"/>
      <c r="F398" s="194"/>
      <c r="G398" s="195"/>
      <c r="H398" s="195"/>
      <c r="I398" s="195"/>
      <c r="J398" s="196"/>
      <c r="K398" s="197"/>
      <c r="L398" s="198"/>
      <c r="M398" s="199"/>
      <c r="N398" s="200"/>
      <c r="O398" s="201"/>
      <c r="P398" s="201"/>
      <c r="Q398" s="201"/>
      <c r="R398" s="201"/>
      <c r="S398" s="201"/>
      <c r="T398" s="201"/>
      <c r="U398" s="201"/>
      <c r="V398" s="201"/>
      <c r="W398" s="201"/>
      <c r="X398" s="202"/>
      <c r="Y398" s="203"/>
      <c r="Z398" s="204"/>
      <c r="AA398" s="205"/>
      <c r="AB398" s="206"/>
      <c r="AC398" s="206"/>
      <c r="AD398" s="194"/>
      <c r="AE398" s="201"/>
      <c r="AF398" s="207"/>
      <c r="AG398" s="208"/>
      <c r="AH398" s="209"/>
      <c r="AI398" s="210"/>
      <c r="AJ398" s="197"/>
      <c r="AK398" s="201"/>
      <c r="AL398" s="196"/>
      <c r="AM398" s="201"/>
      <c r="AN398" s="201"/>
      <c r="AO398" s="201"/>
      <c r="AP398" s="211"/>
      <c r="AQ398" s="212"/>
      <c r="AR398" s="201"/>
      <c r="AS398" s="201"/>
      <c r="AT398" s="201"/>
      <c r="AU398" s="201"/>
      <c r="AV398" s="202"/>
      <c r="AW398" s="194"/>
      <c r="AX398" s="201"/>
      <c r="AY398" s="213"/>
      <c r="AZ398" s="214"/>
      <c r="BA398" s="215"/>
      <c r="BB398" s="216"/>
      <c r="BC398" s="217" t="str">
        <f t="shared" si="78"/>
        <v/>
      </c>
      <c r="BD398" s="218"/>
      <c r="BE398" s="219"/>
      <c r="BF398" s="220"/>
      <c r="BG398" s="219"/>
      <c r="BH398" s="219"/>
      <c r="BI398" s="220"/>
      <c r="BJ398" s="218"/>
      <c r="BK398" s="219"/>
      <c r="BL398" s="197"/>
      <c r="BM398" s="215"/>
      <c r="BN398" s="221"/>
      <c r="BO398" s="222" t="str">
        <f t="shared" si="79"/>
        <v/>
      </c>
      <c r="BP398" s="217" t="str">
        <f t="shared" si="80"/>
        <v/>
      </c>
      <c r="BQ398" s="215"/>
      <c r="BR398" s="224"/>
      <c r="BS398" s="225"/>
      <c r="BT398" s="223"/>
      <c r="BU398" s="215"/>
      <c r="BV398" s="226"/>
      <c r="BW398" s="222" t="str">
        <f t="shared" si="81"/>
        <v/>
      </c>
      <c r="BX398" s="223" t="str">
        <f t="shared" si="82"/>
        <v/>
      </c>
      <c r="BY398" s="215"/>
      <c r="BZ398" s="227"/>
      <c r="CA398" s="227"/>
      <c r="CB398" s="228"/>
      <c r="CC398" s="229"/>
      <c r="CD398" s="230" t="str">
        <f t="shared" si="83"/>
        <v/>
      </c>
      <c r="CE398" s="231" t="str">
        <f t="shared" si="84"/>
        <v/>
      </c>
      <c r="CF398" s="232" t="str">
        <f t="shared" si="85"/>
        <v/>
      </c>
      <c r="CG398" s="233" t="str">
        <f t="shared" si="86"/>
        <v/>
      </c>
      <c r="CH398" s="207" t="str">
        <f>IF(OR(G398="",CC398= ""), "", IF(ISERROR(SMALL((CJ398,CN398,CV398), 1)-CC398), "",  SMALL((CJ398,CN398,CV398), 1)-CC398))</f>
        <v/>
      </c>
      <c r="CI398" s="234"/>
      <c r="CJ398" s="235"/>
      <c r="CK398" s="236"/>
      <c r="CL398" s="222" t="str">
        <f t="shared" si="87"/>
        <v/>
      </c>
      <c r="CM398" s="237" t="str">
        <f>IF(OR(G398="", CJ398="",CK398=""), "", IF(ISERROR(SMALL((CN398,CV398), 1)-CK398), "",  SMALL((CN398,CV398), 1)-CK398))</f>
        <v/>
      </c>
      <c r="CN398" s="235"/>
      <c r="CO398" s="236"/>
      <c r="CP398" s="224" t="str">
        <f t="shared" si="88"/>
        <v/>
      </c>
      <c r="CQ398" s="235"/>
      <c r="CR398" s="236"/>
      <c r="CS398" s="222" t="str">
        <f t="shared" si="89"/>
        <v/>
      </c>
      <c r="CT398" s="237" t="str">
        <f t="shared" si="90"/>
        <v/>
      </c>
      <c r="CU398" s="238"/>
      <c r="CV398" s="239"/>
      <c r="CW398" s="240"/>
    </row>
    <row r="399" spans="2:101" ht="16.5" customHeight="1">
      <c r="B399" s="122"/>
      <c r="E399" s="122"/>
      <c r="F399" s="194"/>
      <c r="G399" s="195"/>
      <c r="H399" s="195"/>
      <c r="I399" s="195"/>
      <c r="J399" s="196"/>
      <c r="K399" s="197"/>
      <c r="L399" s="198"/>
      <c r="M399" s="199"/>
      <c r="N399" s="200"/>
      <c r="O399" s="201"/>
      <c r="P399" s="201"/>
      <c r="Q399" s="201"/>
      <c r="R399" s="201"/>
      <c r="S399" s="201"/>
      <c r="T399" s="201"/>
      <c r="U399" s="201"/>
      <c r="V399" s="201"/>
      <c r="W399" s="201"/>
      <c r="X399" s="202"/>
      <c r="Y399" s="203"/>
      <c r="Z399" s="204"/>
      <c r="AA399" s="205"/>
      <c r="AB399" s="206"/>
      <c r="AC399" s="206"/>
      <c r="AD399" s="194"/>
      <c r="AE399" s="201"/>
      <c r="AF399" s="207"/>
      <c r="AG399" s="208"/>
      <c r="AH399" s="209"/>
      <c r="AI399" s="210"/>
      <c r="AJ399" s="197"/>
      <c r="AK399" s="201"/>
      <c r="AL399" s="196"/>
      <c r="AM399" s="201"/>
      <c r="AN399" s="201"/>
      <c r="AO399" s="201"/>
      <c r="AP399" s="211"/>
      <c r="AQ399" s="212"/>
      <c r="AR399" s="201"/>
      <c r="AS399" s="201"/>
      <c r="AT399" s="201"/>
      <c r="AU399" s="201"/>
      <c r="AV399" s="202"/>
      <c r="AW399" s="194"/>
      <c r="AX399" s="201"/>
      <c r="AY399" s="213"/>
      <c r="AZ399" s="214"/>
      <c r="BA399" s="215"/>
      <c r="BB399" s="216"/>
      <c r="BC399" s="217" t="str">
        <f t="shared" si="78"/>
        <v/>
      </c>
      <c r="BD399" s="218"/>
      <c r="BE399" s="219"/>
      <c r="BF399" s="220"/>
      <c r="BG399" s="219"/>
      <c r="BH399" s="219"/>
      <c r="BI399" s="220"/>
      <c r="BJ399" s="218"/>
      <c r="BK399" s="219"/>
      <c r="BL399" s="197"/>
      <c r="BM399" s="215"/>
      <c r="BN399" s="221"/>
      <c r="BO399" s="222" t="str">
        <f t="shared" si="79"/>
        <v/>
      </c>
      <c r="BP399" s="217" t="str">
        <f t="shared" si="80"/>
        <v/>
      </c>
      <c r="BQ399" s="215"/>
      <c r="BR399" s="224"/>
      <c r="BS399" s="225"/>
      <c r="BT399" s="223"/>
      <c r="BU399" s="215"/>
      <c r="BV399" s="226"/>
      <c r="BW399" s="222" t="str">
        <f t="shared" si="81"/>
        <v/>
      </c>
      <c r="BX399" s="223" t="str">
        <f t="shared" si="82"/>
        <v/>
      </c>
      <c r="BY399" s="215"/>
      <c r="BZ399" s="227"/>
      <c r="CA399" s="227"/>
      <c r="CB399" s="228"/>
      <c r="CC399" s="229"/>
      <c r="CD399" s="230" t="str">
        <f t="shared" si="83"/>
        <v/>
      </c>
      <c r="CE399" s="231" t="str">
        <f t="shared" si="84"/>
        <v/>
      </c>
      <c r="CF399" s="232" t="str">
        <f t="shared" si="85"/>
        <v/>
      </c>
      <c r="CG399" s="233" t="str">
        <f t="shared" si="86"/>
        <v/>
      </c>
      <c r="CH399" s="207" t="str">
        <f>IF(OR(G399="",CC399= ""), "", IF(ISERROR(SMALL((CJ399,CN399,CV399), 1)-CC399), "",  SMALL((CJ399,CN399,CV399), 1)-CC399))</f>
        <v/>
      </c>
      <c r="CI399" s="234"/>
      <c r="CJ399" s="235"/>
      <c r="CK399" s="236"/>
      <c r="CL399" s="222" t="str">
        <f t="shared" si="87"/>
        <v/>
      </c>
      <c r="CM399" s="237" t="str">
        <f>IF(OR(G399="", CJ399="",CK399=""), "", IF(ISERROR(SMALL((CN399,CV399), 1)-CK399), "",  SMALL((CN399,CV399), 1)-CK399))</f>
        <v/>
      </c>
      <c r="CN399" s="235"/>
      <c r="CO399" s="236"/>
      <c r="CP399" s="224" t="str">
        <f t="shared" si="88"/>
        <v/>
      </c>
      <c r="CQ399" s="235"/>
      <c r="CR399" s="236"/>
      <c r="CS399" s="222" t="str">
        <f t="shared" si="89"/>
        <v/>
      </c>
      <c r="CT399" s="237" t="str">
        <f t="shared" si="90"/>
        <v/>
      </c>
      <c r="CU399" s="238"/>
      <c r="CV399" s="239"/>
      <c r="CW399" s="240"/>
    </row>
    <row r="400" spans="2:101" ht="16.5" customHeight="1">
      <c r="B400" s="122"/>
      <c r="E400" s="122"/>
      <c r="F400" s="194"/>
      <c r="G400" s="195"/>
      <c r="H400" s="195"/>
      <c r="I400" s="195"/>
      <c r="J400" s="196"/>
      <c r="K400" s="197"/>
      <c r="L400" s="198"/>
      <c r="M400" s="199"/>
      <c r="N400" s="200"/>
      <c r="O400" s="201"/>
      <c r="P400" s="201"/>
      <c r="Q400" s="201"/>
      <c r="R400" s="201"/>
      <c r="S400" s="201"/>
      <c r="T400" s="201"/>
      <c r="U400" s="201"/>
      <c r="V400" s="201"/>
      <c r="W400" s="201"/>
      <c r="X400" s="202"/>
      <c r="Y400" s="203"/>
      <c r="Z400" s="204"/>
      <c r="AA400" s="205"/>
      <c r="AB400" s="206"/>
      <c r="AC400" s="206"/>
      <c r="AD400" s="194"/>
      <c r="AE400" s="201"/>
      <c r="AF400" s="207"/>
      <c r="AG400" s="208"/>
      <c r="AH400" s="209"/>
      <c r="AI400" s="210"/>
      <c r="AJ400" s="197"/>
      <c r="AK400" s="201"/>
      <c r="AL400" s="196"/>
      <c r="AM400" s="201"/>
      <c r="AN400" s="201"/>
      <c r="AO400" s="201"/>
      <c r="AP400" s="211"/>
      <c r="AQ400" s="212"/>
      <c r="AR400" s="201"/>
      <c r="AS400" s="201"/>
      <c r="AT400" s="201"/>
      <c r="AU400" s="201"/>
      <c r="AV400" s="202"/>
      <c r="AW400" s="194"/>
      <c r="AX400" s="201"/>
      <c r="AY400" s="213"/>
      <c r="AZ400" s="214"/>
      <c r="BA400" s="215"/>
      <c r="BB400" s="216"/>
      <c r="BC400" s="217" t="str">
        <f t="shared" si="78"/>
        <v/>
      </c>
      <c r="BD400" s="218"/>
      <c r="BE400" s="219"/>
      <c r="BF400" s="220"/>
      <c r="BG400" s="219"/>
      <c r="BH400" s="219"/>
      <c r="BI400" s="220"/>
      <c r="BJ400" s="218"/>
      <c r="BK400" s="219"/>
      <c r="BL400" s="197"/>
      <c r="BM400" s="215"/>
      <c r="BN400" s="221"/>
      <c r="BO400" s="222" t="str">
        <f t="shared" si="79"/>
        <v/>
      </c>
      <c r="BP400" s="217" t="str">
        <f t="shared" si="80"/>
        <v/>
      </c>
      <c r="BQ400" s="215"/>
      <c r="BR400" s="224"/>
      <c r="BS400" s="225"/>
      <c r="BT400" s="223"/>
      <c r="BU400" s="215"/>
      <c r="BV400" s="226"/>
      <c r="BW400" s="222" t="str">
        <f t="shared" si="81"/>
        <v/>
      </c>
      <c r="BX400" s="223" t="str">
        <f t="shared" si="82"/>
        <v/>
      </c>
      <c r="BY400" s="215"/>
      <c r="BZ400" s="227"/>
      <c r="CA400" s="227"/>
      <c r="CB400" s="228"/>
      <c r="CC400" s="229"/>
      <c r="CD400" s="230" t="str">
        <f t="shared" si="83"/>
        <v/>
      </c>
      <c r="CE400" s="231" t="str">
        <f t="shared" si="84"/>
        <v/>
      </c>
      <c r="CF400" s="232" t="str">
        <f t="shared" si="85"/>
        <v/>
      </c>
      <c r="CG400" s="233" t="str">
        <f t="shared" si="86"/>
        <v/>
      </c>
      <c r="CH400" s="207" t="str">
        <f>IF(OR(G400="",CC400= ""), "", IF(ISERROR(SMALL((CJ400,CN400,CV400), 1)-CC400), "",  SMALL((CJ400,CN400,CV400), 1)-CC400))</f>
        <v/>
      </c>
      <c r="CI400" s="234"/>
      <c r="CJ400" s="235"/>
      <c r="CK400" s="236"/>
      <c r="CL400" s="222" t="str">
        <f t="shared" si="87"/>
        <v/>
      </c>
      <c r="CM400" s="237" t="str">
        <f>IF(OR(G400="", CJ400="",CK400=""), "", IF(ISERROR(SMALL((CN400,CV400), 1)-CK400), "",  SMALL((CN400,CV400), 1)-CK400))</f>
        <v/>
      </c>
      <c r="CN400" s="235"/>
      <c r="CO400" s="236"/>
      <c r="CP400" s="224" t="str">
        <f t="shared" si="88"/>
        <v/>
      </c>
      <c r="CQ400" s="235"/>
      <c r="CR400" s="236"/>
      <c r="CS400" s="222" t="str">
        <f t="shared" si="89"/>
        <v/>
      </c>
      <c r="CT400" s="237" t="str">
        <f t="shared" si="90"/>
        <v/>
      </c>
      <c r="CU400" s="238"/>
      <c r="CV400" s="239"/>
      <c r="CW400" s="240"/>
    </row>
    <row r="401" spans="2:101" ht="16.5" customHeight="1">
      <c r="B401" s="122"/>
      <c r="E401" s="122"/>
      <c r="F401" s="194"/>
      <c r="G401" s="195"/>
      <c r="H401" s="195"/>
      <c r="I401" s="195"/>
      <c r="J401" s="196"/>
      <c r="K401" s="197"/>
      <c r="L401" s="198"/>
      <c r="M401" s="199"/>
      <c r="N401" s="200"/>
      <c r="O401" s="201"/>
      <c r="P401" s="201"/>
      <c r="Q401" s="201"/>
      <c r="R401" s="201"/>
      <c r="S401" s="201"/>
      <c r="T401" s="201"/>
      <c r="U401" s="201"/>
      <c r="V401" s="201"/>
      <c r="W401" s="201"/>
      <c r="X401" s="202"/>
      <c r="Y401" s="203"/>
      <c r="Z401" s="204"/>
      <c r="AA401" s="205"/>
      <c r="AB401" s="206"/>
      <c r="AC401" s="206"/>
      <c r="AD401" s="194"/>
      <c r="AE401" s="201"/>
      <c r="AF401" s="207"/>
      <c r="AG401" s="208"/>
      <c r="AH401" s="209"/>
      <c r="AI401" s="210"/>
      <c r="AJ401" s="197"/>
      <c r="AK401" s="201"/>
      <c r="AL401" s="196"/>
      <c r="AM401" s="201"/>
      <c r="AN401" s="201"/>
      <c r="AO401" s="201"/>
      <c r="AP401" s="211"/>
      <c r="AQ401" s="212"/>
      <c r="AR401" s="201"/>
      <c r="AS401" s="201"/>
      <c r="AT401" s="201"/>
      <c r="AU401" s="201"/>
      <c r="AV401" s="202"/>
      <c r="AW401" s="194"/>
      <c r="AX401" s="201"/>
      <c r="AY401" s="213"/>
      <c r="AZ401" s="214"/>
      <c r="BA401" s="215"/>
      <c r="BB401" s="216"/>
      <c r="BC401" s="217" t="str">
        <f t="shared" si="78"/>
        <v/>
      </c>
      <c r="BD401" s="218"/>
      <c r="BE401" s="219"/>
      <c r="BF401" s="220"/>
      <c r="BG401" s="219"/>
      <c r="BH401" s="219"/>
      <c r="BI401" s="220"/>
      <c r="BJ401" s="218"/>
      <c r="BK401" s="219"/>
      <c r="BL401" s="197"/>
      <c r="BM401" s="215"/>
      <c r="BN401" s="221"/>
      <c r="BO401" s="222" t="str">
        <f t="shared" si="79"/>
        <v/>
      </c>
      <c r="BP401" s="217" t="str">
        <f t="shared" si="80"/>
        <v/>
      </c>
      <c r="BQ401" s="215"/>
      <c r="BR401" s="224"/>
      <c r="BS401" s="225"/>
      <c r="BT401" s="223"/>
      <c r="BU401" s="215"/>
      <c r="BV401" s="226"/>
      <c r="BW401" s="222" t="str">
        <f t="shared" si="81"/>
        <v/>
      </c>
      <c r="BX401" s="223" t="str">
        <f t="shared" si="82"/>
        <v/>
      </c>
      <c r="BY401" s="215"/>
      <c r="BZ401" s="227"/>
      <c r="CA401" s="227"/>
      <c r="CB401" s="228"/>
      <c r="CC401" s="229"/>
      <c r="CD401" s="230" t="str">
        <f t="shared" si="83"/>
        <v/>
      </c>
      <c r="CE401" s="231" t="str">
        <f t="shared" si="84"/>
        <v/>
      </c>
      <c r="CF401" s="232" t="str">
        <f t="shared" si="85"/>
        <v/>
      </c>
      <c r="CG401" s="233" t="str">
        <f t="shared" si="86"/>
        <v/>
      </c>
      <c r="CH401" s="207" t="str">
        <f>IF(OR(G401="",CC401= ""), "", IF(ISERROR(SMALL((CJ401,CN401,CV401), 1)-CC401), "",  SMALL((CJ401,CN401,CV401), 1)-CC401))</f>
        <v/>
      </c>
      <c r="CI401" s="234"/>
      <c r="CJ401" s="235"/>
      <c r="CK401" s="236"/>
      <c r="CL401" s="222" t="str">
        <f t="shared" si="87"/>
        <v/>
      </c>
      <c r="CM401" s="237" t="str">
        <f>IF(OR(G401="", CJ401="",CK401=""), "", IF(ISERROR(SMALL((CN401,CV401), 1)-CK401), "",  SMALL((CN401,CV401), 1)-CK401))</f>
        <v/>
      </c>
      <c r="CN401" s="235"/>
      <c r="CO401" s="236"/>
      <c r="CP401" s="224" t="str">
        <f t="shared" si="88"/>
        <v/>
      </c>
      <c r="CQ401" s="235"/>
      <c r="CR401" s="236"/>
      <c r="CS401" s="222" t="str">
        <f t="shared" si="89"/>
        <v/>
      </c>
      <c r="CT401" s="237" t="str">
        <f t="shared" si="90"/>
        <v/>
      </c>
      <c r="CU401" s="238"/>
      <c r="CV401" s="239"/>
      <c r="CW401" s="240"/>
    </row>
    <row r="402" spans="2:101" ht="16.5" customHeight="1">
      <c r="B402" s="122"/>
      <c r="E402" s="122"/>
      <c r="F402" s="194"/>
      <c r="G402" s="195"/>
      <c r="H402" s="195"/>
      <c r="I402" s="195"/>
      <c r="J402" s="196"/>
      <c r="K402" s="197"/>
      <c r="L402" s="198"/>
      <c r="M402" s="199"/>
      <c r="N402" s="200"/>
      <c r="O402" s="201"/>
      <c r="P402" s="201"/>
      <c r="Q402" s="201"/>
      <c r="R402" s="201"/>
      <c r="S402" s="201"/>
      <c r="T402" s="201"/>
      <c r="U402" s="201"/>
      <c r="V402" s="201"/>
      <c r="W402" s="201"/>
      <c r="X402" s="202"/>
      <c r="Y402" s="203"/>
      <c r="Z402" s="204"/>
      <c r="AA402" s="205"/>
      <c r="AB402" s="206"/>
      <c r="AC402" s="206"/>
      <c r="AD402" s="194"/>
      <c r="AE402" s="201"/>
      <c r="AF402" s="207"/>
      <c r="AG402" s="208"/>
      <c r="AH402" s="209"/>
      <c r="AI402" s="210"/>
      <c r="AJ402" s="197"/>
      <c r="AK402" s="201"/>
      <c r="AL402" s="196"/>
      <c r="AM402" s="201"/>
      <c r="AN402" s="201"/>
      <c r="AO402" s="201"/>
      <c r="AP402" s="211"/>
      <c r="AQ402" s="212"/>
      <c r="AR402" s="201"/>
      <c r="AS402" s="201"/>
      <c r="AT402" s="201"/>
      <c r="AU402" s="201"/>
      <c r="AV402" s="202"/>
      <c r="AW402" s="194"/>
      <c r="AX402" s="201"/>
      <c r="AY402" s="213"/>
      <c r="AZ402" s="214"/>
      <c r="BA402" s="215"/>
      <c r="BB402" s="216"/>
      <c r="BC402" s="217" t="str">
        <f t="shared" si="78"/>
        <v/>
      </c>
      <c r="BD402" s="218"/>
      <c r="BE402" s="219"/>
      <c r="BF402" s="220"/>
      <c r="BG402" s="219"/>
      <c r="BH402" s="219"/>
      <c r="BI402" s="220"/>
      <c r="BJ402" s="218"/>
      <c r="BK402" s="219"/>
      <c r="BL402" s="197"/>
      <c r="BM402" s="215"/>
      <c r="BN402" s="221"/>
      <c r="BO402" s="222" t="str">
        <f t="shared" si="79"/>
        <v/>
      </c>
      <c r="BP402" s="217" t="str">
        <f t="shared" si="80"/>
        <v/>
      </c>
      <c r="BQ402" s="215"/>
      <c r="BR402" s="224"/>
      <c r="BS402" s="225"/>
      <c r="BT402" s="223"/>
      <c r="BU402" s="215"/>
      <c r="BV402" s="226"/>
      <c r="BW402" s="222" t="str">
        <f t="shared" si="81"/>
        <v/>
      </c>
      <c r="BX402" s="223" t="str">
        <f t="shared" si="82"/>
        <v/>
      </c>
      <c r="BY402" s="215"/>
      <c r="BZ402" s="227"/>
      <c r="CA402" s="227"/>
      <c r="CB402" s="228"/>
      <c r="CC402" s="229"/>
      <c r="CD402" s="230" t="str">
        <f t="shared" si="83"/>
        <v/>
      </c>
      <c r="CE402" s="231" t="str">
        <f t="shared" si="84"/>
        <v/>
      </c>
      <c r="CF402" s="232" t="str">
        <f t="shared" si="85"/>
        <v/>
      </c>
      <c r="CG402" s="233" t="str">
        <f t="shared" si="86"/>
        <v/>
      </c>
      <c r="CH402" s="207" t="str">
        <f>IF(OR(G402="",CC402= ""), "", IF(ISERROR(SMALL((CJ402,CN402,CV402), 1)-CC402), "",  SMALL((CJ402,CN402,CV402), 1)-CC402))</f>
        <v/>
      </c>
      <c r="CI402" s="234"/>
      <c r="CJ402" s="235"/>
      <c r="CK402" s="236"/>
      <c r="CL402" s="222" t="str">
        <f t="shared" si="87"/>
        <v/>
      </c>
      <c r="CM402" s="237" t="str">
        <f>IF(OR(G402="", CJ402="",CK402=""), "", IF(ISERROR(SMALL((CN402,CV402), 1)-CK402), "",  SMALL((CN402,CV402), 1)-CK402))</f>
        <v/>
      </c>
      <c r="CN402" s="235"/>
      <c r="CO402" s="236"/>
      <c r="CP402" s="224" t="str">
        <f t="shared" si="88"/>
        <v/>
      </c>
      <c r="CQ402" s="235"/>
      <c r="CR402" s="236"/>
      <c r="CS402" s="222" t="str">
        <f t="shared" si="89"/>
        <v/>
      </c>
      <c r="CT402" s="237" t="str">
        <f t="shared" si="90"/>
        <v/>
      </c>
      <c r="CU402" s="238"/>
      <c r="CV402" s="239"/>
      <c r="CW402" s="240"/>
    </row>
    <row r="403" spans="2:101" ht="16.5" customHeight="1">
      <c r="B403" s="122"/>
      <c r="E403" s="122"/>
      <c r="F403" s="194"/>
      <c r="G403" s="195"/>
      <c r="H403" s="195"/>
      <c r="I403" s="195"/>
      <c r="J403" s="196"/>
      <c r="K403" s="197"/>
      <c r="L403" s="198"/>
      <c r="M403" s="199"/>
      <c r="N403" s="200"/>
      <c r="O403" s="201"/>
      <c r="P403" s="201"/>
      <c r="Q403" s="201"/>
      <c r="R403" s="201"/>
      <c r="S403" s="201"/>
      <c r="T403" s="201"/>
      <c r="U403" s="201"/>
      <c r="V403" s="201"/>
      <c r="W403" s="201"/>
      <c r="X403" s="202"/>
      <c r="Y403" s="203"/>
      <c r="Z403" s="204"/>
      <c r="AA403" s="205"/>
      <c r="AB403" s="206"/>
      <c r="AC403" s="206"/>
      <c r="AD403" s="194"/>
      <c r="AE403" s="201"/>
      <c r="AF403" s="207"/>
      <c r="AG403" s="208"/>
      <c r="AH403" s="209"/>
      <c r="AI403" s="210"/>
      <c r="AJ403" s="197"/>
      <c r="AK403" s="201"/>
      <c r="AL403" s="196"/>
      <c r="AM403" s="201"/>
      <c r="AN403" s="201"/>
      <c r="AO403" s="201"/>
      <c r="AP403" s="211"/>
      <c r="AQ403" s="212"/>
      <c r="AR403" s="201"/>
      <c r="AS403" s="201"/>
      <c r="AT403" s="201"/>
      <c r="AU403" s="201"/>
      <c r="AV403" s="202"/>
      <c r="AW403" s="194"/>
      <c r="AX403" s="201"/>
      <c r="AY403" s="213"/>
      <c r="AZ403" s="214"/>
      <c r="BA403" s="215"/>
      <c r="BB403" s="216"/>
      <c r="BC403" s="217" t="str">
        <f t="shared" si="78"/>
        <v/>
      </c>
      <c r="BD403" s="218"/>
      <c r="BE403" s="219"/>
      <c r="BF403" s="220"/>
      <c r="BG403" s="219"/>
      <c r="BH403" s="219"/>
      <c r="BI403" s="220"/>
      <c r="BJ403" s="218"/>
      <c r="BK403" s="219"/>
      <c r="BL403" s="197"/>
      <c r="BM403" s="215"/>
      <c r="BN403" s="221"/>
      <c r="BO403" s="222" t="str">
        <f t="shared" si="79"/>
        <v/>
      </c>
      <c r="BP403" s="217" t="str">
        <f t="shared" si="80"/>
        <v/>
      </c>
      <c r="BQ403" s="215"/>
      <c r="BR403" s="224"/>
      <c r="BS403" s="225"/>
      <c r="BT403" s="223"/>
      <c r="BU403" s="215"/>
      <c r="BV403" s="226"/>
      <c r="BW403" s="222" t="str">
        <f t="shared" si="81"/>
        <v/>
      </c>
      <c r="BX403" s="223" t="str">
        <f t="shared" si="82"/>
        <v/>
      </c>
      <c r="BY403" s="215"/>
      <c r="BZ403" s="227"/>
      <c r="CA403" s="227"/>
      <c r="CB403" s="228"/>
      <c r="CC403" s="229"/>
      <c r="CD403" s="230" t="str">
        <f t="shared" si="83"/>
        <v/>
      </c>
      <c r="CE403" s="231" t="str">
        <f t="shared" si="84"/>
        <v/>
      </c>
      <c r="CF403" s="232" t="str">
        <f t="shared" si="85"/>
        <v/>
      </c>
      <c r="CG403" s="233" t="str">
        <f t="shared" si="86"/>
        <v/>
      </c>
      <c r="CH403" s="207" t="str">
        <f>IF(OR(G403="",CC403= ""), "", IF(ISERROR(SMALL((CJ403,CN403,CV403), 1)-CC403), "",  SMALL((CJ403,CN403,CV403), 1)-CC403))</f>
        <v/>
      </c>
      <c r="CI403" s="234"/>
      <c r="CJ403" s="235"/>
      <c r="CK403" s="236"/>
      <c r="CL403" s="222" t="str">
        <f t="shared" si="87"/>
        <v/>
      </c>
      <c r="CM403" s="237" t="str">
        <f>IF(OR(G403="", CJ403="",CK403=""), "", IF(ISERROR(SMALL((CN403,CV403), 1)-CK403), "",  SMALL((CN403,CV403), 1)-CK403))</f>
        <v/>
      </c>
      <c r="CN403" s="235"/>
      <c r="CO403" s="236"/>
      <c r="CP403" s="224" t="str">
        <f t="shared" si="88"/>
        <v/>
      </c>
      <c r="CQ403" s="235"/>
      <c r="CR403" s="236"/>
      <c r="CS403" s="222" t="str">
        <f t="shared" si="89"/>
        <v/>
      </c>
      <c r="CT403" s="237" t="str">
        <f t="shared" si="90"/>
        <v/>
      </c>
      <c r="CU403" s="238"/>
      <c r="CV403" s="239"/>
      <c r="CW403" s="240"/>
    </row>
    <row r="404" spans="2:101" ht="16.5" customHeight="1">
      <c r="B404" s="122"/>
      <c r="E404" s="122"/>
      <c r="F404" s="194"/>
      <c r="G404" s="195"/>
      <c r="H404" s="195"/>
      <c r="I404" s="195"/>
      <c r="J404" s="196"/>
      <c r="K404" s="197"/>
      <c r="L404" s="198"/>
      <c r="M404" s="199"/>
      <c r="N404" s="200"/>
      <c r="O404" s="201"/>
      <c r="P404" s="201"/>
      <c r="Q404" s="201"/>
      <c r="R404" s="201"/>
      <c r="S404" s="201"/>
      <c r="T404" s="201"/>
      <c r="U404" s="201"/>
      <c r="V404" s="201"/>
      <c r="W404" s="201"/>
      <c r="X404" s="202"/>
      <c r="Y404" s="203"/>
      <c r="Z404" s="204"/>
      <c r="AA404" s="205"/>
      <c r="AB404" s="206"/>
      <c r="AC404" s="206"/>
      <c r="AD404" s="194"/>
      <c r="AE404" s="201"/>
      <c r="AF404" s="207"/>
      <c r="AG404" s="208"/>
      <c r="AH404" s="209"/>
      <c r="AI404" s="210"/>
      <c r="AJ404" s="197"/>
      <c r="AK404" s="201"/>
      <c r="AL404" s="196"/>
      <c r="AM404" s="201"/>
      <c r="AN404" s="201"/>
      <c r="AO404" s="201"/>
      <c r="AP404" s="211"/>
      <c r="AQ404" s="212"/>
      <c r="AR404" s="201"/>
      <c r="AS404" s="201"/>
      <c r="AT404" s="201"/>
      <c r="AU404" s="201"/>
      <c r="AV404" s="202"/>
      <c r="AW404" s="194"/>
      <c r="AX404" s="201"/>
      <c r="AY404" s="213"/>
      <c r="AZ404" s="214"/>
      <c r="BA404" s="215"/>
      <c r="BB404" s="216"/>
      <c r="BC404" s="217" t="str">
        <f t="shared" si="78"/>
        <v/>
      </c>
      <c r="BD404" s="218"/>
      <c r="BE404" s="219"/>
      <c r="BF404" s="220"/>
      <c r="BG404" s="219"/>
      <c r="BH404" s="219"/>
      <c r="BI404" s="220"/>
      <c r="BJ404" s="218"/>
      <c r="BK404" s="219"/>
      <c r="BL404" s="197"/>
      <c r="BM404" s="215"/>
      <c r="BN404" s="221"/>
      <c r="BO404" s="222" t="str">
        <f t="shared" si="79"/>
        <v/>
      </c>
      <c r="BP404" s="217" t="str">
        <f t="shared" si="80"/>
        <v/>
      </c>
      <c r="BQ404" s="215"/>
      <c r="BR404" s="224"/>
      <c r="BS404" s="225"/>
      <c r="BT404" s="223"/>
      <c r="BU404" s="215"/>
      <c r="BV404" s="226"/>
      <c r="BW404" s="222" t="str">
        <f t="shared" si="81"/>
        <v/>
      </c>
      <c r="BX404" s="223" t="str">
        <f t="shared" si="82"/>
        <v/>
      </c>
      <c r="BY404" s="215"/>
      <c r="BZ404" s="227"/>
      <c r="CA404" s="227"/>
      <c r="CB404" s="228"/>
      <c r="CC404" s="229"/>
      <c r="CD404" s="230" t="str">
        <f t="shared" si="83"/>
        <v/>
      </c>
      <c r="CE404" s="231" t="str">
        <f t="shared" si="84"/>
        <v/>
      </c>
      <c r="CF404" s="232" t="str">
        <f t="shared" si="85"/>
        <v/>
      </c>
      <c r="CG404" s="233" t="str">
        <f t="shared" si="86"/>
        <v/>
      </c>
      <c r="CH404" s="207" t="str">
        <f>IF(OR(G404="",CC404= ""), "", IF(ISERROR(SMALL((CJ404,CN404,CV404), 1)-CC404), "",  SMALL((CJ404,CN404,CV404), 1)-CC404))</f>
        <v/>
      </c>
      <c r="CI404" s="234"/>
      <c r="CJ404" s="235"/>
      <c r="CK404" s="236"/>
      <c r="CL404" s="222" t="str">
        <f t="shared" si="87"/>
        <v/>
      </c>
      <c r="CM404" s="237" t="str">
        <f>IF(OR(G404="", CJ404="",CK404=""), "", IF(ISERROR(SMALL((CN404,CV404), 1)-CK404), "",  SMALL((CN404,CV404), 1)-CK404))</f>
        <v/>
      </c>
      <c r="CN404" s="235"/>
      <c r="CO404" s="236"/>
      <c r="CP404" s="224" t="str">
        <f t="shared" si="88"/>
        <v/>
      </c>
      <c r="CQ404" s="235"/>
      <c r="CR404" s="236"/>
      <c r="CS404" s="222" t="str">
        <f t="shared" si="89"/>
        <v/>
      </c>
      <c r="CT404" s="237" t="str">
        <f t="shared" si="90"/>
        <v/>
      </c>
      <c r="CU404" s="238"/>
      <c r="CV404" s="239"/>
      <c r="CW404" s="240"/>
    </row>
    <row r="405" spans="2:101" ht="16.5" customHeight="1">
      <c r="B405" s="122"/>
      <c r="E405" s="122"/>
      <c r="F405" s="194"/>
      <c r="G405" s="195"/>
      <c r="H405" s="195"/>
      <c r="I405" s="195"/>
      <c r="J405" s="196"/>
      <c r="K405" s="197"/>
      <c r="L405" s="198"/>
      <c r="M405" s="199"/>
      <c r="N405" s="200"/>
      <c r="O405" s="201"/>
      <c r="P405" s="201"/>
      <c r="Q405" s="201"/>
      <c r="R405" s="201"/>
      <c r="S405" s="201"/>
      <c r="T405" s="201"/>
      <c r="U405" s="201"/>
      <c r="V405" s="201"/>
      <c r="W405" s="201"/>
      <c r="X405" s="202"/>
      <c r="Y405" s="203"/>
      <c r="Z405" s="204"/>
      <c r="AA405" s="205"/>
      <c r="AB405" s="206"/>
      <c r="AC405" s="206"/>
      <c r="AD405" s="194"/>
      <c r="AE405" s="201"/>
      <c r="AF405" s="207"/>
      <c r="AG405" s="208"/>
      <c r="AH405" s="209"/>
      <c r="AI405" s="210"/>
      <c r="AJ405" s="197"/>
      <c r="AK405" s="201"/>
      <c r="AL405" s="196"/>
      <c r="AM405" s="201"/>
      <c r="AN405" s="201"/>
      <c r="AO405" s="201"/>
      <c r="AP405" s="211"/>
      <c r="AQ405" s="212"/>
      <c r="AR405" s="201"/>
      <c r="AS405" s="201"/>
      <c r="AT405" s="201"/>
      <c r="AU405" s="201"/>
      <c r="AV405" s="202"/>
      <c r="AW405" s="194"/>
      <c r="AX405" s="201"/>
      <c r="AY405" s="213"/>
      <c r="AZ405" s="214"/>
      <c r="BA405" s="215"/>
      <c r="BB405" s="216"/>
      <c r="BC405" s="217" t="str">
        <f t="shared" si="78"/>
        <v/>
      </c>
      <c r="BD405" s="218"/>
      <c r="BE405" s="219"/>
      <c r="BF405" s="220"/>
      <c r="BG405" s="219"/>
      <c r="BH405" s="219"/>
      <c r="BI405" s="220"/>
      <c r="BJ405" s="218"/>
      <c r="BK405" s="219"/>
      <c r="BL405" s="197"/>
      <c r="BM405" s="215"/>
      <c r="BN405" s="221"/>
      <c r="BO405" s="222" t="str">
        <f t="shared" si="79"/>
        <v/>
      </c>
      <c r="BP405" s="217" t="str">
        <f t="shared" si="80"/>
        <v/>
      </c>
      <c r="BQ405" s="215"/>
      <c r="BR405" s="224"/>
      <c r="BS405" s="225"/>
      <c r="BT405" s="223"/>
      <c r="BU405" s="215"/>
      <c r="BV405" s="226"/>
      <c r="BW405" s="222" t="str">
        <f t="shared" si="81"/>
        <v/>
      </c>
      <c r="BX405" s="223" t="str">
        <f t="shared" si="82"/>
        <v/>
      </c>
      <c r="BY405" s="215"/>
      <c r="BZ405" s="227"/>
      <c r="CA405" s="227"/>
      <c r="CB405" s="228"/>
      <c r="CC405" s="229"/>
      <c r="CD405" s="230" t="str">
        <f t="shared" si="83"/>
        <v/>
      </c>
      <c r="CE405" s="231" t="str">
        <f t="shared" si="84"/>
        <v/>
      </c>
      <c r="CF405" s="232" t="str">
        <f t="shared" si="85"/>
        <v/>
      </c>
      <c r="CG405" s="233" t="str">
        <f t="shared" si="86"/>
        <v/>
      </c>
      <c r="CH405" s="207" t="str">
        <f>IF(OR(G405="",CC405= ""), "", IF(ISERROR(SMALL((CJ405,CN405,CV405), 1)-CC405), "",  SMALL((CJ405,CN405,CV405), 1)-CC405))</f>
        <v/>
      </c>
      <c r="CI405" s="234"/>
      <c r="CJ405" s="235"/>
      <c r="CK405" s="236"/>
      <c r="CL405" s="222" t="str">
        <f t="shared" si="87"/>
        <v/>
      </c>
      <c r="CM405" s="237" t="str">
        <f>IF(OR(G405="", CJ405="",CK405=""), "", IF(ISERROR(SMALL((CN405,CV405), 1)-CK405), "",  SMALL((CN405,CV405), 1)-CK405))</f>
        <v/>
      </c>
      <c r="CN405" s="235"/>
      <c r="CO405" s="236"/>
      <c r="CP405" s="224" t="str">
        <f t="shared" si="88"/>
        <v/>
      </c>
      <c r="CQ405" s="235"/>
      <c r="CR405" s="236"/>
      <c r="CS405" s="222" t="str">
        <f t="shared" si="89"/>
        <v/>
      </c>
      <c r="CT405" s="237" t="str">
        <f t="shared" si="90"/>
        <v/>
      </c>
      <c r="CU405" s="238"/>
      <c r="CV405" s="239"/>
      <c r="CW405" s="240"/>
    </row>
    <row r="406" spans="2:101" ht="16.5" customHeight="1">
      <c r="B406" s="122"/>
      <c r="E406" s="122"/>
      <c r="F406" s="194"/>
      <c r="G406" s="195"/>
      <c r="H406" s="195"/>
      <c r="I406" s="195"/>
      <c r="J406" s="196"/>
      <c r="K406" s="197"/>
      <c r="L406" s="198"/>
      <c r="M406" s="199"/>
      <c r="N406" s="200"/>
      <c r="O406" s="201"/>
      <c r="P406" s="201"/>
      <c r="Q406" s="201"/>
      <c r="R406" s="201"/>
      <c r="S406" s="201"/>
      <c r="T406" s="201"/>
      <c r="U406" s="201"/>
      <c r="V406" s="201"/>
      <c r="W406" s="201"/>
      <c r="X406" s="202"/>
      <c r="Y406" s="203"/>
      <c r="Z406" s="204"/>
      <c r="AA406" s="205"/>
      <c r="AB406" s="206"/>
      <c r="AC406" s="206"/>
      <c r="AD406" s="194"/>
      <c r="AE406" s="201"/>
      <c r="AF406" s="207"/>
      <c r="AG406" s="208"/>
      <c r="AH406" s="209"/>
      <c r="AI406" s="210"/>
      <c r="AJ406" s="197"/>
      <c r="AK406" s="201"/>
      <c r="AL406" s="196"/>
      <c r="AM406" s="201"/>
      <c r="AN406" s="201"/>
      <c r="AO406" s="201"/>
      <c r="AP406" s="211"/>
      <c r="AQ406" s="212"/>
      <c r="AR406" s="201"/>
      <c r="AS406" s="201"/>
      <c r="AT406" s="201"/>
      <c r="AU406" s="201"/>
      <c r="AV406" s="202"/>
      <c r="AW406" s="194"/>
      <c r="AX406" s="201"/>
      <c r="AY406" s="213"/>
      <c r="AZ406" s="214"/>
      <c r="BA406" s="215"/>
      <c r="BB406" s="216"/>
      <c r="BC406" s="217" t="str">
        <f t="shared" si="78"/>
        <v/>
      </c>
      <c r="BD406" s="218"/>
      <c r="BE406" s="219"/>
      <c r="BF406" s="220"/>
      <c r="BG406" s="219"/>
      <c r="BH406" s="219"/>
      <c r="BI406" s="220"/>
      <c r="BJ406" s="218"/>
      <c r="BK406" s="219"/>
      <c r="BL406" s="197"/>
      <c r="BM406" s="215"/>
      <c r="BN406" s="221"/>
      <c r="BO406" s="222" t="str">
        <f t="shared" si="79"/>
        <v/>
      </c>
      <c r="BP406" s="217" t="str">
        <f t="shared" si="80"/>
        <v/>
      </c>
      <c r="BQ406" s="215"/>
      <c r="BR406" s="224"/>
      <c r="BS406" s="225"/>
      <c r="BT406" s="223"/>
      <c r="BU406" s="215"/>
      <c r="BV406" s="226"/>
      <c r="BW406" s="222" t="str">
        <f t="shared" si="81"/>
        <v/>
      </c>
      <c r="BX406" s="223" t="str">
        <f t="shared" si="82"/>
        <v/>
      </c>
      <c r="BY406" s="215"/>
      <c r="BZ406" s="227"/>
      <c r="CA406" s="227"/>
      <c r="CB406" s="228"/>
      <c r="CC406" s="229"/>
      <c r="CD406" s="230" t="str">
        <f t="shared" si="83"/>
        <v/>
      </c>
      <c r="CE406" s="231" t="str">
        <f t="shared" si="84"/>
        <v/>
      </c>
      <c r="CF406" s="232" t="str">
        <f t="shared" si="85"/>
        <v/>
      </c>
      <c r="CG406" s="233" t="str">
        <f t="shared" si="86"/>
        <v/>
      </c>
      <c r="CH406" s="207" t="str">
        <f>IF(OR(G406="",CC406= ""), "", IF(ISERROR(SMALL((CJ406,CN406,CV406), 1)-CC406), "",  SMALL((CJ406,CN406,CV406), 1)-CC406))</f>
        <v/>
      </c>
      <c r="CI406" s="234"/>
      <c r="CJ406" s="235"/>
      <c r="CK406" s="236"/>
      <c r="CL406" s="222" t="str">
        <f t="shared" si="87"/>
        <v/>
      </c>
      <c r="CM406" s="237" t="str">
        <f>IF(OR(G406="", CJ406="",CK406=""), "", IF(ISERROR(SMALL((CN406,CV406), 1)-CK406), "",  SMALL((CN406,CV406), 1)-CK406))</f>
        <v/>
      </c>
      <c r="CN406" s="235"/>
      <c r="CO406" s="236"/>
      <c r="CP406" s="224" t="str">
        <f t="shared" si="88"/>
        <v/>
      </c>
      <c r="CQ406" s="235"/>
      <c r="CR406" s="236"/>
      <c r="CS406" s="222" t="str">
        <f t="shared" si="89"/>
        <v/>
      </c>
      <c r="CT406" s="237" t="str">
        <f t="shared" si="90"/>
        <v/>
      </c>
      <c r="CU406" s="238"/>
      <c r="CV406" s="239"/>
      <c r="CW406" s="240"/>
    </row>
    <row r="407" spans="2:101" ht="16.5" customHeight="1">
      <c r="B407" s="122"/>
      <c r="E407" s="122"/>
      <c r="F407" s="194"/>
      <c r="G407" s="195"/>
      <c r="H407" s="195"/>
      <c r="I407" s="195"/>
      <c r="J407" s="196"/>
      <c r="K407" s="197"/>
      <c r="L407" s="198"/>
      <c r="M407" s="199"/>
      <c r="N407" s="200"/>
      <c r="O407" s="201"/>
      <c r="P407" s="201"/>
      <c r="Q407" s="201"/>
      <c r="R407" s="201"/>
      <c r="S407" s="201"/>
      <c r="T407" s="201"/>
      <c r="U407" s="201"/>
      <c r="V407" s="201"/>
      <c r="W407" s="201"/>
      <c r="X407" s="202"/>
      <c r="Y407" s="203"/>
      <c r="Z407" s="204"/>
      <c r="AA407" s="205"/>
      <c r="AB407" s="206"/>
      <c r="AC407" s="206"/>
      <c r="AD407" s="194"/>
      <c r="AE407" s="201"/>
      <c r="AF407" s="207"/>
      <c r="AG407" s="208"/>
      <c r="AH407" s="209"/>
      <c r="AI407" s="210"/>
      <c r="AJ407" s="197"/>
      <c r="AK407" s="201"/>
      <c r="AL407" s="196"/>
      <c r="AM407" s="201"/>
      <c r="AN407" s="201"/>
      <c r="AO407" s="201"/>
      <c r="AP407" s="211"/>
      <c r="AQ407" s="212"/>
      <c r="AR407" s="201"/>
      <c r="AS407" s="201"/>
      <c r="AT407" s="201"/>
      <c r="AU407" s="201"/>
      <c r="AV407" s="202"/>
      <c r="AW407" s="194"/>
      <c r="AX407" s="201"/>
      <c r="AY407" s="213"/>
      <c r="AZ407" s="214"/>
      <c r="BA407" s="215"/>
      <c r="BB407" s="216"/>
      <c r="BC407" s="217" t="str">
        <f t="shared" si="78"/>
        <v/>
      </c>
      <c r="BD407" s="218"/>
      <c r="BE407" s="219"/>
      <c r="BF407" s="220"/>
      <c r="BG407" s="219"/>
      <c r="BH407" s="219"/>
      <c r="BI407" s="220"/>
      <c r="BJ407" s="218"/>
      <c r="BK407" s="219"/>
      <c r="BL407" s="197"/>
      <c r="BM407" s="215"/>
      <c r="BN407" s="221"/>
      <c r="BO407" s="222" t="str">
        <f t="shared" si="79"/>
        <v/>
      </c>
      <c r="BP407" s="217" t="str">
        <f t="shared" si="80"/>
        <v/>
      </c>
      <c r="BQ407" s="215"/>
      <c r="BR407" s="224"/>
      <c r="BS407" s="225"/>
      <c r="BT407" s="223"/>
      <c r="BU407" s="215"/>
      <c r="BV407" s="226"/>
      <c r="BW407" s="222" t="str">
        <f t="shared" si="81"/>
        <v/>
      </c>
      <c r="BX407" s="223" t="str">
        <f t="shared" si="82"/>
        <v/>
      </c>
      <c r="BY407" s="215"/>
      <c r="BZ407" s="227"/>
      <c r="CA407" s="227"/>
      <c r="CB407" s="228"/>
      <c r="CC407" s="229"/>
      <c r="CD407" s="230" t="str">
        <f t="shared" si="83"/>
        <v/>
      </c>
      <c r="CE407" s="231" t="str">
        <f t="shared" si="84"/>
        <v/>
      </c>
      <c r="CF407" s="232" t="str">
        <f t="shared" si="85"/>
        <v/>
      </c>
      <c r="CG407" s="233" t="str">
        <f t="shared" si="86"/>
        <v/>
      </c>
      <c r="CH407" s="207" t="str">
        <f>IF(OR(G407="",CC407= ""), "", IF(ISERROR(SMALL((CJ407,CN407,CV407), 1)-CC407), "",  SMALL((CJ407,CN407,CV407), 1)-CC407))</f>
        <v/>
      </c>
      <c r="CI407" s="234"/>
      <c r="CJ407" s="235"/>
      <c r="CK407" s="236"/>
      <c r="CL407" s="222" t="str">
        <f t="shared" si="87"/>
        <v/>
      </c>
      <c r="CM407" s="237" t="str">
        <f>IF(OR(G407="", CJ407="",CK407=""), "", IF(ISERROR(SMALL((CN407,CV407), 1)-CK407), "",  SMALL((CN407,CV407), 1)-CK407))</f>
        <v/>
      </c>
      <c r="CN407" s="235"/>
      <c r="CO407" s="236"/>
      <c r="CP407" s="224" t="str">
        <f t="shared" si="88"/>
        <v/>
      </c>
      <c r="CQ407" s="235"/>
      <c r="CR407" s="236"/>
      <c r="CS407" s="222" t="str">
        <f t="shared" si="89"/>
        <v/>
      </c>
      <c r="CT407" s="237" t="str">
        <f t="shared" si="90"/>
        <v/>
      </c>
      <c r="CU407" s="238"/>
      <c r="CV407" s="239"/>
      <c r="CW407" s="240"/>
    </row>
    <row r="408" spans="2:101" ht="16.5" customHeight="1">
      <c r="B408" s="122"/>
      <c r="E408" s="122"/>
      <c r="F408" s="194"/>
      <c r="G408" s="195"/>
      <c r="H408" s="195"/>
      <c r="I408" s="195"/>
      <c r="J408" s="196"/>
      <c r="K408" s="197"/>
      <c r="L408" s="198"/>
      <c r="M408" s="199"/>
      <c r="N408" s="200"/>
      <c r="O408" s="201"/>
      <c r="P408" s="201"/>
      <c r="Q408" s="201"/>
      <c r="R408" s="201"/>
      <c r="S408" s="201"/>
      <c r="T408" s="201"/>
      <c r="U408" s="201"/>
      <c r="V408" s="201"/>
      <c r="W408" s="201"/>
      <c r="X408" s="202"/>
      <c r="Y408" s="203"/>
      <c r="Z408" s="204"/>
      <c r="AA408" s="205"/>
      <c r="AB408" s="206"/>
      <c r="AC408" s="206"/>
      <c r="AD408" s="194"/>
      <c r="AE408" s="201"/>
      <c r="AF408" s="207"/>
      <c r="AG408" s="208"/>
      <c r="AH408" s="209"/>
      <c r="AI408" s="210"/>
      <c r="AJ408" s="197"/>
      <c r="AK408" s="201"/>
      <c r="AL408" s="196"/>
      <c r="AM408" s="201"/>
      <c r="AN408" s="201"/>
      <c r="AO408" s="201"/>
      <c r="AP408" s="211"/>
      <c r="AQ408" s="212"/>
      <c r="AR408" s="201"/>
      <c r="AS408" s="201"/>
      <c r="AT408" s="201"/>
      <c r="AU408" s="201"/>
      <c r="AV408" s="202"/>
      <c r="AW408" s="194"/>
      <c r="AX408" s="201"/>
      <c r="AY408" s="213"/>
      <c r="AZ408" s="214"/>
      <c r="BA408" s="215"/>
      <c r="BB408" s="216"/>
      <c r="BC408" s="217" t="str">
        <f t="shared" si="78"/>
        <v/>
      </c>
      <c r="BD408" s="218"/>
      <c r="BE408" s="219"/>
      <c r="BF408" s="220"/>
      <c r="BG408" s="219"/>
      <c r="BH408" s="219"/>
      <c r="BI408" s="220"/>
      <c r="BJ408" s="218"/>
      <c r="BK408" s="219"/>
      <c r="BL408" s="197"/>
      <c r="BM408" s="215"/>
      <c r="BN408" s="221"/>
      <c r="BO408" s="222" t="str">
        <f t="shared" si="79"/>
        <v/>
      </c>
      <c r="BP408" s="217" t="str">
        <f t="shared" si="80"/>
        <v/>
      </c>
      <c r="BQ408" s="215"/>
      <c r="BR408" s="224"/>
      <c r="BS408" s="225"/>
      <c r="BT408" s="223"/>
      <c r="BU408" s="215"/>
      <c r="BV408" s="226"/>
      <c r="BW408" s="222" t="str">
        <f t="shared" si="81"/>
        <v/>
      </c>
      <c r="BX408" s="223" t="str">
        <f t="shared" si="82"/>
        <v/>
      </c>
      <c r="BY408" s="215"/>
      <c r="BZ408" s="227"/>
      <c r="CA408" s="227"/>
      <c r="CB408" s="228"/>
      <c r="CC408" s="229"/>
      <c r="CD408" s="230" t="str">
        <f t="shared" si="83"/>
        <v/>
      </c>
      <c r="CE408" s="231" t="str">
        <f t="shared" si="84"/>
        <v/>
      </c>
      <c r="CF408" s="232" t="str">
        <f t="shared" si="85"/>
        <v/>
      </c>
      <c r="CG408" s="233" t="str">
        <f t="shared" si="86"/>
        <v/>
      </c>
      <c r="CH408" s="207" t="str">
        <f>IF(OR(G408="",CC408= ""), "", IF(ISERROR(SMALL((CJ408,CN408,CV408), 1)-CC408), "",  SMALL((CJ408,CN408,CV408), 1)-CC408))</f>
        <v/>
      </c>
      <c r="CI408" s="234"/>
      <c r="CJ408" s="235"/>
      <c r="CK408" s="236"/>
      <c r="CL408" s="222" t="str">
        <f t="shared" si="87"/>
        <v/>
      </c>
      <c r="CM408" s="237" t="str">
        <f>IF(OR(G408="", CJ408="",CK408=""), "", IF(ISERROR(SMALL((CN408,CV408), 1)-CK408), "",  SMALL((CN408,CV408), 1)-CK408))</f>
        <v/>
      </c>
      <c r="CN408" s="235"/>
      <c r="CO408" s="236"/>
      <c r="CP408" s="224" t="str">
        <f t="shared" si="88"/>
        <v/>
      </c>
      <c r="CQ408" s="235"/>
      <c r="CR408" s="236"/>
      <c r="CS408" s="222" t="str">
        <f t="shared" si="89"/>
        <v/>
      </c>
      <c r="CT408" s="237" t="str">
        <f t="shared" si="90"/>
        <v/>
      </c>
      <c r="CU408" s="238"/>
      <c r="CV408" s="239"/>
      <c r="CW408" s="240"/>
    </row>
    <row r="409" spans="2:101" ht="16.5" customHeight="1">
      <c r="B409" s="122"/>
      <c r="E409" s="122"/>
      <c r="F409" s="194"/>
      <c r="G409" s="195"/>
      <c r="H409" s="195"/>
      <c r="I409" s="195"/>
      <c r="J409" s="196"/>
      <c r="K409" s="197"/>
      <c r="L409" s="198"/>
      <c r="M409" s="199"/>
      <c r="N409" s="200"/>
      <c r="O409" s="201"/>
      <c r="P409" s="201"/>
      <c r="Q409" s="201"/>
      <c r="R409" s="201"/>
      <c r="S409" s="201"/>
      <c r="T409" s="201"/>
      <c r="U409" s="201"/>
      <c r="V409" s="201"/>
      <c r="W409" s="201"/>
      <c r="X409" s="202"/>
      <c r="Y409" s="203"/>
      <c r="Z409" s="204"/>
      <c r="AA409" s="205"/>
      <c r="AB409" s="206"/>
      <c r="AC409" s="206"/>
      <c r="AD409" s="194"/>
      <c r="AE409" s="201"/>
      <c r="AF409" s="207"/>
      <c r="AG409" s="208"/>
      <c r="AH409" s="209"/>
      <c r="AI409" s="210"/>
      <c r="AJ409" s="197"/>
      <c r="AK409" s="201"/>
      <c r="AL409" s="196"/>
      <c r="AM409" s="201"/>
      <c r="AN409" s="201"/>
      <c r="AO409" s="201"/>
      <c r="AP409" s="211"/>
      <c r="AQ409" s="212"/>
      <c r="AR409" s="201"/>
      <c r="AS409" s="201"/>
      <c r="AT409" s="201"/>
      <c r="AU409" s="201"/>
      <c r="AV409" s="202"/>
      <c r="AW409" s="194"/>
      <c r="AX409" s="201"/>
      <c r="AY409" s="213"/>
      <c r="AZ409" s="214"/>
      <c r="BA409" s="215"/>
      <c r="BB409" s="216"/>
      <c r="BC409" s="217" t="str">
        <f t="shared" si="78"/>
        <v/>
      </c>
      <c r="BD409" s="218"/>
      <c r="BE409" s="219"/>
      <c r="BF409" s="220"/>
      <c r="BG409" s="219"/>
      <c r="BH409" s="219"/>
      <c r="BI409" s="220"/>
      <c r="BJ409" s="218"/>
      <c r="BK409" s="219"/>
      <c r="BL409" s="197"/>
      <c r="BM409" s="215"/>
      <c r="BN409" s="221"/>
      <c r="BO409" s="222" t="str">
        <f t="shared" si="79"/>
        <v/>
      </c>
      <c r="BP409" s="217" t="str">
        <f t="shared" si="80"/>
        <v/>
      </c>
      <c r="BQ409" s="215"/>
      <c r="BR409" s="224"/>
      <c r="BS409" s="225"/>
      <c r="BT409" s="223"/>
      <c r="BU409" s="215"/>
      <c r="BV409" s="226"/>
      <c r="BW409" s="222" t="str">
        <f t="shared" si="81"/>
        <v/>
      </c>
      <c r="BX409" s="223" t="str">
        <f t="shared" si="82"/>
        <v/>
      </c>
      <c r="BY409" s="215"/>
      <c r="BZ409" s="227"/>
      <c r="CA409" s="227"/>
      <c r="CB409" s="228"/>
      <c r="CC409" s="229"/>
      <c r="CD409" s="230" t="str">
        <f t="shared" si="83"/>
        <v/>
      </c>
      <c r="CE409" s="231" t="str">
        <f t="shared" si="84"/>
        <v/>
      </c>
      <c r="CF409" s="232" t="str">
        <f t="shared" si="85"/>
        <v/>
      </c>
      <c r="CG409" s="233" t="str">
        <f t="shared" si="86"/>
        <v/>
      </c>
      <c r="CH409" s="207" t="str">
        <f>IF(OR(G409="",CC409= ""), "", IF(ISERROR(SMALL((CJ409,CN409,CV409), 1)-CC409), "",  SMALL((CJ409,CN409,CV409), 1)-CC409))</f>
        <v/>
      </c>
      <c r="CI409" s="234"/>
      <c r="CJ409" s="235"/>
      <c r="CK409" s="236"/>
      <c r="CL409" s="222" t="str">
        <f t="shared" si="87"/>
        <v/>
      </c>
      <c r="CM409" s="237" t="str">
        <f>IF(OR(G409="", CJ409="",CK409=""), "", IF(ISERROR(SMALL((CN409,CV409), 1)-CK409), "",  SMALL((CN409,CV409), 1)-CK409))</f>
        <v/>
      </c>
      <c r="CN409" s="235"/>
      <c r="CO409" s="236"/>
      <c r="CP409" s="224" t="str">
        <f t="shared" si="88"/>
        <v/>
      </c>
      <c r="CQ409" s="235"/>
      <c r="CR409" s="236"/>
      <c r="CS409" s="222" t="str">
        <f t="shared" si="89"/>
        <v/>
      </c>
      <c r="CT409" s="237" t="str">
        <f t="shared" si="90"/>
        <v/>
      </c>
      <c r="CU409" s="238"/>
      <c r="CV409" s="239"/>
      <c r="CW409" s="240"/>
    </row>
    <row r="410" spans="2:101" ht="16.5" customHeight="1">
      <c r="B410" s="122"/>
      <c r="E410" s="122"/>
      <c r="F410" s="194"/>
      <c r="G410" s="195"/>
      <c r="H410" s="195"/>
      <c r="I410" s="195"/>
      <c r="J410" s="196"/>
      <c r="K410" s="197"/>
      <c r="L410" s="198"/>
      <c r="M410" s="199"/>
      <c r="N410" s="200"/>
      <c r="O410" s="201"/>
      <c r="P410" s="201"/>
      <c r="Q410" s="201"/>
      <c r="R410" s="201"/>
      <c r="S410" s="201"/>
      <c r="T410" s="201"/>
      <c r="U410" s="201"/>
      <c r="V410" s="201"/>
      <c r="W410" s="201"/>
      <c r="X410" s="202"/>
      <c r="Y410" s="203"/>
      <c r="Z410" s="204"/>
      <c r="AA410" s="205"/>
      <c r="AB410" s="206"/>
      <c r="AC410" s="206"/>
      <c r="AD410" s="194"/>
      <c r="AE410" s="201"/>
      <c r="AF410" s="207"/>
      <c r="AG410" s="208"/>
      <c r="AH410" s="209"/>
      <c r="AI410" s="210"/>
      <c r="AJ410" s="197"/>
      <c r="AK410" s="201"/>
      <c r="AL410" s="196"/>
      <c r="AM410" s="201"/>
      <c r="AN410" s="201"/>
      <c r="AO410" s="201"/>
      <c r="AP410" s="211"/>
      <c r="AQ410" s="212"/>
      <c r="AR410" s="201"/>
      <c r="AS410" s="201"/>
      <c r="AT410" s="201"/>
      <c r="AU410" s="201"/>
      <c r="AV410" s="202"/>
      <c r="AW410" s="194"/>
      <c r="AX410" s="201"/>
      <c r="AY410" s="213"/>
      <c r="AZ410" s="214"/>
      <c r="BA410" s="215"/>
      <c r="BB410" s="216"/>
      <c r="BC410" s="217" t="str">
        <f t="shared" si="78"/>
        <v/>
      </c>
      <c r="BD410" s="218"/>
      <c r="BE410" s="219"/>
      <c r="BF410" s="220"/>
      <c r="BG410" s="219"/>
      <c r="BH410" s="219"/>
      <c r="BI410" s="220"/>
      <c r="BJ410" s="218"/>
      <c r="BK410" s="219"/>
      <c r="BL410" s="197"/>
      <c r="BM410" s="215"/>
      <c r="BN410" s="221"/>
      <c r="BO410" s="222" t="str">
        <f t="shared" si="79"/>
        <v/>
      </c>
      <c r="BP410" s="217" t="str">
        <f t="shared" si="80"/>
        <v/>
      </c>
      <c r="BQ410" s="215"/>
      <c r="BR410" s="224"/>
      <c r="BS410" s="225"/>
      <c r="BT410" s="223"/>
      <c r="BU410" s="215"/>
      <c r="BV410" s="226"/>
      <c r="BW410" s="222" t="str">
        <f t="shared" si="81"/>
        <v/>
      </c>
      <c r="BX410" s="223" t="str">
        <f t="shared" si="82"/>
        <v/>
      </c>
      <c r="BY410" s="215"/>
      <c r="BZ410" s="227"/>
      <c r="CA410" s="227"/>
      <c r="CB410" s="228"/>
      <c r="CC410" s="229"/>
      <c r="CD410" s="230" t="str">
        <f t="shared" si="83"/>
        <v/>
      </c>
      <c r="CE410" s="231" t="str">
        <f t="shared" si="84"/>
        <v/>
      </c>
      <c r="CF410" s="232" t="str">
        <f t="shared" si="85"/>
        <v/>
      </c>
      <c r="CG410" s="233" t="str">
        <f t="shared" si="86"/>
        <v/>
      </c>
      <c r="CH410" s="207" t="str">
        <f>IF(OR(G410="",CC410= ""), "", IF(ISERROR(SMALL((CJ410,CN410,CV410), 1)-CC410), "",  SMALL((CJ410,CN410,CV410), 1)-CC410))</f>
        <v/>
      </c>
      <c r="CI410" s="234"/>
      <c r="CJ410" s="235"/>
      <c r="CK410" s="236"/>
      <c r="CL410" s="222" t="str">
        <f t="shared" si="87"/>
        <v/>
      </c>
      <c r="CM410" s="237" t="str">
        <f>IF(OR(G410="", CJ410="",CK410=""), "", IF(ISERROR(SMALL((CN410,CV410), 1)-CK410), "",  SMALL((CN410,CV410), 1)-CK410))</f>
        <v/>
      </c>
      <c r="CN410" s="235"/>
      <c r="CO410" s="236"/>
      <c r="CP410" s="224" t="str">
        <f t="shared" si="88"/>
        <v/>
      </c>
      <c r="CQ410" s="235"/>
      <c r="CR410" s="236"/>
      <c r="CS410" s="222" t="str">
        <f t="shared" si="89"/>
        <v/>
      </c>
      <c r="CT410" s="237" t="str">
        <f t="shared" si="90"/>
        <v/>
      </c>
      <c r="CU410" s="238"/>
      <c r="CV410" s="239"/>
      <c r="CW410" s="240"/>
    </row>
    <row r="411" spans="2:101" ht="16.5" customHeight="1">
      <c r="B411" s="122"/>
      <c r="E411" s="122"/>
      <c r="F411" s="194"/>
      <c r="G411" s="195"/>
      <c r="H411" s="195"/>
      <c r="I411" s="195"/>
      <c r="J411" s="196"/>
      <c r="K411" s="197"/>
      <c r="L411" s="198"/>
      <c r="M411" s="199"/>
      <c r="N411" s="200"/>
      <c r="O411" s="201"/>
      <c r="P411" s="201"/>
      <c r="Q411" s="201"/>
      <c r="R411" s="201"/>
      <c r="S411" s="201"/>
      <c r="T411" s="201"/>
      <c r="U411" s="201"/>
      <c r="V411" s="201"/>
      <c r="W411" s="201"/>
      <c r="X411" s="202"/>
      <c r="Y411" s="203"/>
      <c r="Z411" s="204"/>
      <c r="AA411" s="205"/>
      <c r="AB411" s="206"/>
      <c r="AC411" s="206"/>
      <c r="AD411" s="194"/>
      <c r="AE411" s="201"/>
      <c r="AF411" s="207"/>
      <c r="AG411" s="208"/>
      <c r="AH411" s="209"/>
      <c r="AI411" s="210"/>
      <c r="AJ411" s="197"/>
      <c r="AK411" s="201"/>
      <c r="AL411" s="196"/>
      <c r="AM411" s="201"/>
      <c r="AN411" s="201"/>
      <c r="AO411" s="201"/>
      <c r="AP411" s="211"/>
      <c r="AQ411" s="212"/>
      <c r="AR411" s="201"/>
      <c r="AS411" s="201"/>
      <c r="AT411" s="201"/>
      <c r="AU411" s="201"/>
      <c r="AV411" s="202"/>
      <c r="AW411" s="194"/>
      <c r="AX411" s="201"/>
      <c r="AY411" s="213"/>
      <c r="AZ411" s="214"/>
      <c r="BA411" s="215"/>
      <c r="BB411" s="216"/>
      <c r="BC411" s="217" t="str">
        <f t="shared" si="78"/>
        <v/>
      </c>
      <c r="BD411" s="218"/>
      <c r="BE411" s="219"/>
      <c r="BF411" s="220"/>
      <c r="BG411" s="219"/>
      <c r="BH411" s="219"/>
      <c r="BI411" s="220"/>
      <c r="BJ411" s="218"/>
      <c r="BK411" s="219"/>
      <c r="BL411" s="197"/>
      <c r="BM411" s="215"/>
      <c r="BN411" s="221"/>
      <c r="BO411" s="222" t="str">
        <f t="shared" si="79"/>
        <v/>
      </c>
      <c r="BP411" s="217" t="str">
        <f t="shared" si="80"/>
        <v/>
      </c>
      <c r="BQ411" s="215"/>
      <c r="BR411" s="224"/>
      <c r="BS411" s="225"/>
      <c r="BT411" s="223"/>
      <c r="BU411" s="215"/>
      <c r="BV411" s="226"/>
      <c r="BW411" s="222" t="str">
        <f t="shared" si="81"/>
        <v/>
      </c>
      <c r="BX411" s="223" t="str">
        <f t="shared" si="82"/>
        <v/>
      </c>
      <c r="BY411" s="215"/>
      <c r="BZ411" s="227"/>
      <c r="CA411" s="227"/>
      <c r="CB411" s="228"/>
      <c r="CC411" s="229"/>
      <c r="CD411" s="230" t="str">
        <f t="shared" si="83"/>
        <v/>
      </c>
      <c r="CE411" s="231" t="str">
        <f t="shared" si="84"/>
        <v/>
      </c>
      <c r="CF411" s="232" t="str">
        <f t="shared" si="85"/>
        <v/>
      </c>
      <c r="CG411" s="233" t="str">
        <f t="shared" si="86"/>
        <v/>
      </c>
      <c r="CH411" s="207" t="str">
        <f>IF(OR(G411="",CC411= ""), "", IF(ISERROR(SMALL((CJ411,CN411,CV411), 1)-CC411), "",  SMALL((CJ411,CN411,CV411), 1)-CC411))</f>
        <v/>
      </c>
      <c r="CI411" s="234"/>
      <c r="CJ411" s="235"/>
      <c r="CK411" s="236"/>
      <c r="CL411" s="222" t="str">
        <f t="shared" si="87"/>
        <v/>
      </c>
      <c r="CM411" s="237" t="str">
        <f>IF(OR(G411="", CJ411="",CK411=""), "", IF(ISERROR(SMALL((CN411,CV411), 1)-CK411), "",  SMALL((CN411,CV411), 1)-CK411))</f>
        <v/>
      </c>
      <c r="CN411" s="235"/>
      <c r="CO411" s="236"/>
      <c r="CP411" s="224" t="str">
        <f t="shared" si="88"/>
        <v/>
      </c>
      <c r="CQ411" s="235"/>
      <c r="CR411" s="236"/>
      <c r="CS411" s="222" t="str">
        <f t="shared" si="89"/>
        <v/>
      </c>
      <c r="CT411" s="237" t="str">
        <f t="shared" si="90"/>
        <v/>
      </c>
      <c r="CU411" s="238"/>
      <c r="CV411" s="239"/>
      <c r="CW411" s="240"/>
    </row>
    <row r="412" spans="2:101" ht="16.5" customHeight="1">
      <c r="B412" s="122"/>
      <c r="E412" s="122"/>
      <c r="F412" s="194"/>
      <c r="G412" s="195"/>
      <c r="H412" s="195"/>
      <c r="I412" s="195"/>
      <c r="J412" s="196"/>
      <c r="K412" s="197"/>
      <c r="L412" s="198"/>
      <c r="M412" s="199"/>
      <c r="N412" s="200"/>
      <c r="O412" s="201"/>
      <c r="P412" s="201"/>
      <c r="Q412" s="201"/>
      <c r="R412" s="201"/>
      <c r="S412" s="201"/>
      <c r="T412" s="201"/>
      <c r="U412" s="201"/>
      <c r="V412" s="201"/>
      <c r="W412" s="201"/>
      <c r="X412" s="202"/>
      <c r="Y412" s="203"/>
      <c r="Z412" s="204"/>
      <c r="AA412" s="205"/>
      <c r="AB412" s="206"/>
      <c r="AC412" s="206"/>
      <c r="AD412" s="194"/>
      <c r="AE412" s="201"/>
      <c r="AF412" s="207"/>
      <c r="AG412" s="208"/>
      <c r="AH412" s="209"/>
      <c r="AI412" s="210"/>
      <c r="AJ412" s="197"/>
      <c r="AK412" s="201"/>
      <c r="AL412" s="196"/>
      <c r="AM412" s="201"/>
      <c r="AN412" s="201"/>
      <c r="AO412" s="201"/>
      <c r="AP412" s="211"/>
      <c r="AQ412" s="212"/>
      <c r="AR412" s="201"/>
      <c r="AS412" s="201"/>
      <c r="AT412" s="201"/>
      <c r="AU412" s="201"/>
      <c r="AV412" s="202"/>
      <c r="AW412" s="194"/>
      <c r="AX412" s="201"/>
      <c r="AY412" s="213"/>
      <c r="AZ412" s="214"/>
      <c r="BA412" s="215"/>
      <c r="BB412" s="216"/>
      <c r="BC412" s="217" t="str">
        <f t="shared" si="78"/>
        <v/>
      </c>
      <c r="BD412" s="218"/>
      <c r="BE412" s="219"/>
      <c r="BF412" s="220"/>
      <c r="BG412" s="219"/>
      <c r="BH412" s="219"/>
      <c r="BI412" s="220"/>
      <c r="BJ412" s="218"/>
      <c r="BK412" s="219"/>
      <c r="BL412" s="197"/>
      <c r="BM412" s="215"/>
      <c r="BN412" s="221"/>
      <c r="BO412" s="222" t="str">
        <f t="shared" si="79"/>
        <v/>
      </c>
      <c r="BP412" s="217" t="str">
        <f t="shared" si="80"/>
        <v/>
      </c>
      <c r="BQ412" s="215"/>
      <c r="BR412" s="224"/>
      <c r="BS412" s="225"/>
      <c r="BT412" s="223"/>
      <c r="BU412" s="215"/>
      <c r="BV412" s="226"/>
      <c r="BW412" s="222" t="str">
        <f t="shared" si="81"/>
        <v/>
      </c>
      <c r="BX412" s="223" t="str">
        <f t="shared" si="82"/>
        <v/>
      </c>
      <c r="BY412" s="215"/>
      <c r="BZ412" s="227"/>
      <c r="CA412" s="227"/>
      <c r="CB412" s="228"/>
      <c r="CC412" s="229"/>
      <c r="CD412" s="230" t="str">
        <f t="shared" si="83"/>
        <v/>
      </c>
      <c r="CE412" s="231" t="str">
        <f t="shared" si="84"/>
        <v/>
      </c>
      <c r="CF412" s="232" t="str">
        <f t="shared" si="85"/>
        <v/>
      </c>
      <c r="CG412" s="233" t="str">
        <f t="shared" si="86"/>
        <v/>
      </c>
      <c r="CH412" s="207" t="str">
        <f>IF(OR(G412="",CC412= ""), "", IF(ISERROR(SMALL((CJ412,CN412,CV412), 1)-CC412), "",  SMALL((CJ412,CN412,CV412), 1)-CC412))</f>
        <v/>
      </c>
      <c r="CI412" s="234"/>
      <c r="CJ412" s="235"/>
      <c r="CK412" s="236"/>
      <c r="CL412" s="222" t="str">
        <f t="shared" si="87"/>
        <v/>
      </c>
      <c r="CM412" s="237" t="str">
        <f>IF(OR(G412="", CJ412="",CK412=""), "", IF(ISERROR(SMALL((CN412,CV412), 1)-CK412), "",  SMALL((CN412,CV412), 1)-CK412))</f>
        <v/>
      </c>
      <c r="CN412" s="235"/>
      <c r="CO412" s="236"/>
      <c r="CP412" s="224" t="str">
        <f t="shared" si="88"/>
        <v/>
      </c>
      <c r="CQ412" s="235"/>
      <c r="CR412" s="236"/>
      <c r="CS412" s="222" t="str">
        <f t="shared" si="89"/>
        <v/>
      </c>
      <c r="CT412" s="237" t="str">
        <f t="shared" si="90"/>
        <v/>
      </c>
      <c r="CU412" s="238"/>
      <c r="CV412" s="239"/>
      <c r="CW412" s="240"/>
    </row>
    <row r="413" spans="2:101" ht="16.5" customHeight="1">
      <c r="B413" s="122"/>
      <c r="E413" s="122"/>
      <c r="F413" s="194"/>
      <c r="G413" s="195"/>
      <c r="H413" s="195"/>
      <c r="I413" s="195"/>
      <c r="J413" s="196"/>
      <c r="K413" s="197"/>
      <c r="L413" s="198"/>
      <c r="M413" s="199"/>
      <c r="N413" s="200"/>
      <c r="O413" s="201"/>
      <c r="P413" s="201"/>
      <c r="Q413" s="201"/>
      <c r="R413" s="201"/>
      <c r="S413" s="201"/>
      <c r="T413" s="201"/>
      <c r="U413" s="201"/>
      <c r="V413" s="201"/>
      <c r="W413" s="201"/>
      <c r="X413" s="202"/>
      <c r="Y413" s="203"/>
      <c r="Z413" s="204"/>
      <c r="AA413" s="205"/>
      <c r="AB413" s="206"/>
      <c r="AC413" s="206"/>
      <c r="AD413" s="194"/>
      <c r="AE413" s="201"/>
      <c r="AF413" s="207"/>
      <c r="AG413" s="208"/>
      <c r="AH413" s="209"/>
      <c r="AI413" s="210"/>
      <c r="AJ413" s="197"/>
      <c r="AK413" s="201"/>
      <c r="AL413" s="196"/>
      <c r="AM413" s="201"/>
      <c r="AN413" s="201"/>
      <c r="AO413" s="201"/>
      <c r="AP413" s="211"/>
      <c r="AQ413" s="212"/>
      <c r="AR413" s="201"/>
      <c r="AS413" s="201"/>
      <c r="AT413" s="201"/>
      <c r="AU413" s="201"/>
      <c r="AV413" s="202"/>
      <c r="AW413" s="194"/>
      <c r="AX413" s="201"/>
      <c r="AY413" s="213"/>
      <c r="AZ413" s="214"/>
      <c r="BA413" s="215"/>
      <c r="BB413" s="216"/>
      <c r="BC413" s="217" t="str">
        <f t="shared" si="78"/>
        <v/>
      </c>
      <c r="BD413" s="218"/>
      <c r="BE413" s="219"/>
      <c r="BF413" s="220"/>
      <c r="BG413" s="219"/>
      <c r="BH413" s="219"/>
      <c r="BI413" s="220"/>
      <c r="BJ413" s="218"/>
      <c r="BK413" s="219"/>
      <c r="BL413" s="197"/>
      <c r="BM413" s="215"/>
      <c r="BN413" s="221"/>
      <c r="BO413" s="222" t="str">
        <f t="shared" si="79"/>
        <v/>
      </c>
      <c r="BP413" s="217" t="str">
        <f t="shared" si="80"/>
        <v/>
      </c>
      <c r="BQ413" s="215"/>
      <c r="BR413" s="224"/>
      <c r="BS413" s="225"/>
      <c r="BT413" s="223"/>
      <c r="BU413" s="215"/>
      <c r="BV413" s="226"/>
      <c r="BW413" s="222" t="str">
        <f t="shared" si="81"/>
        <v/>
      </c>
      <c r="BX413" s="223" t="str">
        <f t="shared" si="82"/>
        <v/>
      </c>
      <c r="BY413" s="215"/>
      <c r="BZ413" s="227"/>
      <c r="CA413" s="227"/>
      <c r="CB413" s="228"/>
      <c r="CC413" s="229"/>
      <c r="CD413" s="230" t="str">
        <f t="shared" si="83"/>
        <v/>
      </c>
      <c r="CE413" s="231" t="str">
        <f t="shared" si="84"/>
        <v/>
      </c>
      <c r="CF413" s="232" t="str">
        <f t="shared" si="85"/>
        <v/>
      </c>
      <c r="CG413" s="233" t="str">
        <f t="shared" si="86"/>
        <v/>
      </c>
      <c r="CH413" s="207" t="str">
        <f>IF(OR(G413="",CC413= ""), "", IF(ISERROR(SMALL((CJ413,CN413,CV413), 1)-CC413), "",  SMALL((CJ413,CN413,CV413), 1)-CC413))</f>
        <v/>
      </c>
      <c r="CI413" s="234"/>
      <c r="CJ413" s="235"/>
      <c r="CK413" s="236"/>
      <c r="CL413" s="222" t="str">
        <f t="shared" si="87"/>
        <v/>
      </c>
      <c r="CM413" s="237" t="str">
        <f>IF(OR(G413="", CJ413="",CK413=""), "", IF(ISERROR(SMALL((CN413,CV413), 1)-CK413), "",  SMALL((CN413,CV413), 1)-CK413))</f>
        <v/>
      </c>
      <c r="CN413" s="235"/>
      <c r="CO413" s="236"/>
      <c r="CP413" s="224" t="str">
        <f t="shared" si="88"/>
        <v/>
      </c>
      <c r="CQ413" s="235"/>
      <c r="CR413" s="236"/>
      <c r="CS413" s="222" t="str">
        <f t="shared" si="89"/>
        <v/>
      </c>
      <c r="CT413" s="237" t="str">
        <f t="shared" si="90"/>
        <v/>
      </c>
      <c r="CU413" s="238"/>
      <c r="CV413" s="239"/>
      <c r="CW413" s="240"/>
    </row>
    <row r="414" spans="2:101" ht="16.5" customHeight="1">
      <c r="B414" s="122"/>
      <c r="E414" s="122"/>
      <c r="F414" s="194"/>
      <c r="G414" s="195"/>
      <c r="H414" s="195"/>
      <c r="I414" s="195"/>
      <c r="J414" s="196"/>
      <c r="K414" s="197"/>
      <c r="L414" s="198"/>
      <c r="M414" s="199"/>
      <c r="N414" s="200"/>
      <c r="O414" s="201"/>
      <c r="P414" s="201"/>
      <c r="Q414" s="201"/>
      <c r="R414" s="201"/>
      <c r="S414" s="201"/>
      <c r="T414" s="201"/>
      <c r="U414" s="201"/>
      <c r="V414" s="201"/>
      <c r="W414" s="201"/>
      <c r="X414" s="202"/>
      <c r="Y414" s="203"/>
      <c r="Z414" s="204"/>
      <c r="AA414" s="205"/>
      <c r="AB414" s="206"/>
      <c r="AC414" s="206"/>
      <c r="AD414" s="194"/>
      <c r="AE414" s="201"/>
      <c r="AF414" s="207"/>
      <c r="AG414" s="208"/>
      <c r="AH414" s="209"/>
      <c r="AI414" s="210"/>
      <c r="AJ414" s="197"/>
      <c r="AK414" s="201"/>
      <c r="AL414" s="196"/>
      <c r="AM414" s="201"/>
      <c r="AN414" s="201"/>
      <c r="AO414" s="201"/>
      <c r="AP414" s="211"/>
      <c r="AQ414" s="212"/>
      <c r="AR414" s="201"/>
      <c r="AS414" s="201"/>
      <c r="AT414" s="201"/>
      <c r="AU414" s="201"/>
      <c r="AV414" s="202"/>
      <c r="AW414" s="194"/>
      <c r="AX414" s="201"/>
      <c r="AY414" s="213"/>
      <c r="AZ414" s="214"/>
      <c r="BA414" s="215"/>
      <c r="BB414" s="216"/>
      <c r="BC414" s="217" t="str">
        <f t="shared" si="78"/>
        <v/>
      </c>
      <c r="BD414" s="218"/>
      <c r="BE414" s="219"/>
      <c r="BF414" s="220"/>
      <c r="BG414" s="219"/>
      <c r="BH414" s="219"/>
      <c r="BI414" s="220"/>
      <c r="BJ414" s="218"/>
      <c r="BK414" s="219"/>
      <c r="BL414" s="197"/>
      <c r="BM414" s="215"/>
      <c r="BN414" s="221"/>
      <c r="BO414" s="222" t="str">
        <f t="shared" si="79"/>
        <v/>
      </c>
      <c r="BP414" s="217" t="str">
        <f t="shared" si="80"/>
        <v/>
      </c>
      <c r="BQ414" s="215"/>
      <c r="BR414" s="224"/>
      <c r="BS414" s="225"/>
      <c r="BT414" s="223"/>
      <c r="BU414" s="215"/>
      <c r="BV414" s="226"/>
      <c r="BW414" s="222" t="str">
        <f t="shared" si="81"/>
        <v/>
      </c>
      <c r="BX414" s="223" t="str">
        <f t="shared" si="82"/>
        <v/>
      </c>
      <c r="BY414" s="215"/>
      <c r="BZ414" s="227"/>
      <c r="CA414" s="227"/>
      <c r="CB414" s="228"/>
      <c r="CC414" s="229"/>
      <c r="CD414" s="230" t="str">
        <f t="shared" si="83"/>
        <v/>
      </c>
      <c r="CE414" s="231" t="str">
        <f t="shared" si="84"/>
        <v/>
      </c>
      <c r="CF414" s="232" t="str">
        <f t="shared" si="85"/>
        <v/>
      </c>
      <c r="CG414" s="233" t="str">
        <f t="shared" si="86"/>
        <v/>
      </c>
      <c r="CH414" s="207" t="str">
        <f>IF(OR(G414="",CC414= ""), "", IF(ISERROR(SMALL((CJ414,CN414,CV414), 1)-CC414), "",  SMALL((CJ414,CN414,CV414), 1)-CC414))</f>
        <v/>
      </c>
      <c r="CI414" s="234"/>
      <c r="CJ414" s="235"/>
      <c r="CK414" s="236"/>
      <c r="CL414" s="222" t="str">
        <f t="shared" si="87"/>
        <v/>
      </c>
      <c r="CM414" s="237" t="str">
        <f>IF(OR(G414="", CJ414="",CK414=""), "", IF(ISERROR(SMALL((CN414,CV414), 1)-CK414), "",  SMALL((CN414,CV414), 1)-CK414))</f>
        <v/>
      </c>
      <c r="CN414" s="235"/>
      <c r="CO414" s="236"/>
      <c r="CP414" s="224" t="str">
        <f t="shared" si="88"/>
        <v/>
      </c>
      <c r="CQ414" s="235"/>
      <c r="CR414" s="236"/>
      <c r="CS414" s="222" t="str">
        <f t="shared" si="89"/>
        <v/>
      </c>
      <c r="CT414" s="237" t="str">
        <f t="shared" si="90"/>
        <v/>
      </c>
      <c r="CU414" s="238"/>
      <c r="CV414" s="239"/>
      <c r="CW414" s="240"/>
    </row>
    <row r="415" spans="2:101" ht="16.5" customHeight="1">
      <c r="B415" s="122"/>
      <c r="E415" s="122"/>
      <c r="F415" s="194"/>
      <c r="G415" s="195"/>
      <c r="H415" s="195"/>
      <c r="I415" s="195"/>
      <c r="J415" s="196"/>
      <c r="K415" s="197"/>
      <c r="L415" s="198"/>
      <c r="M415" s="199"/>
      <c r="N415" s="200"/>
      <c r="O415" s="201"/>
      <c r="P415" s="201"/>
      <c r="Q415" s="201"/>
      <c r="R415" s="201"/>
      <c r="S415" s="201"/>
      <c r="T415" s="201"/>
      <c r="U415" s="201"/>
      <c r="V415" s="201"/>
      <c r="W415" s="201"/>
      <c r="X415" s="202"/>
      <c r="Y415" s="203"/>
      <c r="Z415" s="204"/>
      <c r="AA415" s="205"/>
      <c r="AB415" s="206"/>
      <c r="AC415" s="206"/>
      <c r="AD415" s="194"/>
      <c r="AE415" s="201"/>
      <c r="AF415" s="207"/>
      <c r="AG415" s="208"/>
      <c r="AH415" s="209"/>
      <c r="AI415" s="210"/>
      <c r="AJ415" s="197"/>
      <c r="AK415" s="201"/>
      <c r="AL415" s="196"/>
      <c r="AM415" s="201"/>
      <c r="AN415" s="201"/>
      <c r="AO415" s="201"/>
      <c r="AP415" s="211"/>
      <c r="AQ415" s="212"/>
      <c r="AR415" s="201"/>
      <c r="AS415" s="201"/>
      <c r="AT415" s="201"/>
      <c r="AU415" s="201"/>
      <c r="AV415" s="202"/>
      <c r="AW415" s="194"/>
      <c r="AX415" s="201"/>
      <c r="AY415" s="213"/>
      <c r="AZ415" s="214"/>
      <c r="BA415" s="215"/>
      <c r="BB415" s="216"/>
      <c r="BC415" s="217" t="str">
        <f t="shared" si="78"/>
        <v/>
      </c>
      <c r="BD415" s="218"/>
      <c r="BE415" s="219"/>
      <c r="BF415" s="220"/>
      <c r="BG415" s="219"/>
      <c r="BH415" s="219"/>
      <c r="BI415" s="220"/>
      <c r="BJ415" s="218"/>
      <c r="BK415" s="219"/>
      <c r="BL415" s="197"/>
      <c r="BM415" s="215"/>
      <c r="BN415" s="221"/>
      <c r="BO415" s="222" t="str">
        <f t="shared" si="79"/>
        <v/>
      </c>
      <c r="BP415" s="217" t="str">
        <f t="shared" si="80"/>
        <v/>
      </c>
      <c r="BQ415" s="215"/>
      <c r="BR415" s="224"/>
      <c r="BS415" s="225"/>
      <c r="BT415" s="223"/>
      <c r="BU415" s="215"/>
      <c r="BV415" s="226"/>
      <c r="BW415" s="222" t="str">
        <f t="shared" si="81"/>
        <v/>
      </c>
      <c r="BX415" s="223" t="str">
        <f t="shared" si="82"/>
        <v/>
      </c>
      <c r="BY415" s="215"/>
      <c r="BZ415" s="227"/>
      <c r="CA415" s="227"/>
      <c r="CB415" s="228"/>
      <c r="CC415" s="229"/>
      <c r="CD415" s="230" t="str">
        <f t="shared" si="83"/>
        <v/>
      </c>
      <c r="CE415" s="231" t="str">
        <f t="shared" si="84"/>
        <v/>
      </c>
      <c r="CF415" s="232" t="str">
        <f t="shared" si="85"/>
        <v/>
      </c>
      <c r="CG415" s="233" t="str">
        <f t="shared" si="86"/>
        <v/>
      </c>
      <c r="CH415" s="207" t="str">
        <f>IF(OR(G415="",CC415= ""), "", IF(ISERROR(SMALL((CJ415,CN415,CV415), 1)-CC415), "",  SMALL((CJ415,CN415,CV415), 1)-CC415))</f>
        <v/>
      </c>
      <c r="CI415" s="234"/>
      <c r="CJ415" s="235"/>
      <c r="CK415" s="236"/>
      <c r="CL415" s="222" t="str">
        <f t="shared" si="87"/>
        <v/>
      </c>
      <c r="CM415" s="237" t="str">
        <f>IF(OR(G415="", CJ415="",CK415=""), "", IF(ISERROR(SMALL((CN415,CV415), 1)-CK415), "",  SMALL((CN415,CV415), 1)-CK415))</f>
        <v/>
      </c>
      <c r="CN415" s="235"/>
      <c r="CO415" s="236"/>
      <c r="CP415" s="224" t="str">
        <f t="shared" si="88"/>
        <v/>
      </c>
      <c r="CQ415" s="235"/>
      <c r="CR415" s="236"/>
      <c r="CS415" s="222" t="str">
        <f t="shared" si="89"/>
        <v/>
      </c>
      <c r="CT415" s="237" t="str">
        <f t="shared" si="90"/>
        <v/>
      </c>
      <c r="CU415" s="238"/>
      <c r="CV415" s="239"/>
      <c r="CW415" s="240"/>
    </row>
    <row r="416" spans="2:101" ht="16.5" customHeight="1">
      <c r="B416" s="122"/>
      <c r="E416" s="122"/>
      <c r="F416" s="194"/>
      <c r="G416" s="195"/>
      <c r="H416" s="195"/>
      <c r="I416" s="195"/>
      <c r="J416" s="196"/>
      <c r="K416" s="197"/>
      <c r="L416" s="198"/>
      <c r="M416" s="199"/>
      <c r="N416" s="200"/>
      <c r="O416" s="201"/>
      <c r="P416" s="201"/>
      <c r="Q416" s="201"/>
      <c r="R416" s="201"/>
      <c r="S416" s="201"/>
      <c r="T416" s="201"/>
      <c r="U416" s="201"/>
      <c r="V416" s="201"/>
      <c r="W416" s="201"/>
      <c r="X416" s="202"/>
      <c r="Y416" s="203"/>
      <c r="Z416" s="204"/>
      <c r="AA416" s="205"/>
      <c r="AB416" s="206"/>
      <c r="AC416" s="206"/>
      <c r="AD416" s="194"/>
      <c r="AE416" s="201"/>
      <c r="AF416" s="207"/>
      <c r="AG416" s="208"/>
      <c r="AH416" s="209"/>
      <c r="AI416" s="210"/>
      <c r="AJ416" s="197"/>
      <c r="AK416" s="201"/>
      <c r="AL416" s="196"/>
      <c r="AM416" s="201"/>
      <c r="AN416" s="201"/>
      <c r="AO416" s="201"/>
      <c r="AP416" s="211"/>
      <c r="AQ416" s="212"/>
      <c r="AR416" s="201"/>
      <c r="AS416" s="201"/>
      <c r="AT416" s="201"/>
      <c r="AU416" s="201"/>
      <c r="AV416" s="202"/>
      <c r="AW416" s="194"/>
      <c r="AX416" s="201"/>
      <c r="AY416" s="213"/>
      <c r="AZ416" s="214"/>
      <c r="BA416" s="215"/>
      <c r="BB416" s="216"/>
      <c r="BC416" s="217" t="str">
        <f t="shared" si="78"/>
        <v/>
      </c>
      <c r="BD416" s="218"/>
      <c r="BE416" s="219"/>
      <c r="BF416" s="220"/>
      <c r="BG416" s="219"/>
      <c r="BH416" s="219"/>
      <c r="BI416" s="220"/>
      <c r="BJ416" s="218"/>
      <c r="BK416" s="219"/>
      <c r="BL416" s="197"/>
      <c r="BM416" s="215"/>
      <c r="BN416" s="221"/>
      <c r="BO416" s="222" t="str">
        <f t="shared" si="79"/>
        <v/>
      </c>
      <c r="BP416" s="217" t="str">
        <f t="shared" si="80"/>
        <v/>
      </c>
      <c r="BQ416" s="215"/>
      <c r="BR416" s="224"/>
      <c r="BS416" s="225"/>
      <c r="BT416" s="223"/>
      <c r="BU416" s="215"/>
      <c r="BV416" s="226"/>
      <c r="BW416" s="222" t="str">
        <f t="shared" si="81"/>
        <v/>
      </c>
      <c r="BX416" s="223" t="str">
        <f t="shared" si="82"/>
        <v/>
      </c>
      <c r="BY416" s="215"/>
      <c r="BZ416" s="227"/>
      <c r="CA416" s="227"/>
      <c r="CB416" s="228"/>
      <c r="CC416" s="229"/>
      <c r="CD416" s="230" t="str">
        <f t="shared" si="83"/>
        <v/>
      </c>
      <c r="CE416" s="231" t="str">
        <f t="shared" si="84"/>
        <v/>
      </c>
      <c r="CF416" s="232" t="str">
        <f t="shared" si="85"/>
        <v/>
      </c>
      <c r="CG416" s="233" t="str">
        <f t="shared" si="86"/>
        <v/>
      </c>
      <c r="CH416" s="207" t="str">
        <f>IF(OR(G416="",CC416= ""), "", IF(ISERROR(SMALL((CJ416,CN416,CV416), 1)-CC416), "",  SMALL((CJ416,CN416,CV416), 1)-CC416))</f>
        <v/>
      </c>
      <c r="CI416" s="234"/>
      <c r="CJ416" s="235"/>
      <c r="CK416" s="236"/>
      <c r="CL416" s="222" t="str">
        <f t="shared" si="87"/>
        <v/>
      </c>
      <c r="CM416" s="237" t="str">
        <f>IF(OR(G416="", CJ416="",CK416=""), "", IF(ISERROR(SMALL((CN416,CV416), 1)-CK416), "",  SMALL((CN416,CV416), 1)-CK416))</f>
        <v/>
      </c>
      <c r="CN416" s="235"/>
      <c r="CO416" s="236"/>
      <c r="CP416" s="224" t="str">
        <f t="shared" si="88"/>
        <v/>
      </c>
      <c r="CQ416" s="235"/>
      <c r="CR416" s="236"/>
      <c r="CS416" s="222" t="str">
        <f t="shared" si="89"/>
        <v/>
      </c>
      <c r="CT416" s="237" t="str">
        <f t="shared" si="90"/>
        <v/>
      </c>
      <c r="CU416" s="238"/>
      <c r="CV416" s="239"/>
      <c r="CW416" s="240"/>
    </row>
    <row r="417" spans="2:101" ht="16.5" customHeight="1">
      <c r="B417" s="122"/>
      <c r="E417" s="122"/>
      <c r="F417" s="194"/>
      <c r="G417" s="195"/>
      <c r="H417" s="195"/>
      <c r="I417" s="195"/>
      <c r="J417" s="196"/>
      <c r="K417" s="197"/>
      <c r="L417" s="198"/>
      <c r="M417" s="199"/>
      <c r="N417" s="200"/>
      <c r="O417" s="201"/>
      <c r="P417" s="201"/>
      <c r="Q417" s="201"/>
      <c r="R417" s="201"/>
      <c r="S417" s="201"/>
      <c r="T417" s="201"/>
      <c r="U417" s="201"/>
      <c r="V417" s="201"/>
      <c r="W417" s="201"/>
      <c r="X417" s="202"/>
      <c r="Y417" s="203"/>
      <c r="Z417" s="204"/>
      <c r="AA417" s="205"/>
      <c r="AB417" s="206"/>
      <c r="AC417" s="206"/>
      <c r="AD417" s="194"/>
      <c r="AE417" s="201"/>
      <c r="AF417" s="207"/>
      <c r="AG417" s="208"/>
      <c r="AH417" s="209"/>
      <c r="AI417" s="210"/>
      <c r="AJ417" s="197"/>
      <c r="AK417" s="201"/>
      <c r="AL417" s="196"/>
      <c r="AM417" s="201"/>
      <c r="AN417" s="201"/>
      <c r="AO417" s="201"/>
      <c r="AP417" s="211"/>
      <c r="AQ417" s="212"/>
      <c r="AR417" s="201"/>
      <c r="AS417" s="201"/>
      <c r="AT417" s="201"/>
      <c r="AU417" s="201"/>
      <c r="AV417" s="202"/>
      <c r="AW417" s="194"/>
      <c r="AX417" s="201"/>
      <c r="AY417" s="213"/>
      <c r="AZ417" s="214"/>
      <c r="BA417" s="215"/>
      <c r="BB417" s="216"/>
      <c r="BC417" s="217" t="str">
        <f t="shared" si="78"/>
        <v/>
      </c>
      <c r="BD417" s="218"/>
      <c r="BE417" s="219"/>
      <c r="BF417" s="220"/>
      <c r="BG417" s="219"/>
      <c r="BH417" s="219"/>
      <c r="BI417" s="220"/>
      <c r="BJ417" s="218"/>
      <c r="BK417" s="219"/>
      <c r="BL417" s="197"/>
      <c r="BM417" s="215"/>
      <c r="BN417" s="221"/>
      <c r="BO417" s="222" t="str">
        <f t="shared" si="79"/>
        <v/>
      </c>
      <c r="BP417" s="217" t="str">
        <f t="shared" si="80"/>
        <v/>
      </c>
      <c r="BQ417" s="215"/>
      <c r="BR417" s="224"/>
      <c r="BS417" s="225"/>
      <c r="BT417" s="223"/>
      <c r="BU417" s="215"/>
      <c r="BV417" s="226"/>
      <c r="BW417" s="222" t="str">
        <f t="shared" si="81"/>
        <v/>
      </c>
      <c r="BX417" s="223" t="str">
        <f t="shared" si="82"/>
        <v/>
      </c>
      <c r="BY417" s="215"/>
      <c r="BZ417" s="227"/>
      <c r="CA417" s="227"/>
      <c r="CB417" s="228"/>
      <c r="CC417" s="229"/>
      <c r="CD417" s="230" t="str">
        <f t="shared" si="83"/>
        <v/>
      </c>
      <c r="CE417" s="231" t="str">
        <f t="shared" si="84"/>
        <v/>
      </c>
      <c r="CF417" s="232" t="str">
        <f t="shared" si="85"/>
        <v/>
      </c>
      <c r="CG417" s="233" t="str">
        <f t="shared" si="86"/>
        <v/>
      </c>
      <c r="CH417" s="207" t="str">
        <f>IF(OR(G417="",CC417= ""), "", IF(ISERROR(SMALL((CJ417,CN417,CV417), 1)-CC417), "",  SMALL((CJ417,CN417,CV417), 1)-CC417))</f>
        <v/>
      </c>
      <c r="CI417" s="234"/>
      <c r="CJ417" s="235"/>
      <c r="CK417" s="236"/>
      <c r="CL417" s="222" t="str">
        <f t="shared" si="87"/>
        <v/>
      </c>
      <c r="CM417" s="237" t="str">
        <f>IF(OR(G417="", CJ417="",CK417=""), "", IF(ISERROR(SMALL((CN417,CV417), 1)-CK417), "",  SMALL((CN417,CV417), 1)-CK417))</f>
        <v/>
      </c>
      <c r="CN417" s="235"/>
      <c r="CO417" s="236"/>
      <c r="CP417" s="224" t="str">
        <f t="shared" si="88"/>
        <v/>
      </c>
      <c r="CQ417" s="235"/>
      <c r="CR417" s="236"/>
      <c r="CS417" s="222" t="str">
        <f t="shared" si="89"/>
        <v/>
      </c>
      <c r="CT417" s="237" t="str">
        <f t="shared" si="90"/>
        <v/>
      </c>
      <c r="CU417" s="238"/>
      <c r="CV417" s="239"/>
      <c r="CW417" s="240"/>
    </row>
    <row r="418" spans="2:101" ht="16.5" customHeight="1">
      <c r="B418" s="122"/>
      <c r="E418" s="122"/>
      <c r="F418" s="194"/>
      <c r="G418" s="195"/>
      <c r="H418" s="195"/>
      <c r="I418" s="195"/>
      <c r="J418" s="196"/>
      <c r="K418" s="197"/>
      <c r="L418" s="198"/>
      <c r="M418" s="199"/>
      <c r="N418" s="200"/>
      <c r="O418" s="201"/>
      <c r="P418" s="201"/>
      <c r="Q418" s="201"/>
      <c r="R418" s="201"/>
      <c r="S418" s="201"/>
      <c r="T418" s="201"/>
      <c r="U418" s="201"/>
      <c r="V418" s="201"/>
      <c r="W418" s="201"/>
      <c r="X418" s="202"/>
      <c r="Y418" s="203"/>
      <c r="Z418" s="204"/>
      <c r="AA418" s="205"/>
      <c r="AB418" s="206"/>
      <c r="AC418" s="206"/>
      <c r="AD418" s="194"/>
      <c r="AE418" s="201"/>
      <c r="AF418" s="207"/>
      <c r="AG418" s="208"/>
      <c r="AH418" s="209"/>
      <c r="AI418" s="210"/>
      <c r="AJ418" s="197"/>
      <c r="AK418" s="201"/>
      <c r="AL418" s="196"/>
      <c r="AM418" s="201"/>
      <c r="AN418" s="201"/>
      <c r="AO418" s="201"/>
      <c r="AP418" s="211"/>
      <c r="AQ418" s="212"/>
      <c r="AR418" s="201"/>
      <c r="AS418" s="201"/>
      <c r="AT418" s="201"/>
      <c r="AU418" s="201"/>
      <c r="AV418" s="202"/>
      <c r="AW418" s="194"/>
      <c r="AX418" s="201"/>
      <c r="AY418" s="213"/>
      <c r="AZ418" s="214"/>
      <c r="BA418" s="215"/>
      <c r="BB418" s="216"/>
      <c r="BC418" s="217" t="str">
        <f t="shared" si="78"/>
        <v/>
      </c>
      <c r="BD418" s="218"/>
      <c r="BE418" s="219"/>
      <c r="BF418" s="220"/>
      <c r="BG418" s="219"/>
      <c r="BH418" s="219"/>
      <c r="BI418" s="220"/>
      <c r="BJ418" s="218"/>
      <c r="BK418" s="219"/>
      <c r="BL418" s="197"/>
      <c r="BM418" s="215"/>
      <c r="BN418" s="221"/>
      <c r="BO418" s="222" t="str">
        <f t="shared" si="79"/>
        <v/>
      </c>
      <c r="BP418" s="217" t="str">
        <f t="shared" si="80"/>
        <v/>
      </c>
      <c r="BQ418" s="215"/>
      <c r="BR418" s="224"/>
      <c r="BS418" s="225"/>
      <c r="BT418" s="223"/>
      <c r="BU418" s="215"/>
      <c r="BV418" s="226"/>
      <c r="BW418" s="222" t="str">
        <f t="shared" si="81"/>
        <v/>
      </c>
      <c r="BX418" s="223" t="str">
        <f t="shared" si="82"/>
        <v/>
      </c>
      <c r="BY418" s="215"/>
      <c r="BZ418" s="227"/>
      <c r="CA418" s="227"/>
      <c r="CB418" s="228"/>
      <c r="CC418" s="229"/>
      <c r="CD418" s="230" t="str">
        <f t="shared" si="83"/>
        <v/>
      </c>
      <c r="CE418" s="231" t="str">
        <f t="shared" si="84"/>
        <v/>
      </c>
      <c r="CF418" s="232" t="str">
        <f t="shared" si="85"/>
        <v/>
      </c>
      <c r="CG418" s="233" t="str">
        <f t="shared" si="86"/>
        <v/>
      </c>
      <c r="CH418" s="207" t="str">
        <f>IF(OR(G418="",CC418= ""), "", IF(ISERROR(SMALL((CJ418,CN418,CV418), 1)-CC418), "",  SMALL((CJ418,CN418,CV418), 1)-CC418))</f>
        <v/>
      </c>
      <c r="CI418" s="234"/>
      <c r="CJ418" s="235"/>
      <c r="CK418" s="236"/>
      <c r="CL418" s="222" t="str">
        <f t="shared" si="87"/>
        <v/>
      </c>
      <c r="CM418" s="237" t="str">
        <f>IF(OR(G418="", CJ418="",CK418=""), "", IF(ISERROR(SMALL((CN418,CV418), 1)-CK418), "",  SMALL((CN418,CV418), 1)-CK418))</f>
        <v/>
      </c>
      <c r="CN418" s="235"/>
      <c r="CO418" s="236"/>
      <c r="CP418" s="224" t="str">
        <f t="shared" si="88"/>
        <v/>
      </c>
      <c r="CQ418" s="235"/>
      <c r="CR418" s="236"/>
      <c r="CS418" s="222" t="str">
        <f t="shared" si="89"/>
        <v/>
      </c>
      <c r="CT418" s="237" t="str">
        <f t="shared" si="90"/>
        <v/>
      </c>
      <c r="CU418" s="238"/>
      <c r="CV418" s="239"/>
      <c r="CW418" s="240"/>
    </row>
    <row r="419" spans="2:101" ht="16.5" customHeight="1">
      <c r="B419" s="122"/>
      <c r="E419" s="122"/>
      <c r="F419" s="194"/>
      <c r="G419" s="195"/>
      <c r="H419" s="195"/>
      <c r="I419" s="195"/>
      <c r="J419" s="196"/>
      <c r="K419" s="197"/>
      <c r="L419" s="198"/>
      <c r="M419" s="199"/>
      <c r="N419" s="200"/>
      <c r="O419" s="201"/>
      <c r="P419" s="201"/>
      <c r="Q419" s="201"/>
      <c r="R419" s="201"/>
      <c r="S419" s="201"/>
      <c r="T419" s="201"/>
      <c r="U419" s="201"/>
      <c r="V419" s="201"/>
      <c r="W419" s="201"/>
      <c r="X419" s="202"/>
      <c r="Y419" s="203"/>
      <c r="Z419" s="204"/>
      <c r="AA419" s="205"/>
      <c r="AB419" s="206"/>
      <c r="AC419" s="206"/>
      <c r="AD419" s="194"/>
      <c r="AE419" s="201"/>
      <c r="AF419" s="207"/>
      <c r="AG419" s="208"/>
      <c r="AH419" s="209"/>
      <c r="AI419" s="210"/>
      <c r="AJ419" s="197"/>
      <c r="AK419" s="201"/>
      <c r="AL419" s="196"/>
      <c r="AM419" s="201"/>
      <c r="AN419" s="201"/>
      <c r="AO419" s="201"/>
      <c r="AP419" s="211"/>
      <c r="AQ419" s="212"/>
      <c r="AR419" s="201"/>
      <c r="AS419" s="201"/>
      <c r="AT419" s="201"/>
      <c r="AU419" s="201"/>
      <c r="AV419" s="202"/>
      <c r="AW419" s="194"/>
      <c r="AX419" s="201"/>
      <c r="AY419" s="213"/>
      <c r="AZ419" s="214"/>
      <c r="BA419" s="215"/>
      <c r="BB419" s="216"/>
      <c r="BC419" s="217" t="str">
        <f t="shared" si="78"/>
        <v/>
      </c>
      <c r="BD419" s="218"/>
      <c r="BE419" s="219"/>
      <c r="BF419" s="220"/>
      <c r="BG419" s="219"/>
      <c r="BH419" s="219"/>
      <c r="BI419" s="220"/>
      <c r="BJ419" s="218"/>
      <c r="BK419" s="219"/>
      <c r="BL419" s="197"/>
      <c r="BM419" s="215"/>
      <c r="BN419" s="221"/>
      <c r="BO419" s="222" t="str">
        <f t="shared" si="79"/>
        <v/>
      </c>
      <c r="BP419" s="217" t="str">
        <f t="shared" si="80"/>
        <v/>
      </c>
      <c r="BQ419" s="215"/>
      <c r="BR419" s="224"/>
      <c r="BS419" s="225"/>
      <c r="BT419" s="223"/>
      <c r="BU419" s="215"/>
      <c r="BV419" s="226"/>
      <c r="BW419" s="222" t="str">
        <f t="shared" si="81"/>
        <v/>
      </c>
      <c r="BX419" s="223" t="str">
        <f t="shared" si="82"/>
        <v/>
      </c>
      <c r="BY419" s="215"/>
      <c r="BZ419" s="227"/>
      <c r="CA419" s="227"/>
      <c r="CB419" s="228"/>
      <c r="CC419" s="229"/>
      <c r="CD419" s="230" t="str">
        <f t="shared" si="83"/>
        <v/>
      </c>
      <c r="CE419" s="231" t="str">
        <f t="shared" si="84"/>
        <v/>
      </c>
      <c r="CF419" s="232" t="str">
        <f t="shared" si="85"/>
        <v/>
      </c>
      <c r="CG419" s="233" t="str">
        <f t="shared" si="86"/>
        <v/>
      </c>
      <c r="CH419" s="207" t="str">
        <f>IF(OR(G419="",CC419= ""), "", IF(ISERROR(SMALL((CJ419,CN419,CV419), 1)-CC419), "",  SMALL((CJ419,CN419,CV419), 1)-CC419))</f>
        <v/>
      </c>
      <c r="CI419" s="234"/>
      <c r="CJ419" s="235"/>
      <c r="CK419" s="236"/>
      <c r="CL419" s="222" t="str">
        <f t="shared" si="87"/>
        <v/>
      </c>
      <c r="CM419" s="237" t="str">
        <f>IF(OR(G419="", CJ419="",CK419=""), "", IF(ISERROR(SMALL((CN419,CV419), 1)-CK419), "",  SMALL((CN419,CV419), 1)-CK419))</f>
        <v/>
      </c>
      <c r="CN419" s="235"/>
      <c r="CO419" s="236"/>
      <c r="CP419" s="224" t="str">
        <f t="shared" si="88"/>
        <v/>
      </c>
      <c r="CQ419" s="235"/>
      <c r="CR419" s="236"/>
      <c r="CS419" s="222" t="str">
        <f t="shared" si="89"/>
        <v/>
      </c>
      <c r="CT419" s="237" t="str">
        <f t="shared" si="90"/>
        <v/>
      </c>
      <c r="CU419" s="238"/>
      <c r="CV419" s="239"/>
      <c r="CW419" s="240"/>
    </row>
    <row r="420" spans="2:101" ht="16.5" customHeight="1">
      <c r="B420" s="122"/>
      <c r="E420" s="122"/>
      <c r="F420" s="194"/>
      <c r="G420" s="195"/>
      <c r="H420" s="195"/>
      <c r="I420" s="195"/>
      <c r="J420" s="196"/>
      <c r="K420" s="197"/>
      <c r="L420" s="198"/>
      <c r="M420" s="199"/>
      <c r="N420" s="200"/>
      <c r="O420" s="201"/>
      <c r="P420" s="201"/>
      <c r="Q420" s="201"/>
      <c r="R420" s="201"/>
      <c r="S420" s="201"/>
      <c r="T420" s="201"/>
      <c r="U420" s="201"/>
      <c r="V420" s="201"/>
      <c r="W420" s="201"/>
      <c r="X420" s="202"/>
      <c r="Y420" s="203"/>
      <c r="Z420" s="204"/>
      <c r="AA420" s="205"/>
      <c r="AB420" s="206"/>
      <c r="AC420" s="206"/>
      <c r="AD420" s="194"/>
      <c r="AE420" s="201"/>
      <c r="AF420" s="207"/>
      <c r="AG420" s="208"/>
      <c r="AH420" s="209"/>
      <c r="AI420" s="210"/>
      <c r="AJ420" s="197"/>
      <c r="AK420" s="201"/>
      <c r="AL420" s="196"/>
      <c r="AM420" s="201"/>
      <c r="AN420" s="201"/>
      <c r="AO420" s="201"/>
      <c r="AP420" s="211"/>
      <c r="AQ420" s="212"/>
      <c r="AR420" s="201"/>
      <c r="AS420" s="201"/>
      <c r="AT420" s="201"/>
      <c r="AU420" s="201"/>
      <c r="AV420" s="202"/>
      <c r="AW420" s="194"/>
      <c r="AX420" s="201"/>
      <c r="AY420" s="213"/>
      <c r="AZ420" s="214"/>
      <c r="BA420" s="215"/>
      <c r="BB420" s="216"/>
      <c r="BC420" s="217" t="str">
        <f t="shared" si="78"/>
        <v/>
      </c>
      <c r="BD420" s="218"/>
      <c r="BE420" s="219"/>
      <c r="BF420" s="220"/>
      <c r="BG420" s="219"/>
      <c r="BH420" s="219"/>
      <c r="BI420" s="220"/>
      <c r="BJ420" s="218"/>
      <c r="BK420" s="219"/>
      <c r="BL420" s="197"/>
      <c r="BM420" s="215"/>
      <c r="BN420" s="221"/>
      <c r="BO420" s="222" t="str">
        <f t="shared" si="79"/>
        <v/>
      </c>
      <c r="BP420" s="217" t="str">
        <f t="shared" si="80"/>
        <v/>
      </c>
      <c r="BQ420" s="215"/>
      <c r="BR420" s="224"/>
      <c r="BS420" s="225"/>
      <c r="BT420" s="223"/>
      <c r="BU420" s="215"/>
      <c r="BV420" s="226"/>
      <c r="BW420" s="222" t="str">
        <f t="shared" si="81"/>
        <v/>
      </c>
      <c r="BX420" s="223" t="str">
        <f t="shared" si="82"/>
        <v/>
      </c>
      <c r="BY420" s="215"/>
      <c r="BZ420" s="227"/>
      <c r="CA420" s="227"/>
      <c r="CB420" s="228"/>
      <c r="CC420" s="229"/>
      <c r="CD420" s="230" t="str">
        <f t="shared" si="83"/>
        <v/>
      </c>
      <c r="CE420" s="231" t="str">
        <f t="shared" si="84"/>
        <v/>
      </c>
      <c r="CF420" s="232" t="str">
        <f t="shared" si="85"/>
        <v/>
      </c>
      <c r="CG420" s="233" t="str">
        <f t="shared" si="86"/>
        <v/>
      </c>
      <c r="CH420" s="207" t="str">
        <f>IF(OR(G420="",CC420= ""), "", IF(ISERROR(SMALL((CJ420,CN420,CV420), 1)-CC420), "",  SMALL((CJ420,CN420,CV420), 1)-CC420))</f>
        <v/>
      </c>
      <c r="CI420" s="234"/>
      <c r="CJ420" s="235"/>
      <c r="CK420" s="236"/>
      <c r="CL420" s="222" t="str">
        <f t="shared" si="87"/>
        <v/>
      </c>
      <c r="CM420" s="237" t="str">
        <f>IF(OR(G420="", CJ420="",CK420=""), "", IF(ISERROR(SMALL((CN420,CV420), 1)-CK420), "",  SMALL((CN420,CV420), 1)-CK420))</f>
        <v/>
      </c>
      <c r="CN420" s="235"/>
      <c r="CO420" s="236"/>
      <c r="CP420" s="224" t="str">
        <f t="shared" si="88"/>
        <v/>
      </c>
      <c r="CQ420" s="235"/>
      <c r="CR420" s="236"/>
      <c r="CS420" s="222" t="str">
        <f t="shared" si="89"/>
        <v/>
      </c>
      <c r="CT420" s="237" t="str">
        <f t="shared" si="90"/>
        <v/>
      </c>
      <c r="CU420" s="238"/>
      <c r="CV420" s="239"/>
      <c r="CW420" s="240"/>
    </row>
    <row r="421" spans="2:101" ht="16.5" customHeight="1">
      <c r="B421" s="122"/>
      <c r="E421" s="122"/>
      <c r="F421" s="194"/>
      <c r="G421" s="195"/>
      <c r="H421" s="195"/>
      <c r="I421" s="195"/>
      <c r="J421" s="196"/>
      <c r="K421" s="197"/>
      <c r="L421" s="198"/>
      <c r="M421" s="199"/>
      <c r="N421" s="200"/>
      <c r="O421" s="201"/>
      <c r="P421" s="201"/>
      <c r="Q421" s="201"/>
      <c r="R421" s="201"/>
      <c r="S421" s="201"/>
      <c r="T421" s="201"/>
      <c r="U421" s="201"/>
      <c r="V421" s="201"/>
      <c r="W421" s="201"/>
      <c r="X421" s="202"/>
      <c r="Y421" s="203"/>
      <c r="Z421" s="204"/>
      <c r="AA421" s="205"/>
      <c r="AB421" s="206"/>
      <c r="AC421" s="206"/>
      <c r="AD421" s="194"/>
      <c r="AE421" s="201"/>
      <c r="AF421" s="207"/>
      <c r="AG421" s="208"/>
      <c r="AH421" s="209"/>
      <c r="AI421" s="210"/>
      <c r="AJ421" s="197"/>
      <c r="AK421" s="201"/>
      <c r="AL421" s="196"/>
      <c r="AM421" s="201"/>
      <c r="AN421" s="201"/>
      <c r="AO421" s="201"/>
      <c r="AP421" s="211"/>
      <c r="AQ421" s="212"/>
      <c r="AR421" s="201"/>
      <c r="AS421" s="201"/>
      <c r="AT421" s="201"/>
      <c r="AU421" s="201"/>
      <c r="AV421" s="202"/>
      <c r="AW421" s="194"/>
      <c r="AX421" s="201"/>
      <c r="AY421" s="213"/>
      <c r="AZ421" s="214"/>
      <c r="BA421" s="215"/>
      <c r="BB421" s="216"/>
      <c r="BC421" s="217" t="str">
        <f t="shared" si="78"/>
        <v/>
      </c>
      <c r="BD421" s="218"/>
      <c r="BE421" s="219"/>
      <c r="BF421" s="220"/>
      <c r="BG421" s="219"/>
      <c r="BH421" s="219"/>
      <c r="BI421" s="220"/>
      <c r="BJ421" s="218"/>
      <c r="BK421" s="219"/>
      <c r="BL421" s="197"/>
      <c r="BM421" s="215"/>
      <c r="BN421" s="221"/>
      <c r="BO421" s="222" t="str">
        <f t="shared" si="79"/>
        <v/>
      </c>
      <c r="BP421" s="217" t="str">
        <f t="shared" si="80"/>
        <v/>
      </c>
      <c r="BQ421" s="215"/>
      <c r="BR421" s="224"/>
      <c r="BS421" s="225"/>
      <c r="BT421" s="223"/>
      <c r="BU421" s="215"/>
      <c r="BV421" s="226"/>
      <c r="BW421" s="222" t="str">
        <f t="shared" si="81"/>
        <v/>
      </c>
      <c r="BX421" s="223" t="str">
        <f t="shared" si="82"/>
        <v/>
      </c>
      <c r="BY421" s="215"/>
      <c r="BZ421" s="227"/>
      <c r="CA421" s="227"/>
      <c r="CB421" s="228"/>
      <c r="CC421" s="229"/>
      <c r="CD421" s="230" t="str">
        <f t="shared" si="83"/>
        <v/>
      </c>
      <c r="CE421" s="231" t="str">
        <f t="shared" si="84"/>
        <v/>
      </c>
      <c r="CF421" s="232" t="str">
        <f t="shared" si="85"/>
        <v/>
      </c>
      <c r="CG421" s="233" t="str">
        <f t="shared" si="86"/>
        <v/>
      </c>
      <c r="CH421" s="207" t="str">
        <f>IF(OR(G421="",CC421= ""), "", IF(ISERROR(SMALL((CJ421,CN421,CV421), 1)-CC421), "",  SMALL((CJ421,CN421,CV421), 1)-CC421))</f>
        <v/>
      </c>
      <c r="CI421" s="234"/>
      <c r="CJ421" s="235"/>
      <c r="CK421" s="236"/>
      <c r="CL421" s="222" t="str">
        <f t="shared" si="87"/>
        <v/>
      </c>
      <c r="CM421" s="237" t="str">
        <f>IF(OR(G421="", CJ421="",CK421=""), "", IF(ISERROR(SMALL((CN421,CV421), 1)-CK421), "",  SMALL((CN421,CV421), 1)-CK421))</f>
        <v/>
      </c>
      <c r="CN421" s="235"/>
      <c r="CO421" s="236"/>
      <c r="CP421" s="224" t="str">
        <f t="shared" si="88"/>
        <v/>
      </c>
      <c r="CQ421" s="235"/>
      <c r="CR421" s="236"/>
      <c r="CS421" s="222" t="str">
        <f t="shared" si="89"/>
        <v/>
      </c>
      <c r="CT421" s="237" t="str">
        <f t="shared" si="90"/>
        <v/>
      </c>
      <c r="CU421" s="238"/>
      <c r="CV421" s="239"/>
      <c r="CW421" s="240"/>
    </row>
    <row r="422" spans="2:101" ht="16.5" customHeight="1">
      <c r="B422" s="122"/>
      <c r="E422" s="122"/>
      <c r="F422" s="194"/>
      <c r="G422" s="195"/>
      <c r="H422" s="195"/>
      <c r="I422" s="195"/>
      <c r="J422" s="196"/>
      <c r="K422" s="197"/>
      <c r="L422" s="198"/>
      <c r="M422" s="199"/>
      <c r="N422" s="200"/>
      <c r="O422" s="201"/>
      <c r="P422" s="201"/>
      <c r="Q422" s="201"/>
      <c r="R422" s="201"/>
      <c r="S422" s="201"/>
      <c r="T422" s="201"/>
      <c r="U422" s="201"/>
      <c r="V422" s="201"/>
      <c r="W422" s="201"/>
      <c r="X422" s="202"/>
      <c r="Y422" s="203"/>
      <c r="Z422" s="204"/>
      <c r="AA422" s="205"/>
      <c r="AB422" s="206"/>
      <c r="AC422" s="206"/>
      <c r="AD422" s="194"/>
      <c r="AE422" s="201"/>
      <c r="AF422" s="207"/>
      <c r="AG422" s="208"/>
      <c r="AH422" s="209"/>
      <c r="AI422" s="210"/>
      <c r="AJ422" s="197"/>
      <c r="AK422" s="201"/>
      <c r="AL422" s="196"/>
      <c r="AM422" s="201"/>
      <c r="AN422" s="201"/>
      <c r="AO422" s="201"/>
      <c r="AP422" s="211"/>
      <c r="AQ422" s="212"/>
      <c r="AR422" s="201"/>
      <c r="AS422" s="201"/>
      <c r="AT422" s="201"/>
      <c r="AU422" s="201"/>
      <c r="AV422" s="202"/>
      <c r="AW422" s="194"/>
      <c r="AX422" s="201"/>
      <c r="AY422" s="213"/>
      <c r="AZ422" s="214"/>
      <c r="BA422" s="215"/>
      <c r="BB422" s="216"/>
      <c r="BC422" s="217" t="str">
        <f t="shared" si="78"/>
        <v/>
      </c>
      <c r="BD422" s="218"/>
      <c r="BE422" s="219"/>
      <c r="BF422" s="220"/>
      <c r="BG422" s="219"/>
      <c r="BH422" s="219"/>
      <c r="BI422" s="220"/>
      <c r="BJ422" s="218"/>
      <c r="BK422" s="219"/>
      <c r="BL422" s="197"/>
      <c r="BM422" s="215"/>
      <c r="BN422" s="221"/>
      <c r="BO422" s="222" t="str">
        <f t="shared" si="79"/>
        <v/>
      </c>
      <c r="BP422" s="217" t="str">
        <f t="shared" si="80"/>
        <v/>
      </c>
      <c r="BQ422" s="215"/>
      <c r="BR422" s="224"/>
      <c r="BS422" s="225"/>
      <c r="BT422" s="223"/>
      <c r="BU422" s="215"/>
      <c r="BV422" s="226"/>
      <c r="BW422" s="222" t="str">
        <f t="shared" si="81"/>
        <v/>
      </c>
      <c r="BX422" s="223" t="str">
        <f t="shared" si="82"/>
        <v/>
      </c>
      <c r="BY422" s="215"/>
      <c r="BZ422" s="227"/>
      <c r="CA422" s="227"/>
      <c r="CB422" s="228"/>
      <c r="CC422" s="229"/>
      <c r="CD422" s="230" t="str">
        <f t="shared" si="83"/>
        <v/>
      </c>
      <c r="CE422" s="231" t="str">
        <f t="shared" si="84"/>
        <v/>
      </c>
      <c r="CF422" s="232" t="str">
        <f t="shared" si="85"/>
        <v/>
      </c>
      <c r="CG422" s="233" t="str">
        <f t="shared" si="86"/>
        <v/>
      </c>
      <c r="CH422" s="207" t="str">
        <f>IF(OR(G422="",CC422= ""), "", IF(ISERROR(SMALL((CJ422,CN422,CV422), 1)-CC422), "",  SMALL((CJ422,CN422,CV422), 1)-CC422))</f>
        <v/>
      </c>
      <c r="CI422" s="234"/>
      <c r="CJ422" s="235"/>
      <c r="CK422" s="236"/>
      <c r="CL422" s="222" t="str">
        <f t="shared" si="87"/>
        <v/>
      </c>
      <c r="CM422" s="237" t="str">
        <f>IF(OR(G422="", CJ422="",CK422=""), "", IF(ISERROR(SMALL((CN422,CV422), 1)-CK422), "",  SMALL((CN422,CV422), 1)-CK422))</f>
        <v/>
      </c>
      <c r="CN422" s="235"/>
      <c r="CO422" s="236"/>
      <c r="CP422" s="224" t="str">
        <f t="shared" si="88"/>
        <v/>
      </c>
      <c r="CQ422" s="235"/>
      <c r="CR422" s="236"/>
      <c r="CS422" s="222" t="str">
        <f t="shared" si="89"/>
        <v/>
      </c>
      <c r="CT422" s="237" t="str">
        <f t="shared" si="90"/>
        <v/>
      </c>
      <c r="CU422" s="238"/>
      <c r="CV422" s="239"/>
      <c r="CW422" s="240"/>
    </row>
    <row r="423" spans="2:101" ht="16.5" customHeight="1">
      <c r="B423" s="122"/>
      <c r="E423" s="122"/>
      <c r="F423" s="194"/>
      <c r="G423" s="195"/>
      <c r="H423" s="195"/>
      <c r="I423" s="195"/>
      <c r="J423" s="196"/>
      <c r="K423" s="197"/>
      <c r="L423" s="198"/>
      <c r="M423" s="199"/>
      <c r="N423" s="200"/>
      <c r="O423" s="201"/>
      <c r="P423" s="201"/>
      <c r="Q423" s="201"/>
      <c r="R423" s="201"/>
      <c r="S423" s="201"/>
      <c r="T423" s="201"/>
      <c r="U423" s="201"/>
      <c r="V423" s="201"/>
      <c r="W423" s="201"/>
      <c r="X423" s="202"/>
      <c r="Y423" s="203"/>
      <c r="Z423" s="204"/>
      <c r="AA423" s="205"/>
      <c r="AB423" s="206"/>
      <c r="AC423" s="206"/>
      <c r="AD423" s="194"/>
      <c r="AE423" s="201"/>
      <c r="AF423" s="207"/>
      <c r="AG423" s="208"/>
      <c r="AH423" s="209"/>
      <c r="AI423" s="210"/>
      <c r="AJ423" s="197"/>
      <c r="AK423" s="201"/>
      <c r="AL423" s="196"/>
      <c r="AM423" s="201"/>
      <c r="AN423" s="201"/>
      <c r="AO423" s="201"/>
      <c r="AP423" s="211"/>
      <c r="AQ423" s="212"/>
      <c r="AR423" s="201"/>
      <c r="AS423" s="201"/>
      <c r="AT423" s="201"/>
      <c r="AU423" s="201"/>
      <c r="AV423" s="202"/>
      <c r="AW423" s="194"/>
      <c r="AX423" s="201"/>
      <c r="AY423" s="213"/>
      <c r="AZ423" s="214"/>
      <c r="BA423" s="215"/>
      <c r="BB423" s="216"/>
      <c r="BC423" s="217" t="str">
        <f t="shared" si="78"/>
        <v/>
      </c>
      <c r="BD423" s="218"/>
      <c r="BE423" s="219"/>
      <c r="BF423" s="220"/>
      <c r="BG423" s="219"/>
      <c r="BH423" s="219"/>
      <c r="BI423" s="220"/>
      <c r="BJ423" s="218"/>
      <c r="BK423" s="219"/>
      <c r="BL423" s="197"/>
      <c r="BM423" s="215"/>
      <c r="BN423" s="221"/>
      <c r="BO423" s="222" t="str">
        <f t="shared" si="79"/>
        <v/>
      </c>
      <c r="BP423" s="217" t="str">
        <f t="shared" si="80"/>
        <v/>
      </c>
      <c r="BQ423" s="215"/>
      <c r="BR423" s="224"/>
      <c r="BS423" s="225"/>
      <c r="BT423" s="223"/>
      <c r="BU423" s="215"/>
      <c r="BV423" s="226"/>
      <c r="BW423" s="222" t="str">
        <f t="shared" si="81"/>
        <v/>
      </c>
      <c r="BX423" s="223" t="str">
        <f t="shared" si="82"/>
        <v/>
      </c>
      <c r="BY423" s="215"/>
      <c r="BZ423" s="227"/>
      <c r="CA423" s="227"/>
      <c r="CB423" s="228"/>
      <c r="CC423" s="229"/>
      <c r="CD423" s="230" t="str">
        <f t="shared" si="83"/>
        <v/>
      </c>
      <c r="CE423" s="231" t="str">
        <f t="shared" si="84"/>
        <v/>
      </c>
      <c r="CF423" s="232" t="str">
        <f t="shared" si="85"/>
        <v/>
      </c>
      <c r="CG423" s="233" t="str">
        <f t="shared" si="86"/>
        <v/>
      </c>
      <c r="CH423" s="207" t="str">
        <f>IF(OR(G423="",CC423= ""), "", IF(ISERROR(SMALL((CJ423,CN423,CV423), 1)-CC423), "",  SMALL((CJ423,CN423,CV423), 1)-CC423))</f>
        <v/>
      </c>
      <c r="CI423" s="234"/>
      <c r="CJ423" s="235"/>
      <c r="CK423" s="236"/>
      <c r="CL423" s="222" t="str">
        <f t="shared" si="87"/>
        <v/>
      </c>
      <c r="CM423" s="237" t="str">
        <f>IF(OR(G423="", CJ423="",CK423=""), "", IF(ISERROR(SMALL((CN423,CV423), 1)-CK423), "",  SMALL((CN423,CV423), 1)-CK423))</f>
        <v/>
      </c>
      <c r="CN423" s="235"/>
      <c r="CO423" s="236"/>
      <c r="CP423" s="224" t="str">
        <f t="shared" si="88"/>
        <v/>
      </c>
      <c r="CQ423" s="235"/>
      <c r="CR423" s="236"/>
      <c r="CS423" s="222" t="str">
        <f t="shared" si="89"/>
        <v/>
      </c>
      <c r="CT423" s="237" t="str">
        <f t="shared" si="90"/>
        <v/>
      </c>
      <c r="CU423" s="238"/>
      <c r="CV423" s="239"/>
      <c r="CW423" s="240"/>
    </row>
    <row r="424" spans="2:101" ht="16.5" customHeight="1">
      <c r="B424" s="122"/>
      <c r="E424" s="122"/>
      <c r="F424" s="194"/>
      <c r="G424" s="195"/>
      <c r="H424" s="195"/>
      <c r="I424" s="195"/>
      <c r="J424" s="196"/>
      <c r="K424" s="197"/>
      <c r="L424" s="198"/>
      <c r="M424" s="199"/>
      <c r="N424" s="200"/>
      <c r="O424" s="201"/>
      <c r="P424" s="201"/>
      <c r="Q424" s="201"/>
      <c r="R424" s="201"/>
      <c r="S424" s="201"/>
      <c r="T424" s="201"/>
      <c r="U424" s="201"/>
      <c r="V424" s="201"/>
      <c r="W424" s="201"/>
      <c r="X424" s="202"/>
      <c r="Y424" s="203"/>
      <c r="Z424" s="204"/>
      <c r="AA424" s="205"/>
      <c r="AB424" s="206"/>
      <c r="AC424" s="206"/>
      <c r="AD424" s="194"/>
      <c r="AE424" s="201"/>
      <c r="AF424" s="207"/>
      <c r="AG424" s="208"/>
      <c r="AH424" s="209"/>
      <c r="AI424" s="210"/>
      <c r="AJ424" s="197"/>
      <c r="AK424" s="201"/>
      <c r="AL424" s="196"/>
      <c r="AM424" s="201"/>
      <c r="AN424" s="201"/>
      <c r="AO424" s="201"/>
      <c r="AP424" s="211"/>
      <c r="AQ424" s="212"/>
      <c r="AR424" s="201"/>
      <c r="AS424" s="201"/>
      <c r="AT424" s="201"/>
      <c r="AU424" s="201"/>
      <c r="AV424" s="202"/>
      <c r="AW424" s="194"/>
      <c r="AX424" s="201"/>
      <c r="AY424" s="213"/>
      <c r="AZ424" s="214"/>
      <c r="BA424" s="215"/>
      <c r="BB424" s="216"/>
      <c r="BC424" s="217" t="str">
        <f t="shared" si="78"/>
        <v/>
      </c>
      <c r="BD424" s="218"/>
      <c r="BE424" s="219"/>
      <c r="BF424" s="220"/>
      <c r="BG424" s="219"/>
      <c r="BH424" s="219"/>
      <c r="BI424" s="220"/>
      <c r="BJ424" s="218"/>
      <c r="BK424" s="219"/>
      <c r="BL424" s="197"/>
      <c r="BM424" s="215"/>
      <c r="BN424" s="221"/>
      <c r="BO424" s="222" t="str">
        <f t="shared" si="79"/>
        <v/>
      </c>
      <c r="BP424" s="217" t="str">
        <f t="shared" si="80"/>
        <v/>
      </c>
      <c r="BQ424" s="215"/>
      <c r="BR424" s="224"/>
      <c r="BS424" s="225"/>
      <c r="BT424" s="223"/>
      <c r="BU424" s="215"/>
      <c r="BV424" s="226"/>
      <c r="BW424" s="222" t="str">
        <f t="shared" si="81"/>
        <v/>
      </c>
      <c r="BX424" s="223" t="str">
        <f t="shared" si="82"/>
        <v/>
      </c>
      <c r="BY424" s="215"/>
      <c r="BZ424" s="227"/>
      <c r="CA424" s="227"/>
      <c r="CB424" s="228"/>
      <c r="CC424" s="229"/>
      <c r="CD424" s="230" t="str">
        <f t="shared" si="83"/>
        <v/>
      </c>
      <c r="CE424" s="231" t="str">
        <f t="shared" si="84"/>
        <v/>
      </c>
      <c r="CF424" s="232" t="str">
        <f t="shared" si="85"/>
        <v/>
      </c>
      <c r="CG424" s="233" t="str">
        <f t="shared" si="86"/>
        <v/>
      </c>
      <c r="CH424" s="207" t="str">
        <f>IF(OR(G424="",CC424= ""), "", IF(ISERROR(SMALL((CJ424,CN424,CV424), 1)-CC424), "",  SMALL((CJ424,CN424,CV424), 1)-CC424))</f>
        <v/>
      </c>
      <c r="CI424" s="234"/>
      <c r="CJ424" s="235"/>
      <c r="CK424" s="236"/>
      <c r="CL424" s="222" t="str">
        <f t="shared" si="87"/>
        <v/>
      </c>
      <c r="CM424" s="237" t="str">
        <f>IF(OR(G424="", CJ424="",CK424=""), "", IF(ISERROR(SMALL((CN424,CV424), 1)-CK424), "",  SMALL((CN424,CV424), 1)-CK424))</f>
        <v/>
      </c>
      <c r="CN424" s="235"/>
      <c r="CO424" s="236"/>
      <c r="CP424" s="224" t="str">
        <f t="shared" si="88"/>
        <v/>
      </c>
      <c r="CQ424" s="235"/>
      <c r="CR424" s="236"/>
      <c r="CS424" s="222" t="str">
        <f t="shared" si="89"/>
        <v/>
      </c>
      <c r="CT424" s="237" t="str">
        <f t="shared" si="90"/>
        <v/>
      </c>
      <c r="CU424" s="238"/>
      <c r="CV424" s="239"/>
      <c r="CW424" s="240"/>
    </row>
    <row r="425" spans="2:101" ht="16.5" customHeight="1">
      <c r="B425" s="122"/>
      <c r="E425" s="122"/>
      <c r="F425" s="194"/>
      <c r="G425" s="195"/>
      <c r="H425" s="195"/>
      <c r="I425" s="195"/>
      <c r="J425" s="196"/>
      <c r="K425" s="197"/>
      <c r="L425" s="198"/>
      <c r="M425" s="199"/>
      <c r="N425" s="200"/>
      <c r="O425" s="201"/>
      <c r="P425" s="201"/>
      <c r="Q425" s="201"/>
      <c r="R425" s="201"/>
      <c r="S425" s="201"/>
      <c r="T425" s="201"/>
      <c r="U425" s="201"/>
      <c r="V425" s="201"/>
      <c r="W425" s="201"/>
      <c r="X425" s="202"/>
      <c r="Y425" s="203"/>
      <c r="Z425" s="204"/>
      <c r="AA425" s="205"/>
      <c r="AB425" s="206"/>
      <c r="AC425" s="206"/>
      <c r="AD425" s="194"/>
      <c r="AE425" s="201"/>
      <c r="AF425" s="207"/>
      <c r="AG425" s="208"/>
      <c r="AH425" s="209"/>
      <c r="AI425" s="210"/>
      <c r="AJ425" s="197"/>
      <c r="AK425" s="201"/>
      <c r="AL425" s="196"/>
      <c r="AM425" s="201"/>
      <c r="AN425" s="201"/>
      <c r="AO425" s="201"/>
      <c r="AP425" s="211"/>
      <c r="AQ425" s="212"/>
      <c r="AR425" s="201"/>
      <c r="AS425" s="201"/>
      <c r="AT425" s="201"/>
      <c r="AU425" s="201"/>
      <c r="AV425" s="202"/>
      <c r="AW425" s="194"/>
      <c r="AX425" s="201"/>
      <c r="AY425" s="213"/>
      <c r="AZ425" s="214"/>
      <c r="BA425" s="215"/>
      <c r="BB425" s="216"/>
      <c r="BC425" s="217" t="str">
        <f t="shared" si="78"/>
        <v/>
      </c>
      <c r="BD425" s="218"/>
      <c r="BE425" s="219"/>
      <c r="BF425" s="220"/>
      <c r="BG425" s="219"/>
      <c r="BH425" s="219"/>
      <c r="BI425" s="220"/>
      <c r="BJ425" s="218"/>
      <c r="BK425" s="219"/>
      <c r="BL425" s="197"/>
      <c r="BM425" s="215"/>
      <c r="BN425" s="221"/>
      <c r="BO425" s="222" t="str">
        <f t="shared" si="79"/>
        <v/>
      </c>
      <c r="BP425" s="217" t="str">
        <f t="shared" si="80"/>
        <v/>
      </c>
      <c r="BQ425" s="215"/>
      <c r="BR425" s="224"/>
      <c r="BS425" s="225"/>
      <c r="BT425" s="223"/>
      <c r="BU425" s="215"/>
      <c r="BV425" s="226"/>
      <c r="BW425" s="222" t="str">
        <f t="shared" si="81"/>
        <v/>
      </c>
      <c r="BX425" s="223" t="str">
        <f t="shared" si="82"/>
        <v/>
      </c>
      <c r="BY425" s="215"/>
      <c r="BZ425" s="227"/>
      <c r="CA425" s="227"/>
      <c r="CB425" s="228"/>
      <c r="CC425" s="229"/>
      <c r="CD425" s="230" t="str">
        <f t="shared" si="83"/>
        <v/>
      </c>
      <c r="CE425" s="231" t="str">
        <f t="shared" si="84"/>
        <v/>
      </c>
      <c r="CF425" s="232" t="str">
        <f t="shared" si="85"/>
        <v/>
      </c>
      <c r="CG425" s="233" t="str">
        <f t="shared" si="86"/>
        <v/>
      </c>
      <c r="CH425" s="207" t="str">
        <f>IF(OR(G425="",CC425= ""), "", IF(ISERROR(SMALL((CJ425,CN425,CV425), 1)-CC425), "",  SMALL((CJ425,CN425,CV425), 1)-CC425))</f>
        <v/>
      </c>
      <c r="CI425" s="234"/>
      <c r="CJ425" s="235"/>
      <c r="CK425" s="236"/>
      <c r="CL425" s="222" t="str">
        <f t="shared" si="87"/>
        <v/>
      </c>
      <c r="CM425" s="237" t="str">
        <f>IF(OR(G425="", CJ425="",CK425=""), "", IF(ISERROR(SMALL((CN425,CV425), 1)-CK425), "",  SMALL((CN425,CV425), 1)-CK425))</f>
        <v/>
      </c>
      <c r="CN425" s="235"/>
      <c r="CO425" s="236"/>
      <c r="CP425" s="224" t="str">
        <f t="shared" si="88"/>
        <v/>
      </c>
      <c r="CQ425" s="235"/>
      <c r="CR425" s="236"/>
      <c r="CS425" s="222" t="str">
        <f t="shared" si="89"/>
        <v/>
      </c>
      <c r="CT425" s="237" t="str">
        <f t="shared" si="90"/>
        <v/>
      </c>
      <c r="CU425" s="238"/>
      <c r="CV425" s="239"/>
      <c r="CW425" s="240"/>
    </row>
    <row r="426" spans="2:101" ht="16.5" customHeight="1">
      <c r="B426" s="122"/>
      <c r="E426" s="122"/>
      <c r="F426" s="194"/>
      <c r="G426" s="195"/>
      <c r="H426" s="195"/>
      <c r="I426" s="195"/>
      <c r="J426" s="196"/>
      <c r="K426" s="197"/>
      <c r="L426" s="198"/>
      <c r="M426" s="199"/>
      <c r="N426" s="200"/>
      <c r="O426" s="201"/>
      <c r="P426" s="201"/>
      <c r="Q426" s="201"/>
      <c r="R426" s="201"/>
      <c r="S426" s="201"/>
      <c r="T426" s="201"/>
      <c r="U426" s="201"/>
      <c r="V426" s="201"/>
      <c r="W426" s="201"/>
      <c r="X426" s="202"/>
      <c r="Y426" s="203"/>
      <c r="Z426" s="204"/>
      <c r="AA426" s="205"/>
      <c r="AB426" s="206"/>
      <c r="AC426" s="206"/>
      <c r="AD426" s="194"/>
      <c r="AE426" s="201"/>
      <c r="AF426" s="207"/>
      <c r="AG426" s="208"/>
      <c r="AH426" s="209"/>
      <c r="AI426" s="210"/>
      <c r="AJ426" s="197"/>
      <c r="AK426" s="201"/>
      <c r="AL426" s="196"/>
      <c r="AM426" s="201"/>
      <c r="AN426" s="201"/>
      <c r="AO426" s="201"/>
      <c r="AP426" s="211"/>
      <c r="AQ426" s="212"/>
      <c r="AR426" s="201"/>
      <c r="AS426" s="201"/>
      <c r="AT426" s="201"/>
      <c r="AU426" s="201"/>
      <c r="AV426" s="202"/>
      <c r="AW426" s="194"/>
      <c r="AX426" s="201"/>
      <c r="AY426" s="213"/>
      <c r="AZ426" s="214"/>
      <c r="BA426" s="215"/>
      <c r="BB426" s="216"/>
      <c r="BC426" s="217" t="str">
        <f t="shared" si="78"/>
        <v/>
      </c>
      <c r="BD426" s="218"/>
      <c r="BE426" s="219"/>
      <c r="BF426" s="220"/>
      <c r="BG426" s="219"/>
      <c r="BH426" s="219"/>
      <c r="BI426" s="220"/>
      <c r="BJ426" s="218"/>
      <c r="BK426" s="219"/>
      <c r="BL426" s="197"/>
      <c r="BM426" s="215"/>
      <c r="BN426" s="221"/>
      <c r="BO426" s="222" t="str">
        <f t="shared" si="79"/>
        <v/>
      </c>
      <c r="BP426" s="217" t="str">
        <f t="shared" si="80"/>
        <v/>
      </c>
      <c r="BQ426" s="215"/>
      <c r="BR426" s="224"/>
      <c r="BS426" s="225"/>
      <c r="BT426" s="223"/>
      <c r="BU426" s="215"/>
      <c r="BV426" s="226"/>
      <c r="BW426" s="222" t="str">
        <f t="shared" si="81"/>
        <v/>
      </c>
      <c r="BX426" s="223" t="str">
        <f t="shared" si="82"/>
        <v/>
      </c>
      <c r="BY426" s="215"/>
      <c r="BZ426" s="227"/>
      <c r="CA426" s="227"/>
      <c r="CB426" s="228"/>
      <c r="CC426" s="229"/>
      <c r="CD426" s="230" t="str">
        <f t="shared" si="83"/>
        <v/>
      </c>
      <c r="CE426" s="231" t="str">
        <f t="shared" si="84"/>
        <v/>
      </c>
      <c r="CF426" s="232" t="str">
        <f t="shared" si="85"/>
        <v/>
      </c>
      <c r="CG426" s="233" t="str">
        <f t="shared" si="86"/>
        <v/>
      </c>
      <c r="CH426" s="207" t="str">
        <f>IF(OR(G426="",CC426= ""), "", IF(ISERROR(SMALL((CJ426,CN426,CV426), 1)-CC426), "",  SMALL((CJ426,CN426,CV426), 1)-CC426))</f>
        <v/>
      </c>
      <c r="CI426" s="234"/>
      <c r="CJ426" s="235"/>
      <c r="CK426" s="236"/>
      <c r="CL426" s="222" t="str">
        <f t="shared" si="87"/>
        <v/>
      </c>
      <c r="CM426" s="237" t="str">
        <f>IF(OR(G426="", CJ426="",CK426=""), "", IF(ISERROR(SMALL((CN426,CV426), 1)-CK426), "",  SMALL((CN426,CV426), 1)-CK426))</f>
        <v/>
      </c>
      <c r="CN426" s="235"/>
      <c r="CO426" s="236"/>
      <c r="CP426" s="224" t="str">
        <f t="shared" si="88"/>
        <v/>
      </c>
      <c r="CQ426" s="235"/>
      <c r="CR426" s="236"/>
      <c r="CS426" s="222" t="str">
        <f t="shared" si="89"/>
        <v/>
      </c>
      <c r="CT426" s="237" t="str">
        <f t="shared" si="90"/>
        <v/>
      </c>
      <c r="CU426" s="238"/>
      <c r="CV426" s="239"/>
      <c r="CW426" s="240"/>
    </row>
    <row r="427" spans="2:101" ht="16.5" customHeight="1">
      <c r="B427" s="122"/>
      <c r="E427" s="122"/>
      <c r="F427" s="194"/>
      <c r="G427" s="195"/>
      <c r="H427" s="195"/>
      <c r="I427" s="195"/>
      <c r="J427" s="196"/>
      <c r="K427" s="197"/>
      <c r="L427" s="198"/>
      <c r="M427" s="199"/>
      <c r="N427" s="200"/>
      <c r="O427" s="201"/>
      <c r="P427" s="201"/>
      <c r="Q427" s="201"/>
      <c r="R427" s="201"/>
      <c r="S427" s="201"/>
      <c r="T427" s="201"/>
      <c r="U427" s="201"/>
      <c r="V427" s="201"/>
      <c r="W427" s="201"/>
      <c r="X427" s="202"/>
      <c r="Y427" s="203"/>
      <c r="Z427" s="204"/>
      <c r="AA427" s="205"/>
      <c r="AB427" s="206"/>
      <c r="AC427" s="206"/>
      <c r="AD427" s="194"/>
      <c r="AE427" s="201"/>
      <c r="AF427" s="207"/>
      <c r="AG427" s="208"/>
      <c r="AH427" s="209"/>
      <c r="AI427" s="210"/>
      <c r="AJ427" s="197"/>
      <c r="AK427" s="201"/>
      <c r="AL427" s="196"/>
      <c r="AM427" s="201"/>
      <c r="AN427" s="201"/>
      <c r="AO427" s="201"/>
      <c r="AP427" s="211"/>
      <c r="AQ427" s="212"/>
      <c r="AR427" s="201"/>
      <c r="AS427" s="201"/>
      <c r="AT427" s="201"/>
      <c r="AU427" s="201"/>
      <c r="AV427" s="202"/>
      <c r="AW427" s="194"/>
      <c r="AX427" s="201"/>
      <c r="AY427" s="213"/>
      <c r="AZ427" s="214"/>
      <c r="BA427" s="215"/>
      <c r="BB427" s="216"/>
      <c r="BC427" s="217" t="str">
        <f t="shared" si="78"/>
        <v/>
      </c>
      <c r="BD427" s="218"/>
      <c r="BE427" s="219"/>
      <c r="BF427" s="220"/>
      <c r="BG427" s="219"/>
      <c r="BH427" s="219"/>
      <c r="BI427" s="220"/>
      <c r="BJ427" s="218"/>
      <c r="BK427" s="219"/>
      <c r="BL427" s="197"/>
      <c r="BM427" s="215"/>
      <c r="BN427" s="221"/>
      <c r="BO427" s="222" t="str">
        <f t="shared" si="79"/>
        <v/>
      </c>
      <c r="BP427" s="217" t="str">
        <f t="shared" si="80"/>
        <v/>
      </c>
      <c r="BQ427" s="215"/>
      <c r="BR427" s="224"/>
      <c r="BS427" s="225"/>
      <c r="BT427" s="223"/>
      <c r="BU427" s="215"/>
      <c r="BV427" s="226"/>
      <c r="BW427" s="222" t="str">
        <f t="shared" si="81"/>
        <v/>
      </c>
      <c r="BX427" s="223" t="str">
        <f t="shared" si="82"/>
        <v/>
      </c>
      <c r="BY427" s="215"/>
      <c r="BZ427" s="227"/>
      <c r="CA427" s="227"/>
      <c r="CB427" s="228"/>
      <c r="CC427" s="229"/>
      <c r="CD427" s="230" t="str">
        <f t="shared" si="83"/>
        <v/>
      </c>
      <c r="CE427" s="231" t="str">
        <f t="shared" si="84"/>
        <v/>
      </c>
      <c r="CF427" s="232" t="str">
        <f t="shared" si="85"/>
        <v/>
      </c>
      <c r="CG427" s="233" t="str">
        <f t="shared" si="86"/>
        <v/>
      </c>
      <c r="CH427" s="207" t="str">
        <f>IF(OR(G427="",CC427= ""), "", IF(ISERROR(SMALL((CJ427,CN427,CV427), 1)-CC427), "",  SMALL((CJ427,CN427,CV427), 1)-CC427))</f>
        <v/>
      </c>
      <c r="CI427" s="234"/>
      <c r="CJ427" s="235"/>
      <c r="CK427" s="236"/>
      <c r="CL427" s="222" t="str">
        <f t="shared" si="87"/>
        <v/>
      </c>
      <c r="CM427" s="237" t="str">
        <f>IF(OR(G427="", CJ427="",CK427=""), "", IF(ISERROR(SMALL((CN427,CV427), 1)-CK427), "",  SMALL((CN427,CV427), 1)-CK427))</f>
        <v/>
      </c>
      <c r="CN427" s="235"/>
      <c r="CO427" s="236"/>
      <c r="CP427" s="224" t="str">
        <f t="shared" si="88"/>
        <v/>
      </c>
      <c r="CQ427" s="235"/>
      <c r="CR427" s="236"/>
      <c r="CS427" s="222" t="str">
        <f t="shared" si="89"/>
        <v/>
      </c>
      <c r="CT427" s="237" t="str">
        <f t="shared" si="90"/>
        <v/>
      </c>
      <c r="CU427" s="238"/>
      <c r="CV427" s="239"/>
      <c r="CW427" s="240"/>
    </row>
    <row r="428" spans="2:101" ht="16.5" customHeight="1">
      <c r="B428" s="122"/>
      <c r="E428" s="122"/>
      <c r="F428" s="194"/>
      <c r="G428" s="195"/>
      <c r="H428" s="195"/>
      <c r="I428" s="195"/>
      <c r="J428" s="196"/>
      <c r="K428" s="197"/>
      <c r="L428" s="198"/>
      <c r="M428" s="199"/>
      <c r="N428" s="200"/>
      <c r="O428" s="201"/>
      <c r="P428" s="201"/>
      <c r="Q428" s="201"/>
      <c r="R428" s="201"/>
      <c r="S428" s="201"/>
      <c r="T428" s="201"/>
      <c r="U428" s="201"/>
      <c r="V428" s="201"/>
      <c r="W428" s="201"/>
      <c r="X428" s="202"/>
      <c r="Y428" s="203"/>
      <c r="Z428" s="204"/>
      <c r="AA428" s="205"/>
      <c r="AB428" s="206"/>
      <c r="AC428" s="206"/>
      <c r="AD428" s="194"/>
      <c r="AE428" s="201"/>
      <c r="AF428" s="207"/>
      <c r="AG428" s="208"/>
      <c r="AH428" s="209"/>
      <c r="AI428" s="210"/>
      <c r="AJ428" s="197"/>
      <c r="AK428" s="201"/>
      <c r="AL428" s="196"/>
      <c r="AM428" s="201"/>
      <c r="AN428" s="201"/>
      <c r="AO428" s="201"/>
      <c r="AP428" s="211"/>
      <c r="AQ428" s="212"/>
      <c r="AR428" s="201"/>
      <c r="AS428" s="201"/>
      <c r="AT428" s="201"/>
      <c r="AU428" s="201"/>
      <c r="AV428" s="202"/>
      <c r="AW428" s="194"/>
      <c r="AX428" s="201"/>
      <c r="AY428" s="213"/>
      <c r="AZ428" s="214"/>
      <c r="BA428" s="215"/>
      <c r="BB428" s="216"/>
      <c r="BC428" s="217" t="str">
        <f t="shared" si="78"/>
        <v/>
      </c>
      <c r="BD428" s="218"/>
      <c r="BE428" s="219"/>
      <c r="BF428" s="220"/>
      <c r="BG428" s="219"/>
      <c r="BH428" s="219"/>
      <c r="BI428" s="220"/>
      <c r="BJ428" s="218"/>
      <c r="BK428" s="219"/>
      <c r="BL428" s="197"/>
      <c r="BM428" s="215"/>
      <c r="BN428" s="221"/>
      <c r="BO428" s="222" t="str">
        <f t="shared" si="79"/>
        <v/>
      </c>
      <c r="BP428" s="217" t="str">
        <f t="shared" si="80"/>
        <v/>
      </c>
      <c r="BQ428" s="215"/>
      <c r="BR428" s="224"/>
      <c r="BS428" s="225"/>
      <c r="BT428" s="223"/>
      <c r="BU428" s="215"/>
      <c r="BV428" s="226"/>
      <c r="BW428" s="222" t="str">
        <f t="shared" si="81"/>
        <v/>
      </c>
      <c r="BX428" s="223" t="str">
        <f t="shared" si="82"/>
        <v/>
      </c>
      <c r="BY428" s="215"/>
      <c r="BZ428" s="227"/>
      <c r="CA428" s="227"/>
      <c r="CB428" s="228"/>
      <c r="CC428" s="229"/>
      <c r="CD428" s="230" t="str">
        <f t="shared" si="83"/>
        <v/>
      </c>
      <c r="CE428" s="231" t="str">
        <f t="shared" si="84"/>
        <v/>
      </c>
      <c r="CF428" s="232" t="str">
        <f t="shared" si="85"/>
        <v/>
      </c>
      <c r="CG428" s="233" t="str">
        <f t="shared" si="86"/>
        <v/>
      </c>
      <c r="CH428" s="207" t="str">
        <f>IF(OR(G428="",CC428= ""), "", IF(ISERROR(SMALL((CJ428,CN428,CV428), 1)-CC428), "",  SMALL((CJ428,CN428,CV428), 1)-CC428))</f>
        <v/>
      </c>
      <c r="CI428" s="234"/>
      <c r="CJ428" s="235"/>
      <c r="CK428" s="236"/>
      <c r="CL428" s="222" t="str">
        <f t="shared" si="87"/>
        <v/>
      </c>
      <c r="CM428" s="237" t="str">
        <f>IF(OR(G428="", CJ428="",CK428=""), "", IF(ISERROR(SMALL((CN428,CV428), 1)-CK428), "",  SMALL((CN428,CV428), 1)-CK428))</f>
        <v/>
      </c>
      <c r="CN428" s="235"/>
      <c r="CO428" s="236"/>
      <c r="CP428" s="224" t="str">
        <f t="shared" si="88"/>
        <v/>
      </c>
      <c r="CQ428" s="235"/>
      <c r="CR428" s="236"/>
      <c r="CS428" s="222" t="str">
        <f t="shared" si="89"/>
        <v/>
      </c>
      <c r="CT428" s="237" t="str">
        <f t="shared" si="90"/>
        <v/>
      </c>
      <c r="CU428" s="238"/>
      <c r="CV428" s="239"/>
      <c r="CW428" s="240"/>
    </row>
    <row r="429" spans="2:101" ht="16.5" customHeight="1">
      <c r="B429" s="122"/>
      <c r="E429" s="122"/>
      <c r="F429" s="194"/>
      <c r="G429" s="195"/>
      <c r="H429" s="195"/>
      <c r="I429" s="195"/>
      <c r="J429" s="196"/>
      <c r="K429" s="197"/>
      <c r="L429" s="198"/>
      <c r="M429" s="199"/>
      <c r="N429" s="200"/>
      <c r="O429" s="201"/>
      <c r="P429" s="201"/>
      <c r="Q429" s="201"/>
      <c r="R429" s="201"/>
      <c r="S429" s="201"/>
      <c r="T429" s="201"/>
      <c r="U429" s="201"/>
      <c r="V429" s="201"/>
      <c r="W429" s="201"/>
      <c r="X429" s="202"/>
      <c r="Y429" s="203"/>
      <c r="Z429" s="204"/>
      <c r="AA429" s="205"/>
      <c r="AB429" s="206"/>
      <c r="AC429" s="206"/>
      <c r="AD429" s="194"/>
      <c r="AE429" s="201"/>
      <c r="AF429" s="207"/>
      <c r="AG429" s="208"/>
      <c r="AH429" s="209"/>
      <c r="AI429" s="210"/>
      <c r="AJ429" s="197"/>
      <c r="AK429" s="201"/>
      <c r="AL429" s="196"/>
      <c r="AM429" s="201"/>
      <c r="AN429" s="201"/>
      <c r="AO429" s="201"/>
      <c r="AP429" s="211"/>
      <c r="AQ429" s="212"/>
      <c r="AR429" s="201"/>
      <c r="AS429" s="201"/>
      <c r="AT429" s="201"/>
      <c r="AU429" s="201"/>
      <c r="AV429" s="202"/>
      <c r="AW429" s="194"/>
      <c r="AX429" s="201"/>
      <c r="AY429" s="213"/>
      <c r="AZ429" s="214"/>
      <c r="BA429" s="215"/>
      <c r="BB429" s="216"/>
      <c r="BC429" s="217" t="str">
        <f t="shared" si="78"/>
        <v/>
      </c>
      <c r="BD429" s="218"/>
      <c r="BE429" s="219"/>
      <c r="BF429" s="220"/>
      <c r="BG429" s="219"/>
      <c r="BH429" s="219"/>
      <c r="BI429" s="220"/>
      <c r="BJ429" s="218"/>
      <c r="BK429" s="219"/>
      <c r="BL429" s="197"/>
      <c r="BM429" s="215"/>
      <c r="BN429" s="221"/>
      <c r="BO429" s="222" t="str">
        <f t="shared" si="79"/>
        <v/>
      </c>
      <c r="BP429" s="217" t="str">
        <f t="shared" si="80"/>
        <v/>
      </c>
      <c r="BQ429" s="215"/>
      <c r="BR429" s="224"/>
      <c r="BS429" s="225"/>
      <c r="BT429" s="223"/>
      <c r="BU429" s="215"/>
      <c r="BV429" s="226"/>
      <c r="BW429" s="222" t="str">
        <f t="shared" si="81"/>
        <v/>
      </c>
      <c r="BX429" s="223" t="str">
        <f t="shared" si="82"/>
        <v/>
      </c>
      <c r="BY429" s="215"/>
      <c r="BZ429" s="227"/>
      <c r="CA429" s="227"/>
      <c r="CB429" s="228"/>
      <c r="CC429" s="229"/>
      <c r="CD429" s="230" t="str">
        <f t="shared" si="83"/>
        <v/>
      </c>
      <c r="CE429" s="231" t="str">
        <f t="shared" si="84"/>
        <v/>
      </c>
      <c r="CF429" s="232" t="str">
        <f t="shared" si="85"/>
        <v/>
      </c>
      <c r="CG429" s="233" t="str">
        <f t="shared" si="86"/>
        <v/>
      </c>
      <c r="CH429" s="207" t="str">
        <f>IF(OR(G429="",CC429= ""), "", IF(ISERROR(SMALL((CJ429,CN429,CV429), 1)-CC429), "",  SMALL((CJ429,CN429,CV429), 1)-CC429))</f>
        <v/>
      </c>
      <c r="CI429" s="234"/>
      <c r="CJ429" s="235"/>
      <c r="CK429" s="236"/>
      <c r="CL429" s="222" t="str">
        <f t="shared" si="87"/>
        <v/>
      </c>
      <c r="CM429" s="237" t="str">
        <f>IF(OR(G429="", CJ429="",CK429=""), "", IF(ISERROR(SMALL((CN429,CV429), 1)-CK429), "",  SMALL((CN429,CV429), 1)-CK429))</f>
        <v/>
      </c>
      <c r="CN429" s="235"/>
      <c r="CO429" s="236"/>
      <c r="CP429" s="224" t="str">
        <f t="shared" si="88"/>
        <v/>
      </c>
      <c r="CQ429" s="235"/>
      <c r="CR429" s="236"/>
      <c r="CS429" s="222" t="str">
        <f t="shared" si="89"/>
        <v/>
      </c>
      <c r="CT429" s="237" t="str">
        <f t="shared" si="90"/>
        <v/>
      </c>
      <c r="CU429" s="238"/>
      <c r="CV429" s="239"/>
      <c r="CW429" s="240"/>
    </row>
    <row r="430" spans="2:101" ht="16.5" customHeight="1">
      <c r="B430" s="122"/>
      <c r="E430" s="122"/>
      <c r="F430" s="194"/>
      <c r="G430" s="195"/>
      <c r="H430" s="195"/>
      <c r="I430" s="195"/>
      <c r="J430" s="196"/>
      <c r="K430" s="197"/>
      <c r="L430" s="198"/>
      <c r="M430" s="199"/>
      <c r="N430" s="200"/>
      <c r="O430" s="201"/>
      <c r="P430" s="201"/>
      <c r="Q430" s="201"/>
      <c r="R430" s="201"/>
      <c r="S430" s="201"/>
      <c r="T430" s="201"/>
      <c r="U430" s="201"/>
      <c r="V430" s="201"/>
      <c r="W430" s="201"/>
      <c r="X430" s="202"/>
      <c r="Y430" s="203"/>
      <c r="Z430" s="204"/>
      <c r="AA430" s="205"/>
      <c r="AB430" s="206"/>
      <c r="AC430" s="206"/>
      <c r="AD430" s="194"/>
      <c r="AE430" s="201"/>
      <c r="AF430" s="207"/>
      <c r="AG430" s="208"/>
      <c r="AH430" s="209"/>
      <c r="AI430" s="210"/>
      <c r="AJ430" s="197"/>
      <c r="AK430" s="201"/>
      <c r="AL430" s="196"/>
      <c r="AM430" s="201"/>
      <c r="AN430" s="201"/>
      <c r="AO430" s="201"/>
      <c r="AP430" s="211"/>
      <c r="AQ430" s="212"/>
      <c r="AR430" s="201"/>
      <c r="AS430" s="201"/>
      <c r="AT430" s="201"/>
      <c r="AU430" s="201"/>
      <c r="AV430" s="202"/>
      <c r="AW430" s="194"/>
      <c r="AX430" s="201"/>
      <c r="AY430" s="213"/>
      <c r="AZ430" s="214"/>
      <c r="BA430" s="215"/>
      <c r="BB430" s="216"/>
      <c r="BC430" s="217" t="str">
        <f t="shared" si="78"/>
        <v/>
      </c>
      <c r="BD430" s="218"/>
      <c r="BE430" s="219"/>
      <c r="BF430" s="220"/>
      <c r="BG430" s="219"/>
      <c r="BH430" s="219"/>
      <c r="BI430" s="220"/>
      <c r="BJ430" s="218"/>
      <c r="BK430" s="219"/>
      <c r="BL430" s="197"/>
      <c r="BM430" s="215"/>
      <c r="BN430" s="221"/>
      <c r="BO430" s="222" t="str">
        <f t="shared" si="79"/>
        <v/>
      </c>
      <c r="BP430" s="217" t="str">
        <f t="shared" si="80"/>
        <v/>
      </c>
      <c r="BQ430" s="215"/>
      <c r="BR430" s="224"/>
      <c r="BS430" s="225"/>
      <c r="BT430" s="223"/>
      <c r="BU430" s="215"/>
      <c r="BV430" s="226"/>
      <c r="BW430" s="222" t="str">
        <f t="shared" si="81"/>
        <v/>
      </c>
      <c r="BX430" s="223" t="str">
        <f t="shared" si="82"/>
        <v/>
      </c>
      <c r="BY430" s="215"/>
      <c r="BZ430" s="227"/>
      <c r="CA430" s="227"/>
      <c r="CB430" s="228"/>
      <c r="CC430" s="229"/>
      <c r="CD430" s="230" t="str">
        <f t="shared" si="83"/>
        <v/>
      </c>
      <c r="CE430" s="231" t="str">
        <f t="shared" si="84"/>
        <v/>
      </c>
      <c r="CF430" s="232" t="str">
        <f t="shared" si="85"/>
        <v/>
      </c>
      <c r="CG430" s="233" t="str">
        <f t="shared" si="86"/>
        <v/>
      </c>
      <c r="CH430" s="207" t="str">
        <f>IF(OR(G430="",CC430= ""), "", IF(ISERROR(SMALL((CJ430,CN430,CV430), 1)-CC430), "",  SMALL((CJ430,CN430,CV430), 1)-CC430))</f>
        <v/>
      </c>
      <c r="CI430" s="234"/>
      <c r="CJ430" s="235"/>
      <c r="CK430" s="236"/>
      <c r="CL430" s="222" t="str">
        <f t="shared" si="87"/>
        <v/>
      </c>
      <c r="CM430" s="237" t="str">
        <f>IF(OR(G430="", CJ430="",CK430=""), "", IF(ISERROR(SMALL((CN430,CV430), 1)-CK430), "",  SMALL((CN430,CV430), 1)-CK430))</f>
        <v/>
      </c>
      <c r="CN430" s="235"/>
      <c r="CO430" s="236"/>
      <c r="CP430" s="224" t="str">
        <f t="shared" si="88"/>
        <v/>
      </c>
      <c r="CQ430" s="235"/>
      <c r="CR430" s="236"/>
      <c r="CS430" s="222" t="str">
        <f t="shared" si="89"/>
        <v/>
      </c>
      <c r="CT430" s="237" t="str">
        <f t="shared" si="90"/>
        <v/>
      </c>
      <c r="CU430" s="238"/>
      <c r="CV430" s="239"/>
      <c r="CW430" s="240"/>
    </row>
    <row r="431" spans="2:101" ht="16.5" customHeight="1">
      <c r="B431" s="122"/>
      <c r="E431" s="122"/>
      <c r="F431" s="194"/>
      <c r="G431" s="195"/>
      <c r="H431" s="195"/>
      <c r="I431" s="195"/>
      <c r="J431" s="196"/>
      <c r="K431" s="197"/>
      <c r="L431" s="198"/>
      <c r="M431" s="199"/>
      <c r="N431" s="200"/>
      <c r="O431" s="201"/>
      <c r="P431" s="201"/>
      <c r="Q431" s="201"/>
      <c r="R431" s="201"/>
      <c r="S431" s="201"/>
      <c r="T431" s="201"/>
      <c r="U431" s="201"/>
      <c r="V431" s="201"/>
      <c r="W431" s="201"/>
      <c r="X431" s="202"/>
      <c r="Y431" s="203"/>
      <c r="Z431" s="204"/>
      <c r="AA431" s="205"/>
      <c r="AB431" s="206"/>
      <c r="AC431" s="206"/>
      <c r="AD431" s="194"/>
      <c r="AE431" s="201"/>
      <c r="AF431" s="207"/>
      <c r="AG431" s="208"/>
      <c r="AH431" s="209"/>
      <c r="AI431" s="210"/>
      <c r="AJ431" s="197"/>
      <c r="AK431" s="201"/>
      <c r="AL431" s="196"/>
      <c r="AM431" s="201"/>
      <c r="AN431" s="201"/>
      <c r="AO431" s="201"/>
      <c r="AP431" s="211"/>
      <c r="AQ431" s="212"/>
      <c r="AR431" s="201"/>
      <c r="AS431" s="201"/>
      <c r="AT431" s="201"/>
      <c r="AU431" s="201"/>
      <c r="AV431" s="202"/>
      <c r="AW431" s="194"/>
      <c r="AX431" s="201"/>
      <c r="AY431" s="213"/>
      <c r="AZ431" s="214"/>
      <c r="BA431" s="215"/>
      <c r="BB431" s="216"/>
      <c r="BC431" s="217" t="str">
        <f t="shared" si="78"/>
        <v/>
      </c>
      <c r="BD431" s="218"/>
      <c r="BE431" s="219"/>
      <c r="BF431" s="220"/>
      <c r="BG431" s="219"/>
      <c r="BH431" s="219"/>
      <c r="BI431" s="220"/>
      <c r="BJ431" s="218"/>
      <c r="BK431" s="219"/>
      <c r="BL431" s="197"/>
      <c r="BM431" s="215"/>
      <c r="BN431" s="221"/>
      <c r="BO431" s="222" t="str">
        <f t="shared" si="79"/>
        <v/>
      </c>
      <c r="BP431" s="217" t="str">
        <f t="shared" si="80"/>
        <v/>
      </c>
      <c r="BQ431" s="215"/>
      <c r="BR431" s="224"/>
      <c r="BS431" s="225"/>
      <c r="BT431" s="223"/>
      <c r="BU431" s="215"/>
      <c r="BV431" s="226"/>
      <c r="BW431" s="222" t="str">
        <f t="shared" si="81"/>
        <v/>
      </c>
      <c r="BX431" s="223" t="str">
        <f t="shared" si="82"/>
        <v/>
      </c>
      <c r="BY431" s="215"/>
      <c r="BZ431" s="227"/>
      <c r="CA431" s="227"/>
      <c r="CB431" s="228"/>
      <c r="CC431" s="229"/>
      <c r="CD431" s="230" t="str">
        <f t="shared" si="83"/>
        <v/>
      </c>
      <c r="CE431" s="231" t="str">
        <f t="shared" si="84"/>
        <v/>
      </c>
      <c r="CF431" s="232" t="str">
        <f t="shared" si="85"/>
        <v/>
      </c>
      <c r="CG431" s="233" t="str">
        <f t="shared" si="86"/>
        <v/>
      </c>
      <c r="CH431" s="207" t="str">
        <f>IF(OR(G431="",CC431= ""), "", IF(ISERROR(SMALL((CJ431,CN431,CV431), 1)-CC431), "",  SMALL((CJ431,CN431,CV431), 1)-CC431))</f>
        <v/>
      </c>
      <c r="CI431" s="234"/>
      <c r="CJ431" s="235"/>
      <c r="CK431" s="236"/>
      <c r="CL431" s="222" t="str">
        <f t="shared" si="87"/>
        <v/>
      </c>
      <c r="CM431" s="237" t="str">
        <f>IF(OR(G431="", CJ431="",CK431=""), "", IF(ISERROR(SMALL((CN431,CV431), 1)-CK431), "",  SMALL((CN431,CV431), 1)-CK431))</f>
        <v/>
      </c>
      <c r="CN431" s="235"/>
      <c r="CO431" s="236"/>
      <c r="CP431" s="224" t="str">
        <f t="shared" si="88"/>
        <v/>
      </c>
      <c r="CQ431" s="235"/>
      <c r="CR431" s="236"/>
      <c r="CS431" s="222" t="str">
        <f t="shared" si="89"/>
        <v/>
      </c>
      <c r="CT431" s="237" t="str">
        <f t="shared" si="90"/>
        <v/>
      </c>
      <c r="CU431" s="238"/>
      <c r="CV431" s="239"/>
      <c r="CW431" s="240"/>
    </row>
    <row r="432" spans="2:101" ht="16.5" customHeight="1">
      <c r="B432" s="122"/>
      <c r="E432" s="122"/>
      <c r="F432" s="194"/>
      <c r="G432" s="195"/>
      <c r="H432" s="195"/>
      <c r="I432" s="195"/>
      <c r="J432" s="196"/>
      <c r="K432" s="197"/>
      <c r="L432" s="198"/>
      <c r="M432" s="199"/>
      <c r="N432" s="200"/>
      <c r="O432" s="201"/>
      <c r="P432" s="201"/>
      <c r="Q432" s="201"/>
      <c r="R432" s="201"/>
      <c r="S432" s="201"/>
      <c r="T432" s="201"/>
      <c r="U432" s="201"/>
      <c r="V432" s="201"/>
      <c r="W432" s="201"/>
      <c r="X432" s="202"/>
      <c r="Y432" s="203"/>
      <c r="Z432" s="204"/>
      <c r="AA432" s="205"/>
      <c r="AB432" s="206"/>
      <c r="AC432" s="206"/>
      <c r="AD432" s="194"/>
      <c r="AE432" s="201"/>
      <c r="AF432" s="207"/>
      <c r="AG432" s="208"/>
      <c r="AH432" s="209"/>
      <c r="AI432" s="210"/>
      <c r="AJ432" s="197"/>
      <c r="AK432" s="201"/>
      <c r="AL432" s="196"/>
      <c r="AM432" s="201"/>
      <c r="AN432" s="201"/>
      <c r="AO432" s="201"/>
      <c r="AP432" s="211"/>
      <c r="AQ432" s="212"/>
      <c r="AR432" s="201"/>
      <c r="AS432" s="201"/>
      <c r="AT432" s="201"/>
      <c r="AU432" s="201"/>
      <c r="AV432" s="202"/>
      <c r="AW432" s="194"/>
      <c r="AX432" s="201"/>
      <c r="AY432" s="213"/>
      <c r="AZ432" s="214"/>
      <c r="BA432" s="215"/>
      <c r="BB432" s="216"/>
      <c r="BC432" s="217" t="str">
        <f t="shared" si="78"/>
        <v/>
      </c>
      <c r="BD432" s="218"/>
      <c r="BE432" s="219"/>
      <c r="BF432" s="220"/>
      <c r="BG432" s="219"/>
      <c r="BH432" s="219"/>
      <c r="BI432" s="220"/>
      <c r="BJ432" s="218"/>
      <c r="BK432" s="219"/>
      <c r="BL432" s="197"/>
      <c r="BM432" s="215"/>
      <c r="BN432" s="221"/>
      <c r="BO432" s="222" t="str">
        <f t="shared" si="79"/>
        <v/>
      </c>
      <c r="BP432" s="217" t="str">
        <f t="shared" si="80"/>
        <v/>
      </c>
      <c r="BQ432" s="215"/>
      <c r="BR432" s="224"/>
      <c r="BS432" s="225"/>
      <c r="BT432" s="223"/>
      <c r="BU432" s="215"/>
      <c r="BV432" s="226"/>
      <c r="BW432" s="222" t="str">
        <f t="shared" si="81"/>
        <v/>
      </c>
      <c r="BX432" s="223" t="str">
        <f t="shared" si="82"/>
        <v/>
      </c>
      <c r="BY432" s="215"/>
      <c r="BZ432" s="227"/>
      <c r="CA432" s="227"/>
      <c r="CB432" s="228"/>
      <c r="CC432" s="229"/>
      <c r="CD432" s="230" t="str">
        <f t="shared" si="83"/>
        <v/>
      </c>
      <c r="CE432" s="231" t="str">
        <f t="shared" si="84"/>
        <v/>
      </c>
      <c r="CF432" s="232" t="str">
        <f t="shared" si="85"/>
        <v/>
      </c>
      <c r="CG432" s="233" t="str">
        <f t="shared" si="86"/>
        <v/>
      </c>
      <c r="CH432" s="207" t="str">
        <f>IF(OR(G432="",CC432= ""), "", IF(ISERROR(SMALL((CJ432,CN432,CV432), 1)-CC432), "",  SMALL((CJ432,CN432,CV432), 1)-CC432))</f>
        <v/>
      </c>
      <c r="CI432" s="234"/>
      <c r="CJ432" s="235"/>
      <c r="CK432" s="236"/>
      <c r="CL432" s="222" t="str">
        <f t="shared" si="87"/>
        <v/>
      </c>
      <c r="CM432" s="237" t="str">
        <f>IF(OR(G432="", CJ432="",CK432=""), "", IF(ISERROR(SMALL((CN432,CV432), 1)-CK432), "",  SMALL((CN432,CV432), 1)-CK432))</f>
        <v/>
      </c>
      <c r="CN432" s="235"/>
      <c r="CO432" s="236"/>
      <c r="CP432" s="224" t="str">
        <f t="shared" si="88"/>
        <v/>
      </c>
      <c r="CQ432" s="235"/>
      <c r="CR432" s="236"/>
      <c r="CS432" s="222" t="str">
        <f t="shared" si="89"/>
        <v/>
      </c>
      <c r="CT432" s="237" t="str">
        <f t="shared" si="90"/>
        <v/>
      </c>
      <c r="CU432" s="238"/>
      <c r="CV432" s="239"/>
      <c r="CW432" s="240"/>
    </row>
    <row r="433" spans="2:101" ht="16.5" customHeight="1">
      <c r="B433" s="122"/>
      <c r="E433" s="122"/>
      <c r="F433" s="194"/>
      <c r="G433" s="195"/>
      <c r="H433" s="195"/>
      <c r="I433" s="195"/>
      <c r="J433" s="196"/>
      <c r="K433" s="197"/>
      <c r="L433" s="198"/>
      <c r="M433" s="199"/>
      <c r="N433" s="200"/>
      <c r="O433" s="201"/>
      <c r="P433" s="201"/>
      <c r="Q433" s="201"/>
      <c r="R433" s="201"/>
      <c r="S433" s="201"/>
      <c r="T433" s="201"/>
      <c r="U433" s="201"/>
      <c r="V433" s="201"/>
      <c r="W433" s="201"/>
      <c r="X433" s="202"/>
      <c r="Y433" s="203"/>
      <c r="Z433" s="204"/>
      <c r="AA433" s="205"/>
      <c r="AB433" s="206"/>
      <c r="AC433" s="206"/>
      <c r="AD433" s="194"/>
      <c r="AE433" s="201"/>
      <c r="AF433" s="207"/>
      <c r="AG433" s="208"/>
      <c r="AH433" s="209"/>
      <c r="AI433" s="210"/>
      <c r="AJ433" s="197"/>
      <c r="AK433" s="201"/>
      <c r="AL433" s="196"/>
      <c r="AM433" s="201"/>
      <c r="AN433" s="201"/>
      <c r="AO433" s="201"/>
      <c r="AP433" s="211"/>
      <c r="AQ433" s="212"/>
      <c r="AR433" s="201"/>
      <c r="AS433" s="201"/>
      <c r="AT433" s="201"/>
      <c r="AU433" s="201"/>
      <c r="AV433" s="202"/>
      <c r="AW433" s="194"/>
      <c r="AX433" s="201"/>
      <c r="AY433" s="213"/>
      <c r="AZ433" s="214"/>
      <c r="BA433" s="215"/>
      <c r="BB433" s="216"/>
      <c r="BC433" s="217" t="str">
        <f t="shared" si="78"/>
        <v/>
      </c>
      <c r="BD433" s="218"/>
      <c r="BE433" s="219"/>
      <c r="BF433" s="220"/>
      <c r="BG433" s="219"/>
      <c r="BH433" s="219"/>
      <c r="BI433" s="220"/>
      <c r="BJ433" s="218"/>
      <c r="BK433" s="219"/>
      <c r="BL433" s="197"/>
      <c r="BM433" s="215"/>
      <c r="BN433" s="221"/>
      <c r="BO433" s="222" t="str">
        <f t="shared" si="79"/>
        <v/>
      </c>
      <c r="BP433" s="217" t="str">
        <f t="shared" si="80"/>
        <v/>
      </c>
      <c r="BQ433" s="215"/>
      <c r="BR433" s="224"/>
      <c r="BS433" s="225"/>
      <c r="BT433" s="223"/>
      <c r="BU433" s="215"/>
      <c r="BV433" s="226"/>
      <c r="BW433" s="222" t="str">
        <f t="shared" si="81"/>
        <v/>
      </c>
      <c r="BX433" s="223" t="str">
        <f t="shared" si="82"/>
        <v/>
      </c>
      <c r="BY433" s="215"/>
      <c r="BZ433" s="227"/>
      <c r="CA433" s="227"/>
      <c r="CB433" s="228"/>
      <c r="CC433" s="229"/>
      <c r="CD433" s="230" t="str">
        <f t="shared" si="83"/>
        <v/>
      </c>
      <c r="CE433" s="231" t="str">
        <f t="shared" si="84"/>
        <v/>
      </c>
      <c r="CF433" s="232" t="str">
        <f t="shared" si="85"/>
        <v/>
      </c>
      <c r="CG433" s="233" t="str">
        <f t="shared" si="86"/>
        <v/>
      </c>
      <c r="CH433" s="207" t="str">
        <f>IF(OR(G433="",CC433= ""), "", IF(ISERROR(SMALL((CJ433,CN433,CV433), 1)-CC433), "",  SMALL((CJ433,CN433,CV433), 1)-CC433))</f>
        <v/>
      </c>
      <c r="CI433" s="234"/>
      <c r="CJ433" s="235"/>
      <c r="CK433" s="236"/>
      <c r="CL433" s="222" t="str">
        <f t="shared" si="87"/>
        <v/>
      </c>
      <c r="CM433" s="237" t="str">
        <f>IF(OR(G433="", CJ433="",CK433=""), "", IF(ISERROR(SMALL((CN433,CV433), 1)-CK433), "",  SMALL((CN433,CV433), 1)-CK433))</f>
        <v/>
      </c>
      <c r="CN433" s="235"/>
      <c r="CO433" s="236"/>
      <c r="CP433" s="224" t="str">
        <f t="shared" si="88"/>
        <v/>
      </c>
      <c r="CQ433" s="235"/>
      <c r="CR433" s="236"/>
      <c r="CS433" s="222" t="str">
        <f t="shared" si="89"/>
        <v/>
      </c>
      <c r="CT433" s="237" t="str">
        <f t="shared" si="90"/>
        <v/>
      </c>
      <c r="CU433" s="238"/>
      <c r="CV433" s="239"/>
      <c r="CW433" s="240"/>
    </row>
    <row r="434" spans="2:101" ht="16.5" customHeight="1">
      <c r="B434" s="122"/>
      <c r="E434" s="122"/>
      <c r="F434" s="194"/>
      <c r="G434" s="195"/>
      <c r="H434" s="195"/>
      <c r="I434" s="195"/>
      <c r="J434" s="196"/>
      <c r="K434" s="197"/>
      <c r="L434" s="198"/>
      <c r="M434" s="199"/>
      <c r="N434" s="200"/>
      <c r="O434" s="201"/>
      <c r="P434" s="201"/>
      <c r="Q434" s="201"/>
      <c r="R434" s="201"/>
      <c r="S434" s="201"/>
      <c r="T434" s="201"/>
      <c r="U434" s="201"/>
      <c r="V434" s="201"/>
      <c r="W434" s="201"/>
      <c r="X434" s="202"/>
      <c r="Y434" s="203"/>
      <c r="Z434" s="204"/>
      <c r="AA434" s="205"/>
      <c r="AB434" s="206"/>
      <c r="AC434" s="206"/>
      <c r="AD434" s="194"/>
      <c r="AE434" s="201"/>
      <c r="AF434" s="207"/>
      <c r="AG434" s="208"/>
      <c r="AH434" s="209"/>
      <c r="AI434" s="210"/>
      <c r="AJ434" s="197"/>
      <c r="AK434" s="201"/>
      <c r="AL434" s="196"/>
      <c r="AM434" s="201"/>
      <c r="AN434" s="201"/>
      <c r="AO434" s="201"/>
      <c r="AP434" s="211"/>
      <c r="AQ434" s="212"/>
      <c r="AR434" s="201"/>
      <c r="AS434" s="201"/>
      <c r="AT434" s="201"/>
      <c r="AU434" s="201"/>
      <c r="AV434" s="202"/>
      <c r="AW434" s="194"/>
      <c r="AX434" s="201"/>
      <c r="AY434" s="213"/>
      <c r="AZ434" s="214"/>
      <c r="BA434" s="215"/>
      <c r="BB434" s="216"/>
      <c r="BC434" s="217" t="str">
        <f t="shared" si="78"/>
        <v/>
      </c>
      <c r="BD434" s="218"/>
      <c r="BE434" s="219"/>
      <c r="BF434" s="220"/>
      <c r="BG434" s="219"/>
      <c r="BH434" s="219"/>
      <c r="BI434" s="220"/>
      <c r="BJ434" s="218"/>
      <c r="BK434" s="219"/>
      <c r="BL434" s="197"/>
      <c r="BM434" s="215"/>
      <c r="BN434" s="221"/>
      <c r="BO434" s="222" t="str">
        <f t="shared" si="79"/>
        <v/>
      </c>
      <c r="BP434" s="217" t="str">
        <f t="shared" si="80"/>
        <v/>
      </c>
      <c r="BQ434" s="215"/>
      <c r="BR434" s="224"/>
      <c r="BS434" s="225"/>
      <c r="BT434" s="223"/>
      <c r="BU434" s="215"/>
      <c r="BV434" s="226"/>
      <c r="BW434" s="222" t="str">
        <f t="shared" si="81"/>
        <v/>
      </c>
      <c r="BX434" s="223" t="str">
        <f t="shared" si="82"/>
        <v/>
      </c>
      <c r="BY434" s="215"/>
      <c r="BZ434" s="227"/>
      <c r="CA434" s="227"/>
      <c r="CB434" s="228"/>
      <c r="CC434" s="229"/>
      <c r="CD434" s="230" t="str">
        <f t="shared" si="83"/>
        <v/>
      </c>
      <c r="CE434" s="231" t="str">
        <f t="shared" si="84"/>
        <v/>
      </c>
      <c r="CF434" s="232" t="str">
        <f t="shared" si="85"/>
        <v/>
      </c>
      <c r="CG434" s="233" t="str">
        <f t="shared" si="86"/>
        <v/>
      </c>
      <c r="CH434" s="207" t="str">
        <f>IF(OR(G434="",CC434= ""), "", IF(ISERROR(SMALL((CJ434,CN434,CV434), 1)-CC434), "",  SMALL((CJ434,CN434,CV434), 1)-CC434))</f>
        <v/>
      </c>
      <c r="CI434" s="234"/>
      <c r="CJ434" s="235"/>
      <c r="CK434" s="236"/>
      <c r="CL434" s="222" t="str">
        <f t="shared" si="87"/>
        <v/>
      </c>
      <c r="CM434" s="237" t="str">
        <f>IF(OR(G434="", CJ434="",CK434=""), "", IF(ISERROR(SMALL((CN434,CV434), 1)-CK434), "",  SMALL((CN434,CV434), 1)-CK434))</f>
        <v/>
      </c>
      <c r="CN434" s="235"/>
      <c r="CO434" s="236"/>
      <c r="CP434" s="224" t="str">
        <f t="shared" si="88"/>
        <v/>
      </c>
      <c r="CQ434" s="235"/>
      <c r="CR434" s="236"/>
      <c r="CS434" s="222" t="str">
        <f t="shared" si="89"/>
        <v/>
      </c>
      <c r="CT434" s="237" t="str">
        <f t="shared" si="90"/>
        <v/>
      </c>
      <c r="CU434" s="238"/>
      <c r="CV434" s="239"/>
      <c r="CW434" s="240"/>
    </row>
    <row r="435" spans="2:101" ht="16.5" customHeight="1">
      <c r="B435" s="122"/>
      <c r="E435" s="122"/>
      <c r="F435" s="194"/>
      <c r="G435" s="195"/>
      <c r="H435" s="195"/>
      <c r="I435" s="195"/>
      <c r="J435" s="196"/>
      <c r="K435" s="197"/>
      <c r="L435" s="198"/>
      <c r="M435" s="199"/>
      <c r="N435" s="200"/>
      <c r="O435" s="201"/>
      <c r="P435" s="201"/>
      <c r="Q435" s="201"/>
      <c r="R435" s="201"/>
      <c r="S435" s="201"/>
      <c r="T435" s="201"/>
      <c r="U435" s="201"/>
      <c r="V435" s="201"/>
      <c r="W435" s="201"/>
      <c r="X435" s="202"/>
      <c r="Y435" s="203"/>
      <c r="Z435" s="204"/>
      <c r="AA435" s="205"/>
      <c r="AB435" s="206"/>
      <c r="AC435" s="206"/>
      <c r="AD435" s="194"/>
      <c r="AE435" s="201"/>
      <c r="AF435" s="207"/>
      <c r="AG435" s="208"/>
      <c r="AH435" s="209"/>
      <c r="AI435" s="210"/>
      <c r="AJ435" s="197"/>
      <c r="AK435" s="201"/>
      <c r="AL435" s="196"/>
      <c r="AM435" s="201"/>
      <c r="AN435" s="201"/>
      <c r="AO435" s="201"/>
      <c r="AP435" s="211"/>
      <c r="AQ435" s="212"/>
      <c r="AR435" s="201"/>
      <c r="AS435" s="201"/>
      <c r="AT435" s="201"/>
      <c r="AU435" s="201"/>
      <c r="AV435" s="202"/>
      <c r="AW435" s="194"/>
      <c r="AX435" s="201"/>
      <c r="AY435" s="213"/>
      <c r="AZ435" s="214"/>
      <c r="BA435" s="215"/>
      <c r="BB435" s="216"/>
      <c r="BC435" s="217" t="str">
        <f t="shared" si="78"/>
        <v/>
      </c>
      <c r="BD435" s="218"/>
      <c r="BE435" s="219"/>
      <c r="BF435" s="220"/>
      <c r="BG435" s="219"/>
      <c r="BH435" s="219"/>
      <c r="BI435" s="220"/>
      <c r="BJ435" s="218"/>
      <c r="BK435" s="219"/>
      <c r="BL435" s="197"/>
      <c r="BM435" s="215"/>
      <c r="BN435" s="221"/>
      <c r="BO435" s="222" t="str">
        <f t="shared" si="79"/>
        <v/>
      </c>
      <c r="BP435" s="217" t="str">
        <f t="shared" si="80"/>
        <v/>
      </c>
      <c r="BQ435" s="215"/>
      <c r="BR435" s="224"/>
      <c r="BS435" s="225"/>
      <c r="BT435" s="223"/>
      <c r="BU435" s="215"/>
      <c r="BV435" s="226"/>
      <c r="BW435" s="222" t="str">
        <f t="shared" si="81"/>
        <v/>
      </c>
      <c r="BX435" s="223" t="str">
        <f t="shared" si="82"/>
        <v/>
      </c>
      <c r="BY435" s="215"/>
      <c r="BZ435" s="227"/>
      <c r="CA435" s="227"/>
      <c r="CB435" s="228"/>
      <c r="CC435" s="229"/>
      <c r="CD435" s="230" t="str">
        <f t="shared" si="83"/>
        <v/>
      </c>
      <c r="CE435" s="231" t="str">
        <f t="shared" si="84"/>
        <v/>
      </c>
      <c r="CF435" s="232" t="str">
        <f t="shared" si="85"/>
        <v/>
      </c>
      <c r="CG435" s="233" t="str">
        <f t="shared" si="86"/>
        <v/>
      </c>
      <c r="CH435" s="207" t="str">
        <f>IF(OR(G435="",CC435= ""), "", IF(ISERROR(SMALL((CJ435,CN435,CV435), 1)-CC435), "",  SMALL((CJ435,CN435,CV435), 1)-CC435))</f>
        <v/>
      </c>
      <c r="CI435" s="234"/>
      <c r="CJ435" s="235"/>
      <c r="CK435" s="236"/>
      <c r="CL435" s="222" t="str">
        <f t="shared" si="87"/>
        <v/>
      </c>
      <c r="CM435" s="237" t="str">
        <f>IF(OR(G435="", CJ435="",CK435=""), "", IF(ISERROR(SMALL((CN435,CV435), 1)-CK435), "",  SMALL((CN435,CV435), 1)-CK435))</f>
        <v/>
      </c>
      <c r="CN435" s="235"/>
      <c r="CO435" s="236"/>
      <c r="CP435" s="224" t="str">
        <f t="shared" si="88"/>
        <v/>
      </c>
      <c r="CQ435" s="235"/>
      <c r="CR435" s="236"/>
      <c r="CS435" s="222" t="str">
        <f t="shared" si="89"/>
        <v/>
      </c>
      <c r="CT435" s="237" t="str">
        <f t="shared" si="90"/>
        <v/>
      </c>
      <c r="CU435" s="238"/>
      <c r="CV435" s="239"/>
      <c r="CW435" s="240"/>
    </row>
    <row r="436" spans="2:101" ht="16.5" customHeight="1">
      <c r="B436" s="122"/>
      <c r="E436" s="122"/>
      <c r="F436" s="194"/>
      <c r="G436" s="195"/>
      <c r="H436" s="195"/>
      <c r="I436" s="195"/>
      <c r="J436" s="196"/>
      <c r="K436" s="197"/>
      <c r="L436" s="198"/>
      <c r="M436" s="199"/>
      <c r="N436" s="200"/>
      <c r="O436" s="201"/>
      <c r="P436" s="201"/>
      <c r="Q436" s="201"/>
      <c r="R436" s="201"/>
      <c r="S436" s="201"/>
      <c r="T436" s="201"/>
      <c r="U436" s="201"/>
      <c r="V436" s="201"/>
      <c r="W436" s="201"/>
      <c r="X436" s="202"/>
      <c r="Y436" s="203"/>
      <c r="Z436" s="204"/>
      <c r="AA436" s="205"/>
      <c r="AB436" s="206"/>
      <c r="AC436" s="206"/>
      <c r="AD436" s="194"/>
      <c r="AE436" s="201"/>
      <c r="AF436" s="207"/>
      <c r="AG436" s="208"/>
      <c r="AH436" s="209"/>
      <c r="AI436" s="210"/>
      <c r="AJ436" s="197"/>
      <c r="AK436" s="201"/>
      <c r="AL436" s="196"/>
      <c r="AM436" s="201"/>
      <c r="AN436" s="201"/>
      <c r="AO436" s="201"/>
      <c r="AP436" s="211"/>
      <c r="AQ436" s="212"/>
      <c r="AR436" s="201"/>
      <c r="AS436" s="201"/>
      <c r="AT436" s="201"/>
      <c r="AU436" s="201"/>
      <c r="AV436" s="202"/>
      <c r="AW436" s="194"/>
      <c r="AX436" s="201"/>
      <c r="AY436" s="213"/>
      <c r="AZ436" s="214"/>
      <c r="BA436" s="215"/>
      <c r="BB436" s="216"/>
      <c r="BC436" s="217" t="str">
        <f t="shared" si="78"/>
        <v/>
      </c>
      <c r="BD436" s="218"/>
      <c r="BE436" s="219"/>
      <c r="BF436" s="220"/>
      <c r="BG436" s="219"/>
      <c r="BH436" s="219"/>
      <c r="BI436" s="220"/>
      <c r="BJ436" s="218"/>
      <c r="BK436" s="219"/>
      <c r="BL436" s="197"/>
      <c r="BM436" s="215"/>
      <c r="BN436" s="221"/>
      <c r="BO436" s="222" t="str">
        <f t="shared" si="79"/>
        <v/>
      </c>
      <c r="BP436" s="217" t="str">
        <f t="shared" si="80"/>
        <v/>
      </c>
      <c r="BQ436" s="215"/>
      <c r="BR436" s="224"/>
      <c r="BS436" s="225"/>
      <c r="BT436" s="223"/>
      <c r="BU436" s="215"/>
      <c r="BV436" s="226"/>
      <c r="BW436" s="222" t="str">
        <f t="shared" si="81"/>
        <v/>
      </c>
      <c r="BX436" s="223" t="str">
        <f t="shared" si="82"/>
        <v/>
      </c>
      <c r="BY436" s="215"/>
      <c r="BZ436" s="227"/>
      <c r="CA436" s="227"/>
      <c r="CB436" s="228"/>
      <c r="CC436" s="229"/>
      <c r="CD436" s="230" t="str">
        <f t="shared" si="83"/>
        <v/>
      </c>
      <c r="CE436" s="231" t="str">
        <f t="shared" si="84"/>
        <v/>
      </c>
      <c r="CF436" s="232" t="str">
        <f t="shared" si="85"/>
        <v/>
      </c>
      <c r="CG436" s="233" t="str">
        <f t="shared" si="86"/>
        <v/>
      </c>
      <c r="CH436" s="207" t="str">
        <f>IF(OR(G436="",CC436= ""), "", IF(ISERROR(SMALL((CJ436,CN436,CV436), 1)-CC436), "",  SMALL((CJ436,CN436,CV436), 1)-CC436))</f>
        <v/>
      </c>
      <c r="CI436" s="234"/>
      <c r="CJ436" s="235"/>
      <c r="CK436" s="236"/>
      <c r="CL436" s="222" t="str">
        <f t="shared" si="87"/>
        <v/>
      </c>
      <c r="CM436" s="237" t="str">
        <f>IF(OR(G436="", CJ436="",CK436=""), "", IF(ISERROR(SMALL((CN436,CV436), 1)-CK436), "",  SMALL((CN436,CV436), 1)-CK436))</f>
        <v/>
      </c>
      <c r="CN436" s="235"/>
      <c r="CO436" s="236"/>
      <c r="CP436" s="224" t="str">
        <f t="shared" si="88"/>
        <v/>
      </c>
      <c r="CQ436" s="235"/>
      <c r="CR436" s="236"/>
      <c r="CS436" s="222" t="str">
        <f t="shared" si="89"/>
        <v/>
      </c>
      <c r="CT436" s="237" t="str">
        <f t="shared" si="90"/>
        <v/>
      </c>
      <c r="CU436" s="238"/>
      <c r="CV436" s="239"/>
      <c r="CW436" s="240"/>
    </row>
    <row r="437" spans="2:101" ht="16.5" customHeight="1">
      <c r="B437" s="122"/>
      <c r="E437" s="122"/>
      <c r="F437" s="194"/>
      <c r="G437" s="195"/>
      <c r="H437" s="195"/>
      <c r="I437" s="195"/>
      <c r="J437" s="196"/>
      <c r="K437" s="197"/>
      <c r="L437" s="198"/>
      <c r="M437" s="199"/>
      <c r="N437" s="200"/>
      <c r="O437" s="201"/>
      <c r="P437" s="201"/>
      <c r="Q437" s="201"/>
      <c r="R437" s="201"/>
      <c r="S437" s="201"/>
      <c r="T437" s="201"/>
      <c r="U437" s="201"/>
      <c r="V437" s="201"/>
      <c r="W437" s="201"/>
      <c r="X437" s="202"/>
      <c r="Y437" s="203"/>
      <c r="Z437" s="204"/>
      <c r="AA437" s="205"/>
      <c r="AB437" s="206"/>
      <c r="AC437" s="206"/>
      <c r="AD437" s="194"/>
      <c r="AE437" s="201"/>
      <c r="AF437" s="207"/>
      <c r="AG437" s="208"/>
      <c r="AH437" s="209"/>
      <c r="AI437" s="210"/>
      <c r="AJ437" s="197"/>
      <c r="AK437" s="201"/>
      <c r="AL437" s="196"/>
      <c r="AM437" s="201"/>
      <c r="AN437" s="201"/>
      <c r="AO437" s="201"/>
      <c r="AP437" s="211"/>
      <c r="AQ437" s="212"/>
      <c r="AR437" s="201"/>
      <c r="AS437" s="201"/>
      <c r="AT437" s="201"/>
      <c r="AU437" s="201"/>
      <c r="AV437" s="202"/>
      <c r="AW437" s="194"/>
      <c r="AX437" s="201"/>
      <c r="AY437" s="213"/>
      <c r="AZ437" s="214"/>
      <c r="BA437" s="215"/>
      <c r="BB437" s="216"/>
      <c r="BC437" s="217" t="str">
        <f t="shared" si="78"/>
        <v/>
      </c>
      <c r="BD437" s="218"/>
      <c r="BE437" s="219"/>
      <c r="BF437" s="220"/>
      <c r="BG437" s="219"/>
      <c r="BH437" s="219"/>
      <c r="BI437" s="220"/>
      <c r="BJ437" s="218"/>
      <c r="BK437" s="219"/>
      <c r="BL437" s="197"/>
      <c r="BM437" s="215"/>
      <c r="BN437" s="221"/>
      <c r="BO437" s="222" t="str">
        <f t="shared" si="79"/>
        <v/>
      </c>
      <c r="BP437" s="217" t="str">
        <f t="shared" si="80"/>
        <v/>
      </c>
      <c r="BQ437" s="215"/>
      <c r="BR437" s="224"/>
      <c r="BS437" s="225"/>
      <c r="BT437" s="223"/>
      <c r="BU437" s="215"/>
      <c r="BV437" s="226"/>
      <c r="BW437" s="222" t="str">
        <f t="shared" si="81"/>
        <v/>
      </c>
      <c r="BX437" s="223" t="str">
        <f t="shared" si="82"/>
        <v/>
      </c>
      <c r="BY437" s="215"/>
      <c r="BZ437" s="227"/>
      <c r="CA437" s="227"/>
      <c r="CB437" s="228"/>
      <c r="CC437" s="229"/>
      <c r="CD437" s="230" t="str">
        <f t="shared" si="83"/>
        <v/>
      </c>
      <c r="CE437" s="231" t="str">
        <f t="shared" si="84"/>
        <v/>
      </c>
      <c r="CF437" s="232" t="str">
        <f t="shared" si="85"/>
        <v/>
      </c>
      <c r="CG437" s="233" t="str">
        <f t="shared" si="86"/>
        <v/>
      </c>
      <c r="CH437" s="207" t="str">
        <f>IF(OR(G437="",CC437= ""), "", IF(ISERROR(SMALL((CJ437,CN437,CV437), 1)-CC437), "",  SMALL((CJ437,CN437,CV437), 1)-CC437))</f>
        <v/>
      </c>
      <c r="CI437" s="234"/>
      <c r="CJ437" s="235"/>
      <c r="CK437" s="236"/>
      <c r="CL437" s="222" t="str">
        <f t="shared" si="87"/>
        <v/>
      </c>
      <c r="CM437" s="237" t="str">
        <f>IF(OR(G437="", CJ437="",CK437=""), "", IF(ISERROR(SMALL((CN437,CV437), 1)-CK437), "",  SMALL((CN437,CV437), 1)-CK437))</f>
        <v/>
      </c>
      <c r="CN437" s="235"/>
      <c r="CO437" s="236"/>
      <c r="CP437" s="224" t="str">
        <f t="shared" si="88"/>
        <v/>
      </c>
      <c r="CQ437" s="235"/>
      <c r="CR437" s="236"/>
      <c r="CS437" s="222" t="str">
        <f t="shared" si="89"/>
        <v/>
      </c>
      <c r="CT437" s="237" t="str">
        <f t="shared" si="90"/>
        <v/>
      </c>
      <c r="CU437" s="238"/>
      <c r="CV437" s="239"/>
      <c r="CW437" s="240"/>
    </row>
    <row r="438" spans="2:101" ht="16.5" customHeight="1">
      <c r="B438" s="122"/>
      <c r="E438" s="122"/>
      <c r="F438" s="194"/>
      <c r="G438" s="195"/>
      <c r="H438" s="195"/>
      <c r="I438" s="195"/>
      <c r="J438" s="196"/>
      <c r="K438" s="197"/>
      <c r="L438" s="198"/>
      <c r="M438" s="199"/>
      <c r="N438" s="200"/>
      <c r="O438" s="201"/>
      <c r="P438" s="201"/>
      <c r="Q438" s="201"/>
      <c r="R438" s="201"/>
      <c r="S438" s="201"/>
      <c r="T438" s="201"/>
      <c r="U438" s="201"/>
      <c r="V438" s="201"/>
      <c r="W438" s="201"/>
      <c r="X438" s="202"/>
      <c r="Y438" s="203"/>
      <c r="Z438" s="204"/>
      <c r="AA438" s="205"/>
      <c r="AB438" s="206"/>
      <c r="AC438" s="206"/>
      <c r="AD438" s="194"/>
      <c r="AE438" s="201"/>
      <c r="AF438" s="207"/>
      <c r="AG438" s="208"/>
      <c r="AH438" s="209"/>
      <c r="AI438" s="210"/>
      <c r="AJ438" s="197"/>
      <c r="AK438" s="201"/>
      <c r="AL438" s="196"/>
      <c r="AM438" s="201"/>
      <c r="AN438" s="201"/>
      <c r="AO438" s="201"/>
      <c r="AP438" s="211"/>
      <c r="AQ438" s="212"/>
      <c r="AR438" s="201"/>
      <c r="AS438" s="201"/>
      <c r="AT438" s="201"/>
      <c r="AU438" s="201"/>
      <c r="AV438" s="202"/>
      <c r="AW438" s="194"/>
      <c r="AX438" s="201"/>
      <c r="AY438" s="213"/>
      <c r="AZ438" s="214"/>
      <c r="BA438" s="215"/>
      <c r="BB438" s="216"/>
      <c r="BC438" s="217" t="str">
        <f t="shared" si="78"/>
        <v/>
      </c>
      <c r="BD438" s="218"/>
      <c r="BE438" s="219"/>
      <c r="BF438" s="220"/>
      <c r="BG438" s="219"/>
      <c r="BH438" s="219"/>
      <c r="BI438" s="220"/>
      <c r="BJ438" s="218"/>
      <c r="BK438" s="219"/>
      <c r="BL438" s="197"/>
      <c r="BM438" s="215"/>
      <c r="BN438" s="221"/>
      <c r="BO438" s="222" t="str">
        <f t="shared" si="79"/>
        <v/>
      </c>
      <c r="BP438" s="217" t="str">
        <f t="shared" si="80"/>
        <v/>
      </c>
      <c r="BQ438" s="215"/>
      <c r="BR438" s="224"/>
      <c r="BS438" s="225"/>
      <c r="BT438" s="223"/>
      <c r="BU438" s="215"/>
      <c r="BV438" s="226"/>
      <c r="BW438" s="222" t="str">
        <f t="shared" si="81"/>
        <v/>
      </c>
      <c r="BX438" s="223" t="str">
        <f t="shared" si="82"/>
        <v/>
      </c>
      <c r="BY438" s="215"/>
      <c r="BZ438" s="227"/>
      <c r="CA438" s="227"/>
      <c r="CB438" s="228"/>
      <c r="CC438" s="229"/>
      <c r="CD438" s="230" t="str">
        <f t="shared" si="83"/>
        <v/>
      </c>
      <c r="CE438" s="231" t="str">
        <f t="shared" si="84"/>
        <v/>
      </c>
      <c r="CF438" s="232" t="str">
        <f t="shared" si="85"/>
        <v/>
      </c>
      <c r="CG438" s="233" t="str">
        <f t="shared" si="86"/>
        <v/>
      </c>
      <c r="CH438" s="207" t="str">
        <f>IF(OR(G438="",CC438= ""), "", IF(ISERROR(SMALL((CJ438,CN438,CV438), 1)-CC438), "",  SMALL((CJ438,CN438,CV438), 1)-CC438))</f>
        <v/>
      </c>
      <c r="CI438" s="234"/>
      <c r="CJ438" s="235"/>
      <c r="CK438" s="236"/>
      <c r="CL438" s="222" t="str">
        <f t="shared" si="87"/>
        <v/>
      </c>
      <c r="CM438" s="237" t="str">
        <f>IF(OR(G438="", CJ438="",CK438=""), "", IF(ISERROR(SMALL((CN438,CV438), 1)-CK438), "",  SMALL((CN438,CV438), 1)-CK438))</f>
        <v/>
      </c>
      <c r="CN438" s="235"/>
      <c r="CO438" s="236"/>
      <c r="CP438" s="224" t="str">
        <f t="shared" si="88"/>
        <v/>
      </c>
      <c r="CQ438" s="235"/>
      <c r="CR438" s="236"/>
      <c r="CS438" s="222" t="str">
        <f t="shared" si="89"/>
        <v/>
      </c>
      <c r="CT438" s="237" t="str">
        <f t="shared" si="90"/>
        <v/>
      </c>
      <c r="CU438" s="238"/>
      <c r="CV438" s="239"/>
      <c r="CW438" s="240"/>
    </row>
    <row r="439" spans="2:101" ht="16.5" customHeight="1">
      <c r="B439" s="122"/>
      <c r="E439" s="122"/>
      <c r="F439" s="194"/>
      <c r="G439" s="195"/>
      <c r="H439" s="195"/>
      <c r="I439" s="195"/>
      <c r="J439" s="196"/>
      <c r="K439" s="197"/>
      <c r="L439" s="198"/>
      <c r="M439" s="199"/>
      <c r="N439" s="200"/>
      <c r="O439" s="201"/>
      <c r="P439" s="201"/>
      <c r="Q439" s="201"/>
      <c r="R439" s="201"/>
      <c r="S439" s="201"/>
      <c r="T439" s="201"/>
      <c r="U439" s="201"/>
      <c r="V439" s="201"/>
      <c r="W439" s="201"/>
      <c r="X439" s="202"/>
      <c r="Y439" s="203"/>
      <c r="Z439" s="204"/>
      <c r="AA439" s="205"/>
      <c r="AB439" s="206"/>
      <c r="AC439" s="206"/>
      <c r="AD439" s="194"/>
      <c r="AE439" s="201"/>
      <c r="AF439" s="207"/>
      <c r="AG439" s="208"/>
      <c r="AH439" s="209"/>
      <c r="AI439" s="210"/>
      <c r="AJ439" s="197"/>
      <c r="AK439" s="201"/>
      <c r="AL439" s="196"/>
      <c r="AM439" s="201"/>
      <c r="AN439" s="201"/>
      <c r="AO439" s="201"/>
      <c r="AP439" s="211"/>
      <c r="AQ439" s="212"/>
      <c r="AR439" s="201"/>
      <c r="AS439" s="201"/>
      <c r="AT439" s="201"/>
      <c r="AU439" s="201"/>
      <c r="AV439" s="202"/>
      <c r="AW439" s="194"/>
      <c r="AX439" s="201"/>
      <c r="AY439" s="213"/>
      <c r="AZ439" s="214"/>
      <c r="BA439" s="215"/>
      <c r="BB439" s="216"/>
      <c r="BC439" s="217" t="str">
        <f t="shared" si="78"/>
        <v/>
      </c>
      <c r="BD439" s="218"/>
      <c r="BE439" s="219"/>
      <c r="BF439" s="220"/>
      <c r="BG439" s="219"/>
      <c r="BH439" s="219"/>
      <c r="BI439" s="220"/>
      <c r="BJ439" s="218"/>
      <c r="BK439" s="219"/>
      <c r="BL439" s="197"/>
      <c r="BM439" s="215"/>
      <c r="BN439" s="221"/>
      <c r="BO439" s="222" t="str">
        <f t="shared" si="79"/>
        <v/>
      </c>
      <c r="BP439" s="217" t="str">
        <f t="shared" si="80"/>
        <v/>
      </c>
      <c r="BQ439" s="215"/>
      <c r="BR439" s="224"/>
      <c r="BS439" s="225"/>
      <c r="BT439" s="223"/>
      <c r="BU439" s="215"/>
      <c r="BV439" s="226"/>
      <c r="BW439" s="222" t="str">
        <f t="shared" si="81"/>
        <v/>
      </c>
      <c r="BX439" s="223" t="str">
        <f t="shared" si="82"/>
        <v/>
      </c>
      <c r="BY439" s="215"/>
      <c r="BZ439" s="227"/>
      <c r="CA439" s="227"/>
      <c r="CB439" s="228"/>
      <c r="CC439" s="229"/>
      <c r="CD439" s="230" t="str">
        <f t="shared" si="83"/>
        <v/>
      </c>
      <c r="CE439" s="231" t="str">
        <f t="shared" si="84"/>
        <v/>
      </c>
      <c r="CF439" s="232" t="str">
        <f t="shared" si="85"/>
        <v/>
      </c>
      <c r="CG439" s="233" t="str">
        <f t="shared" si="86"/>
        <v/>
      </c>
      <c r="CH439" s="207" t="str">
        <f>IF(OR(G439="",CC439= ""), "", IF(ISERROR(SMALL((CJ439,CN439,CV439), 1)-CC439), "",  SMALL((CJ439,CN439,CV439), 1)-CC439))</f>
        <v/>
      </c>
      <c r="CI439" s="234"/>
      <c r="CJ439" s="235"/>
      <c r="CK439" s="236"/>
      <c r="CL439" s="222" t="str">
        <f t="shared" si="87"/>
        <v/>
      </c>
      <c r="CM439" s="237" t="str">
        <f>IF(OR(G439="", CJ439="",CK439=""), "", IF(ISERROR(SMALL((CN439,CV439), 1)-CK439), "",  SMALL((CN439,CV439), 1)-CK439))</f>
        <v/>
      </c>
      <c r="CN439" s="235"/>
      <c r="CO439" s="236"/>
      <c r="CP439" s="224" t="str">
        <f t="shared" si="88"/>
        <v/>
      </c>
      <c r="CQ439" s="235"/>
      <c r="CR439" s="236"/>
      <c r="CS439" s="222" t="str">
        <f t="shared" si="89"/>
        <v/>
      </c>
      <c r="CT439" s="237" t="str">
        <f t="shared" si="90"/>
        <v/>
      </c>
      <c r="CU439" s="238"/>
      <c r="CV439" s="239"/>
      <c r="CW439" s="240"/>
    </row>
    <row r="440" spans="2:101" ht="16.5" customHeight="1">
      <c r="B440" s="122"/>
      <c r="E440" s="122"/>
      <c r="F440" s="194"/>
      <c r="G440" s="195"/>
      <c r="H440" s="195"/>
      <c r="I440" s="195"/>
      <c r="J440" s="196"/>
      <c r="K440" s="197"/>
      <c r="L440" s="198"/>
      <c r="M440" s="199"/>
      <c r="N440" s="200"/>
      <c r="O440" s="201"/>
      <c r="P440" s="201"/>
      <c r="Q440" s="201"/>
      <c r="R440" s="201"/>
      <c r="S440" s="201"/>
      <c r="T440" s="201"/>
      <c r="U440" s="201"/>
      <c r="V440" s="201"/>
      <c r="W440" s="201"/>
      <c r="X440" s="202"/>
      <c r="Y440" s="203"/>
      <c r="Z440" s="204"/>
      <c r="AA440" s="205"/>
      <c r="AB440" s="206"/>
      <c r="AC440" s="206"/>
      <c r="AD440" s="194"/>
      <c r="AE440" s="201"/>
      <c r="AF440" s="207"/>
      <c r="AG440" s="208"/>
      <c r="AH440" s="209"/>
      <c r="AI440" s="210"/>
      <c r="AJ440" s="197"/>
      <c r="AK440" s="201"/>
      <c r="AL440" s="196"/>
      <c r="AM440" s="201"/>
      <c r="AN440" s="201"/>
      <c r="AO440" s="201"/>
      <c r="AP440" s="211"/>
      <c r="AQ440" s="212"/>
      <c r="AR440" s="201"/>
      <c r="AS440" s="201"/>
      <c r="AT440" s="201"/>
      <c r="AU440" s="201"/>
      <c r="AV440" s="202"/>
      <c r="AW440" s="194"/>
      <c r="AX440" s="201"/>
      <c r="AY440" s="213"/>
      <c r="AZ440" s="214"/>
      <c r="BA440" s="215"/>
      <c r="BB440" s="216"/>
      <c r="BC440" s="217" t="str">
        <f t="shared" si="78"/>
        <v/>
      </c>
      <c r="BD440" s="218"/>
      <c r="BE440" s="219"/>
      <c r="BF440" s="220"/>
      <c r="BG440" s="219"/>
      <c r="BH440" s="219"/>
      <c r="BI440" s="220"/>
      <c r="BJ440" s="218"/>
      <c r="BK440" s="219"/>
      <c r="BL440" s="197"/>
      <c r="BM440" s="215"/>
      <c r="BN440" s="221"/>
      <c r="BO440" s="222" t="str">
        <f t="shared" si="79"/>
        <v/>
      </c>
      <c r="BP440" s="217" t="str">
        <f t="shared" si="80"/>
        <v/>
      </c>
      <c r="BQ440" s="215"/>
      <c r="BR440" s="224"/>
      <c r="BS440" s="225"/>
      <c r="BT440" s="223"/>
      <c r="BU440" s="215"/>
      <c r="BV440" s="226"/>
      <c r="BW440" s="222" t="str">
        <f t="shared" si="81"/>
        <v/>
      </c>
      <c r="BX440" s="223" t="str">
        <f t="shared" si="82"/>
        <v/>
      </c>
      <c r="BY440" s="215"/>
      <c r="BZ440" s="227"/>
      <c r="CA440" s="227"/>
      <c r="CB440" s="228"/>
      <c r="CC440" s="229"/>
      <c r="CD440" s="230" t="str">
        <f t="shared" si="83"/>
        <v/>
      </c>
      <c r="CE440" s="231" t="str">
        <f t="shared" si="84"/>
        <v/>
      </c>
      <c r="CF440" s="232" t="str">
        <f t="shared" si="85"/>
        <v/>
      </c>
      <c r="CG440" s="233" t="str">
        <f t="shared" si="86"/>
        <v/>
      </c>
      <c r="CH440" s="207" t="str">
        <f>IF(OR(G440="",CC440= ""), "", IF(ISERROR(SMALL((CJ440,CN440,CV440), 1)-CC440), "",  SMALL((CJ440,CN440,CV440), 1)-CC440))</f>
        <v/>
      </c>
      <c r="CI440" s="234"/>
      <c r="CJ440" s="235"/>
      <c r="CK440" s="236"/>
      <c r="CL440" s="222" t="str">
        <f t="shared" si="87"/>
        <v/>
      </c>
      <c r="CM440" s="237" t="str">
        <f>IF(OR(G440="", CJ440="",CK440=""), "", IF(ISERROR(SMALL((CN440,CV440), 1)-CK440), "",  SMALL((CN440,CV440), 1)-CK440))</f>
        <v/>
      </c>
      <c r="CN440" s="235"/>
      <c r="CO440" s="236"/>
      <c r="CP440" s="224" t="str">
        <f t="shared" si="88"/>
        <v/>
      </c>
      <c r="CQ440" s="235"/>
      <c r="CR440" s="236"/>
      <c r="CS440" s="222" t="str">
        <f t="shared" si="89"/>
        <v/>
      </c>
      <c r="CT440" s="237" t="str">
        <f t="shared" si="90"/>
        <v/>
      </c>
      <c r="CU440" s="238"/>
      <c r="CV440" s="239"/>
      <c r="CW440" s="240"/>
    </row>
    <row r="441" spans="2:101" ht="16.5" customHeight="1">
      <c r="B441" s="122"/>
      <c r="E441" s="122"/>
      <c r="F441" s="194"/>
      <c r="G441" s="195"/>
      <c r="H441" s="195"/>
      <c r="I441" s="195"/>
      <c r="J441" s="196"/>
      <c r="K441" s="197"/>
      <c r="L441" s="198"/>
      <c r="M441" s="199"/>
      <c r="N441" s="200"/>
      <c r="O441" s="201"/>
      <c r="P441" s="201"/>
      <c r="Q441" s="201"/>
      <c r="R441" s="201"/>
      <c r="S441" s="201"/>
      <c r="T441" s="201"/>
      <c r="U441" s="201"/>
      <c r="V441" s="201"/>
      <c r="W441" s="201"/>
      <c r="X441" s="202"/>
      <c r="Y441" s="203"/>
      <c r="Z441" s="204"/>
      <c r="AA441" s="205"/>
      <c r="AB441" s="206"/>
      <c r="AC441" s="206"/>
      <c r="AD441" s="194"/>
      <c r="AE441" s="201"/>
      <c r="AF441" s="207"/>
      <c r="AG441" s="208"/>
      <c r="AH441" s="209"/>
      <c r="AI441" s="210"/>
      <c r="AJ441" s="197"/>
      <c r="AK441" s="201"/>
      <c r="AL441" s="196"/>
      <c r="AM441" s="201"/>
      <c r="AN441" s="201"/>
      <c r="AO441" s="201"/>
      <c r="AP441" s="211"/>
      <c r="AQ441" s="212"/>
      <c r="AR441" s="201"/>
      <c r="AS441" s="201"/>
      <c r="AT441" s="201"/>
      <c r="AU441" s="201"/>
      <c r="AV441" s="202"/>
      <c r="AW441" s="194"/>
      <c r="AX441" s="201"/>
      <c r="AY441" s="213"/>
      <c r="AZ441" s="214"/>
      <c r="BA441" s="215"/>
      <c r="BB441" s="216"/>
      <c r="BC441" s="217" t="str">
        <f t="shared" si="78"/>
        <v/>
      </c>
      <c r="BD441" s="218"/>
      <c r="BE441" s="219"/>
      <c r="BF441" s="220"/>
      <c r="BG441" s="219"/>
      <c r="BH441" s="219"/>
      <c r="BI441" s="220"/>
      <c r="BJ441" s="218"/>
      <c r="BK441" s="219"/>
      <c r="BL441" s="197"/>
      <c r="BM441" s="215"/>
      <c r="BN441" s="221"/>
      <c r="BO441" s="222" t="str">
        <f t="shared" si="79"/>
        <v/>
      </c>
      <c r="BP441" s="217" t="str">
        <f t="shared" si="80"/>
        <v/>
      </c>
      <c r="BQ441" s="215"/>
      <c r="BR441" s="224"/>
      <c r="BS441" s="225"/>
      <c r="BT441" s="223"/>
      <c r="BU441" s="215"/>
      <c r="BV441" s="226"/>
      <c r="BW441" s="222" t="str">
        <f t="shared" si="81"/>
        <v/>
      </c>
      <c r="BX441" s="223" t="str">
        <f t="shared" si="82"/>
        <v/>
      </c>
      <c r="BY441" s="215"/>
      <c r="BZ441" s="227"/>
      <c r="CA441" s="227"/>
      <c r="CB441" s="228"/>
      <c r="CC441" s="229"/>
      <c r="CD441" s="230" t="str">
        <f t="shared" si="83"/>
        <v/>
      </c>
      <c r="CE441" s="231" t="str">
        <f t="shared" si="84"/>
        <v/>
      </c>
      <c r="CF441" s="232" t="str">
        <f t="shared" si="85"/>
        <v/>
      </c>
      <c r="CG441" s="233" t="str">
        <f t="shared" si="86"/>
        <v/>
      </c>
      <c r="CH441" s="207" t="str">
        <f>IF(OR(G441="",CC441= ""), "", IF(ISERROR(SMALL((CJ441,CN441,CV441), 1)-CC441), "",  SMALL((CJ441,CN441,CV441), 1)-CC441))</f>
        <v/>
      </c>
      <c r="CI441" s="234"/>
      <c r="CJ441" s="235"/>
      <c r="CK441" s="236"/>
      <c r="CL441" s="222" t="str">
        <f t="shared" si="87"/>
        <v/>
      </c>
      <c r="CM441" s="237" t="str">
        <f>IF(OR(G441="", CJ441="",CK441=""), "", IF(ISERROR(SMALL((CN441,CV441), 1)-CK441), "",  SMALL((CN441,CV441), 1)-CK441))</f>
        <v/>
      </c>
      <c r="CN441" s="235"/>
      <c r="CO441" s="236"/>
      <c r="CP441" s="224" t="str">
        <f t="shared" si="88"/>
        <v/>
      </c>
      <c r="CQ441" s="235"/>
      <c r="CR441" s="236"/>
      <c r="CS441" s="222" t="str">
        <f t="shared" si="89"/>
        <v/>
      </c>
      <c r="CT441" s="237" t="str">
        <f t="shared" si="90"/>
        <v/>
      </c>
      <c r="CU441" s="238"/>
      <c r="CV441" s="239"/>
      <c r="CW441" s="240"/>
    </row>
    <row r="442" spans="2:101" ht="16.5" customHeight="1">
      <c r="B442" s="122"/>
      <c r="E442" s="122"/>
      <c r="F442" s="194"/>
      <c r="G442" s="195"/>
      <c r="H442" s="195"/>
      <c r="I442" s="195"/>
      <c r="J442" s="196"/>
      <c r="K442" s="197"/>
      <c r="L442" s="198"/>
      <c r="M442" s="199"/>
      <c r="N442" s="200"/>
      <c r="O442" s="201"/>
      <c r="P442" s="201"/>
      <c r="Q442" s="201"/>
      <c r="R442" s="201"/>
      <c r="S442" s="201"/>
      <c r="T442" s="201"/>
      <c r="U442" s="201"/>
      <c r="V442" s="201"/>
      <c r="W442" s="201"/>
      <c r="X442" s="202"/>
      <c r="Y442" s="203"/>
      <c r="Z442" s="204"/>
      <c r="AA442" s="205"/>
      <c r="AB442" s="206"/>
      <c r="AC442" s="206"/>
      <c r="AD442" s="194"/>
      <c r="AE442" s="201"/>
      <c r="AF442" s="207"/>
      <c r="AG442" s="208"/>
      <c r="AH442" s="209"/>
      <c r="AI442" s="210"/>
      <c r="AJ442" s="197"/>
      <c r="AK442" s="201"/>
      <c r="AL442" s="196"/>
      <c r="AM442" s="201"/>
      <c r="AN442" s="201"/>
      <c r="AO442" s="201"/>
      <c r="AP442" s="211"/>
      <c r="AQ442" s="212"/>
      <c r="AR442" s="201"/>
      <c r="AS442" s="201"/>
      <c r="AT442" s="201"/>
      <c r="AU442" s="201"/>
      <c r="AV442" s="202"/>
      <c r="AW442" s="194"/>
      <c r="AX442" s="201"/>
      <c r="AY442" s="213"/>
      <c r="AZ442" s="214"/>
      <c r="BA442" s="215"/>
      <c r="BB442" s="216"/>
      <c r="BC442" s="217" t="str">
        <f t="shared" si="78"/>
        <v/>
      </c>
      <c r="BD442" s="218"/>
      <c r="BE442" s="219"/>
      <c r="BF442" s="220"/>
      <c r="BG442" s="219"/>
      <c r="BH442" s="219"/>
      <c r="BI442" s="220"/>
      <c r="BJ442" s="218"/>
      <c r="BK442" s="219"/>
      <c r="BL442" s="197"/>
      <c r="BM442" s="215"/>
      <c r="BN442" s="221"/>
      <c r="BO442" s="222" t="str">
        <f t="shared" si="79"/>
        <v/>
      </c>
      <c r="BP442" s="217" t="str">
        <f t="shared" si="80"/>
        <v/>
      </c>
      <c r="BQ442" s="215"/>
      <c r="BR442" s="224"/>
      <c r="BS442" s="225"/>
      <c r="BT442" s="223"/>
      <c r="BU442" s="215"/>
      <c r="BV442" s="226"/>
      <c r="BW442" s="222" t="str">
        <f t="shared" si="81"/>
        <v/>
      </c>
      <c r="BX442" s="223" t="str">
        <f t="shared" si="82"/>
        <v/>
      </c>
      <c r="BY442" s="215"/>
      <c r="BZ442" s="227"/>
      <c r="CA442" s="227"/>
      <c r="CB442" s="228"/>
      <c r="CC442" s="229"/>
      <c r="CD442" s="230" t="str">
        <f t="shared" si="83"/>
        <v/>
      </c>
      <c r="CE442" s="231" t="str">
        <f t="shared" si="84"/>
        <v/>
      </c>
      <c r="CF442" s="232" t="str">
        <f t="shared" si="85"/>
        <v/>
      </c>
      <c r="CG442" s="233" t="str">
        <f t="shared" si="86"/>
        <v/>
      </c>
      <c r="CH442" s="207" t="str">
        <f>IF(OR(G442="",CC442= ""), "", IF(ISERROR(SMALL((CJ442,CN442,CV442), 1)-CC442), "",  SMALL((CJ442,CN442,CV442), 1)-CC442))</f>
        <v/>
      </c>
      <c r="CI442" s="234"/>
      <c r="CJ442" s="235"/>
      <c r="CK442" s="236"/>
      <c r="CL442" s="222" t="str">
        <f t="shared" si="87"/>
        <v/>
      </c>
      <c r="CM442" s="237" t="str">
        <f>IF(OR(G442="", CJ442="",CK442=""), "", IF(ISERROR(SMALL((CN442,CV442), 1)-CK442), "",  SMALL((CN442,CV442), 1)-CK442))</f>
        <v/>
      </c>
      <c r="CN442" s="235"/>
      <c r="CO442" s="236"/>
      <c r="CP442" s="224" t="str">
        <f t="shared" si="88"/>
        <v/>
      </c>
      <c r="CQ442" s="235"/>
      <c r="CR442" s="236"/>
      <c r="CS442" s="222" t="str">
        <f t="shared" si="89"/>
        <v/>
      </c>
      <c r="CT442" s="237" t="str">
        <f t="shared" si="90"/>
        <v/>
      </c>
      <c r="CU442" s="238"/>
      <c r="CV442" s="239"/>
      <c r="CW442" s="240"/>
    </row>
    <row r="443" spans="2:101" ht="16.5" customHeight="1">
      <c r="B443" s="122"/>
      <c r="E443" s="122"/>
      <c r="F443" s="194"/>
      <c r="G443" s="195"/>
      <c r="H443" s="195"/>
      <c r="I443" s="195"/>
      <c r="J443" s="196"/>
      <c r="K443" s="197"/>
      <c r="L443" s="198"/>
      <c r="M443" s="199"/>
      <c r="N443" s="200"/>
      <c r="O443" s="201"/>
      <c r="P443" s="201"/>
      <c r="Q443" s="201"/>
      <c r="R443" s="201"/>
      <c r="S443" s="201"/>
      <c r="T443" s="201"/>
      <c r="U443" s="201"/>
      <c r="V443" s="201"/>
      <c r="W443" s="201"/>
      <c r="X443" s="202"/>
      <c r="Y443" s="203"/>
      <c r="Z443" s="204"/>
      <c r="AA443" s="205"/>
      <c r="AB443" s="206"/>
      <c r="AC443" s="206"/>
      <c r="AD443" s="194"/>
      <c r="AE443" s="201"/>
      <c r="AF443" s="207"/>
      <c r="AG443" s="208"/>
      <c r="AH443" s="209"/>
      <c r="AI443" s="210"/>
      <c r="AJ443" s="197"/>
      <c r="AK443" s="201"/>
      <c r="AL443" s="196"/>
      <c r="AM443" s="201"/>
      <c r="AN443" s="201"/>
      <c r="AO443" s="201"/>
      <c r="AP443" s="211"/>
      <c r="AQ443" s="212"/>
      <c r="AR443" s="201"/>
      <c r="AS443" s="201"/>
      <c r="AT443" s="201"/>
      <c r="AU443" s="201"/>
      <c r="AV443" s="202"/>
      <c r="AW443" s="194"/>
      <c r="AX443" s="201"/>
      <c r="AY443" s="213"/>
      <c r="AZ443" s="214"/>
      <c r="BA443" s="215"/>
      <c r="BB443" s="216"/>
      <c r="BC443" s="217" t="str">
        <f t="shared" si="78"/>
        <v/>
      </c>
      <c r="BD443" s="218"/>
      <c r="BE443" s="219"/>
      <c r="BF443" s="220"/>
      <c r="BG443" s="219"/>
      <c r="BH443" s="219"/>
      <c r="BI443" s="220"/>
      <c r="BJ443" s="218"/>
      <c r="BK443" s="219"/>
      <c r="BL443" s="197"/>
      <c r="BM443" s="215"/>
      <c r="BN443" s="221"/>
      <c r="BO443" s="222" t="str">
        <f t="shared" si="79"/>
        <v/>
      </c>
      <c r="BP443" s="217" t="str">
        <f t="shared" si="80"/>
        <v/>
      </c>
      <c r="BQ443" s="215"/>
      <c r="BR443" s="224"/>
      <c r="BS443" s="225"/>
      <c r="BT443" s="223"/>
      <c r="BU443" s="215"/>
      <c r="BV443" s="226"/>
      <c r="BW443" s="222" t="str">
        <f t="shared" si="81"/>
        <v/>
      </c>
      <c r="BX443" s="223" t="str">
        <f t="shared" si="82"/>
        <v/>
      </c>
      <c r="BY443" s="215"/>
      <c r="BZ443" s="227"/>
      <c r="CA443" s="227"/>
      <c r="CB443" s="228"/>
      <c r="CC443" s="229"/>
      <c r="CD443" s="230" t="str">
        <f t="shared" si="83"/>
        <v/>
      </c>
      <c r="CE443" s="231" t="str">
        <f t="shared" si="84"/>
        <v/>
      </c>
      <c r="CF443" s="232" t="str">
        <f t="shared" si="85"/>
        <v/>
      </c>
      <c r="CG443" s="233" t="str">
        <f t="shared" si="86"/>
        <v/>
      </c>
      <c r="CH443" s="207" t="str">
        <f>IF(OR(G443="",CC443= ""), "", IF(ISERROR(SMALL((CJ443,CN443,CV443), 1)-CC443), "",  SMALL((CJ443,CN443,CV443), 1)-CC443))</f>
        <v/>
      </c>
      <c r="CI443" s="234"/>
      <c r="CJ443" s="235"/>
      <c r="CK443" s="236"/>
      <c r="CL443" s="222" t="str">
        <f t="shared" si="87"/>
        <v/>
      </c>
      <c r="CM443" s="237" t="str">
        <f>IF(OR(G443="", CJ443="",CK443=""), "", IF(ISERROR(SMALL((CN443,CV443), 1)-CK443), "",  SMALL((CN443,CV443), 1)-CK443))</f>
        <v/>
      </c>
      <c r="CN443" s="235"/>
      <c r="CO443" s="236"/>
      <c r="CP443" s="224" t="str">
        <f t="shared" si="88"/>
        <v/>
      </c>
      <c r="CQ443" s="235"/>
      <c r="CR443" s="236"/>
      <c r="CS443" s="222" t="str">
        <f t="shared" si="89"/>
        <v/>
      </c>
      <c r="CT443" s="237" t="str">
        <f t="shared" si="90"/>
        <v/>
      </c>
      <c r="CU443" s="238"/>
      <c r="CV443" s="239"/>
      <c r="CW443" s="240"/>
    </row>
    <row r="444" spans="2:101" ht="16.5" customHeight="1">
      <c r="B444" s="122"/>
      <c r="E444" s="122"/>
      <c r="F444" s="194"/>
      <c r="G444" s="195"/>
      <c r="H444" s="195"/>
      <c r="I444" s="195"/>
      <c r="J444" s="196"/>
      <c r="K444" s="197"/>
      <c r="L444" s="198"/>
      <c r="M444" s="199"/>
      <c r="N444" s="200"/>
      <c r="O444" s="201"/>
      <c r="P444" s="201"/>
      <c r="Q444" s="201"/>
      <c r="R444" s="201"/>
      <c r="S444" s="201"/>
      <c r="T444" s="201"/>
      <c r="U444" s="201"/>
      <c r="V444" s="201"/>
      <c r="W444" s="201"/>
      <c r="X444" s="202"/>
      <c r="Y444" s="203"/>
      <c r="Z444" s="204"/>
      <c r="AA444" s="205"/>
      <c r="AB444" s="206"/>
      <c r="AC444" s="206"/>
      <c r="AD444" s="194"/>
      <c r="AE444" s="201"/>
      <c r="AF444" s="207"/>
      <c r="AG444" s="208"/>
      <c r="AH444" s="209"/>
      <c r="AI444" s="210"/>
      <c r="AJ444" s="197"/>
      <c r="AK444" s="201"/>
      <c r="AL444" s="196"/>
      <c r="AM444" s="201"/>
      <c r="AN444" s="201"/>
      <c r="AO444" s="201"/>
      <c r="AP444" s="211"/>
      <c r="AQ444" s="212"/>
      <c r="AR444" s="201"/>
      <c r="AS444" s="201"/>
      <c r="AT444" s="201"/>
      <c r="AU444" s="201"/>
      <c r="AV444" s="202"/>
      <c r="AW444" s="194"/>
      <c r="AX444" s="201"/>
      <c r="AY444" s="213"/>
      <c r="AZ444" s="214"/>
      <c r="BA444" s="215"/>
      <c r="BB444" s="216"/>
      <c r="BC444" s="217" t="str">
        <f t="shared" si="78"/>
        <v/>
      </c>
      <c r="BD444" s="218"/>
      <c r="BE444" s="219"/>
      <c r="BF444" s="220"/>
      <c r="BG444" s="219"/>
      <c r="BH444" s="219"/>
      <c r="BI444" s="220"/>
      <c r="BJ444" s="218"/>
      <c r="BK444" s="219"/>
      <c r="BL444" s="197"/>
      <c r="BM444" s="215"/>
      <c r="BN444" s="221"/>
      <c r="BO444" s="222" t="str">
        <f t="shared" si="79"/>
        <v/>
      </c>
      <c r="BP444" s="217" t="str">
        <f t="shared" si="80"/>
        <v/>
      </c>
      <c r="BQ444" s="215"/>
      <c r="BR444" s="224"/>
      <c r="BS444" s="225"/>
      <c r="BT444" s="223"/>
      <c r="BU444" s="215"/>
      <c r="BV444" s="226"/>
      <c r="BW444" s="222" t="str">
        <f t="shared" si="81"/>
        <v/>
      </c>
      <c r="BX444" s="223" t="str">
        <f t="shared" si="82"/>
        <v/>
      </c>
      <c r="BY444" s="215"/>
      <c r="BZ444" s="227"/>
      <c r="CA444" s="227"/>
      <c r="CB444" s="228"/>
      <c r="CC444" s="229"/>
      <c r="CD444" s="230" t="str">
        <f t="shared" si="83"/>
        <v/>
      </c>
      <c r="CE444" s="231" t="str">
        <f t="shared" si="84"/>
        <v/>
      </c>
      <c r="CF444" s="232" t="str">
        <f t="shared" si="85"/>
        <v/>
      </c>
      <c r="CG444" s="233" t="str">
        <f t="shared" si="86"/>
        <v/>
      </c>
      <c r="CH444" s="207" t="str">
        <f>IF(OR(G444="",CC444= ""), "", IF(ISERROR(SMALL((CJ444,CN444,CV444), 1)-CC444), "",  SMALL((CJ444,CN444,CV444), 1)-CC444))</f>
        <v/>
      </c>
      <c r="CI444" s="234"/>
      <c r="CJ444" s="235"/>
      <c r="CK444" s="236"/>
      <c r="CL444" s="222" t="str">
        <f t="shared" si="87"/>
        <v/>
      </c>
      <c r="CM444" s="237" t="str">
        <f>IF(OR(G444="", CJ444="",CK444=""), "", IF(ISERROR(SMALL((CN444,CV444), 1)-CK444), "",  SMALL((CN444,CV444), 1)-CK444))</f>
        <v/>
      </c>
      <c r="CN444" s="235"/>
      <c r="CO444" s="236"/>
      <c r="CP444" s="224" t="str">
        <f t="shared" si="88"/>
        <v/>
      </c>
      <c r="CQ444" s="235"/>
      <c r="CR444" s="236"/>
      <c r="CS444" s="222" t="str">
        <f t="shared" si="89"/>
        <v/>
      </c>
      <c r="CT444" s="237" t="str">
        <f t="shared" si="90"/>
        <v/>
      </c>
      <c r="CU444" s="238"/>
      <c r="CV444" s="239"/>
      <c r="CW444" s="240"/>
    </row>
    <row r="445" spans="2:101" ht="16.5" customHeight="1">
      <c r="B445" s="122"/>
      <c r="E445" s="122"/>
      <c r="F445" s="194"/>
      <c r="G445" s="195"/>
      <c r="H445" s="195"/>
      <c r="I445" s="195"/>
      <c r="J445" s="196"/>
      <c r="K445" s="197"/>
      <c r="L445" s="198"/>
      <c r="M445" s="199"/>
      <c r="N445" s="200"/>
      <c r="O445" s="201"/>
      <c r="P445" s="201"/>
      <c r="Q445" s="201"/>
      <c r="R445" s="201"/>
      <c r="S445" s="201"/>
      <c r="T445" s="201"/>
      <c r="U445" s="201"/>
      <c r="V445" s="201"/>
      <c r="W445" s="201"/>
      <c r="X445" s="202"/>
      <c r="Y445" s="203"/>
      <c r="Z445" s="204"/>
      <c r="AA445" s="205"/>
      <c r="AB445" s="206"/>
      <c r="AC445" s="206"/>
      <c r="AD445" s="194"/>
      <c r="AE445" s="201"/>
      <c r="AF445" s="207"/>
      <c r="AG445" s="208"/>
      <c r="AH445" s="209"/>
      <c r="AI445" s="210"/>
      <c r="AJ445" s="197"/>
      <c r="AK445" s="201"/>
      <c r="AL445" s="196"/>
      <c r="AM445" s="201"/>
      <c r="AN445" s="201"/>
      <c r="AO445" s="201"/>
      <c r="AP445" s="211"/>
      <c r="AQ445" s="212"/>
      <c r="AR445" s="201"/>
      <c r="AS445" s="201"/>
      <c r="AT445" s="201"/>
      <c r="AU445" s="201"/>
      <c r="AV445" s="202"/>
      <c r="AW445" s="194"/>
      <c r="AX445" s="201"/>
      <c r="AY445" s="213"/>
      <c r="AZ445" s="214"/>
      <c r="BA445" s="215"/>
      <c r="BB445" s="216"/>
      <c r="BC445" s="217" t="str">
        <f t="shared" si="78"/>
        <v/>
      </c>
      <c r="BD445" s="218"/>
      <c r="BE445" s="219"/>
      <c r="BF445" s="220"/>
      <c r="BG445" s="219"/>
      <c r="BH445" s="219"/>
      <c r="BI445" s="220"/>
      <c r="BJ445" s="218"/>
      <c r="BK445" s="219"/>
      <c r="BL445" s="197"/>
      <c r="BM445" s="215"/>
      <c r="BN445" s="221"/>
      <c r="BO445" s="222" t="str">
        <f t="shared" si="79"/>
        <v/>
      </c>
      <c r="BP445" s="217" t="str">
        <f t="shared" si="80"/>
        <v/>
      </c>
      <c r="BQ445" s="215"/>
      <c r="BR445" s="224"/>
      <c r="BS445" s="225"/>
      <c r="BT445" s="223"/>
      <c r="BU445" s="215"/>
      <c r="BV445" s="226"/>
      <c r="BW445" s="222" t="str">
        <f t="shared" si="81"/>
        <v/>
      </c>
      <c r="BX445" s="223" t="str">
        <f t="shared" si="82"/>
        <v/>
      </c>
      <c r="BY445" s="215"/>
      <c r="BZ445" s="227"/>
      <c r="CA445" s="227"/>
      <c r="CB445" s="228"/>
      <c r="CC445" s="229"/>
      <c r="CD445" s="230" t="str">
        <f t="shared" si="83"/>
        <v/>
      </c>
      <c r="CE445" s="231" t="str">
        <f t="shared" si="84"/>
        <v/>
      </c>
      <c r="CF445" s="232" t="str">
        <f t="shared" si="85"/>
        <v/>
      </c>
      <c r="CG445" s="233" t="str">
        <f t="shared" si="86"/>
        <v/>
      </c>
      <c r="CH445" s="207" t="str">
        <f>IF(OR(G445="",CC445= ""), "", IF(ISERROR(SMALL((CJ445,CN445,CV445), 1)-CC445), "",  SMALL((CJ445,CN445,CV445), 1)-CC445))</f>
        <v/>
      </c>
      <c r="CI445" s="234"/>
      <c r="CJ445" s="235"/>
      <c r="CK445" s="236"/>
      <c r="CL445" s="222" t="str">
        <f t="shared" si="87"/>
        <v/>
      </c>
      <c r="CM445" s="237" t="str">
        <f>IF(OR(G445="", CJ445="",CK445=""), "", IF(ISERROR(SMALL((CN445,CV445), 1)-CK445), "",  SMALL((CN445,CV445), 1)-CK445))</f>
        <v/>
      </c>
      <c r="CN445" s="235"/>
      <c r="CO445" s="236"/>
      <c r="CP445" s="224" t="str">
        <f t="shared" si="88"/>
        <v/>
      </c>
      <c r="CQ445" s="235"/>
      <c r="CR445" s="236"/>
      <c r="CS445" s="222" t="str">
        <f t="shared" si="89"/>
        <v/>
      </c>
      <c r="CT445" s="237" t="str">
        <f t="shared" si="90"/>
        <v/>
      </c>
      <c r="CU445" s="238"/>
      <c r="CV445" s="239"/>
      <c r="CW445" s="240"/>
    </row>
    <row r="446" spans="2:101" ht="16.5" customHeight="1">
      <c r="B446" s="122"/>
      <c r="E446" s="122"/>
      <c r="F446" s="194"/>
      <c r="G446" s="195"/>
      <c r="H446" s="195"/>
      <c r="I446" s="195"/>
      <c r="J446" s="196"/>
      <c r="K446" s="197"/>
      <c r="L446" s="198"/>
      <c r="M446" s="199"/>
      <c r="N446" s="200"/>
      <c r="O446" s="201"/>
      <c r="P446" s="201"/>
      <c r="Q446" s="201"/>
      <c r="R446" s="201"/>
      <c r="S446" s="201"/>
      <c r="T446" s="201"/>
      <c r="U446" s="201"/>
      <c r="V446" s="201"/>
      <c r="W446" s="201"/>
      <c r="X446" s="202"/>
      <c r="Y446" s="203"/>
      <c r="Z446" s="204"/>
      <c r="AA446" s="205"/>
      <c r="AB446" s="206"/>
      <c r="AC446" s="206"/>
      <c r="AD446" s="194"/>
      <c r="AE446" s="201"/>
      <c r="AF446" s="207"/>
      <c r="AG446" s="208"/>
      <c r="AH446" s="209"/>
      <c r="AI446" s="210"/>
      <c r="AJ446" s="197"/>
      <c r="AK446" s="201"/>
      <c r="AL446" s="196"/>
      <c r="AM446" s="201"/>
      <c r="AN446" s="201"/>
      <c r="AO446" s="201"/>
      <c r="AP446" s="211"/>
      <c r="AQ446" s="212"/>
      <c r="AR446" s="201"/>
      <c r="AS446" s="201"/>
      <c r="AT446" s="201"/>
      <c r="AU446" s="201"/>
      <c r="AV446" s="202"/>
      <c r="AW446" s="194"/>
      <c r="AX446" s="201"/>
      <c r="AY446" s="213"/>
      <c r="AZ446" s="214"/>
      <c r="BA446" s="215"/>
      <c r="BB446" s="216"/>
      <c r="BC446" s="217" t="str">
        <f t="shared" si="78"/>
        <v/>
      </c>
      <c r="BD446" s="218"/>
      <c r="BE446" s="219"/>
      <c r="BF446" s="220"/>
      <c r="BG446" s="219"/>
      <c r="BH446" s="219"/>
      <c r="BI446" s="220"/>
      <c r="BJ446" s="218"/>
      <c r="BK446" s="219"/>
      <c r="BL446" s="197"/>
      <c r="BM446" s="215"/>
      <c r="BN446" s="221"/>
      <c r="BO446" s="222" t="str">
        <f t="shared" si="79"/>
        <v/>
      </c>
      <c r="BP446" s="217" t="str">
        <f t="shared" si="80"/>
        <v/>
      </c>
      <c r="BQ446" s="215"/>
      <c r="BR446" s="224"/>
      <c r="BS446" s="225"/>
      <c r="BT446" s="223"/>
      <c r="BU446" s="215"/>
      <c r="BV446" s="226"/>
      <c r="BW446" s="222" t="str">
        <f t="shared" si="81"/>
        <v/>
      </c>
      <c r="BX446" s="223" t="str">
        <f t="shared" si="82"/>
        <v/>
      </c>
      <c r="BY446" s="215"/>
      <c r="BZ446" s="227"/>
      <c r="CA446" s="227"/>
      <c r="CB446" s="228"/>
      <c r="CC446" s="229"/>
      <c r="CD446" s="230" t="str">
        <f t="shared" si="83"/>
        <v/>
      </c>
      <c r="CE446" s="231" t="str">
        <f t="shared" si="84"/>
        <v/>
      </c>
      <c r="CF446" s="232" t="str">
        <f t="shared" si="85"/>
        <v/>
      </c>
      <c r="CG446" s="233" t="str">
        <f t="shared" si="86"/>
        <v/>
      </c>
      <c r="CH446" s="207" t="str">
        <f>IF(OR(G446="",CC446= ""), "", IF(ISERROR(SMALL((CJ446,CN446,CV446), 1)-CC446), "",  SMALL((CJ446,CN446,CV446), 1)-CC446))</f>
        <v/>
      </c>
      <c r="CI446" s="234"/>
      <c r="CJ446" s="235"/>
      <c r="CK446" s="236"/>
      <c r="CL446" s="222" t="str">
        <f t="shared" si="87"/>
        <v/>
      </c>
      <c r="CM446" s="237" t="str">
        <f>IF(OR(G446="", CJ446="",CK446=""), "", IF(ISERROR(SMALL((CN446,CV446), 1)-CK446), "",  SMALL((CN446,CV446), 1)-CK446))</f>
        <v/>
      </c>
      <c r="CN446" s="235"/>
      <c r="CO446" s="236"/>
      <c r="CP446" s="224" t="str">
        <f t="shared" si="88"/>
        <v/>
      </c>
      <c r="CQ446" s="235"/>
      <c r="CR446" s="236"/>
      <c r="CS446" s="222" t="str">
        <f t="shared" si="89"/>
        <v/>
      </c>
      <c r="CT446" s="237" t="str">
        <f t="shared" si="90"/>
        <v/>
      </c>
      <c r="CU446" s="238"/>
      <c r="CV446" s="239"/>
      <c r="CW446" s="240"/>
    </row>
    <row r="447" spans="2:101" ht="16.5" customHeight="1">
      <c r="B447" s="122"/>
      <c r="E447" s="122"/>
      <c r="F447" s="194"/>
      <c r="G447" s="195"/>
      <c r="H447" s="195"/>
      <c r="I447" s="195"/>
      <c r="J447" s="196"/>
      <c r="K447" s="197"/>
      <c r="L447" s="198"/>
      <c r="M447" s="199"/>
      <c r="N447" s="200"/>
      <c r="O447" s="201"/>
      <c r="P447" s="201"/>
      <c r="Q447" s="201"/>
      <c r="R447" s="201"/>
      <c r="S447" s="201"/>
      <c r="T447" s="201"/>
      <c r="U447" s="201"/>
      <c r="V447" s="201"/>
      <c r="W447" s="201"/>
      <c r="X447" s="202"/>
      <c r="Y447" s="203"/>
      <c r="Z447" s="204"/>
      <c r="AA447" s="205"/>
      <c r="AB447" s="206"/>
      <c r="AC447" s="206"/>
      <c r="AD447" s="194"/>
      <c r="AE447" s="201"/>
      <c r="AF447" s="207"/>
      <c r="AG447" s="208"/>
      <c r="AH447" s="209"/>
      <c r="AI447" s="210"/>
      <c r="AJ447" s="197"/>
      <c r="AK447" s="201"/>
      <c r="AL447" s="196"/>
      <c r="AM447" s="201"/>
      <c r="AN447" s="201"/>
      <c r="AO447" s="201"/>
      <c r="AP447" s="211"/>
      <c r="AQ447" s="212"/>
      <c r="AR447" s="201"/>
      <c r="AS447" s="201"/>
      <c r="AT447" s="201"/>
      <c r="AU447" s="201"/>
      <c r="AV447" s="202"/>
      <c r="AW447" s="194"/>
      <c r="AX447" s="201"/>
      <c r="AY447" s="213"/>
      <c r="AZ447" s="214"/>
      <c r="BA447" s="215"/>
      <c r="BB447" s="216"/>
      <c r="BC447" s="217" t="str">
        <f t="shared" si="78"/>
        <v/>
      </c>
      <c r="BD447" s="218"/>
      <c r="BE447" s="219"/>
      <c r="BF447" s="220"/>
      <c r="BG447" s="219"/>
      <c r="BH447" s="219"/>
      <c r="BI447" s="220"/>
      <c r="BJ447" s="218"/>
      <c r="BK447" s="219"/>
      <c r="BL447" s="197"/>
      <c r="BM447" s="215"/>
      <c r="BN447" s="221"/>
      <c r="BO447" s="222" t="str">
        <f t="shared" si="79"/>
        <v/>
      </c>
      <c r="BP447" s="217" t="str">
        <f t="shared" si="80"/>
        <v/>
      </c>
      <c r="BQ447" s="215"/>
      <c r="BR447" s="224"/>
      <c r="BS447" s="225"/>
      <c r="BT447" s="223"/>
      <c r="BU447" s="215"/>
      <c r="BV447" s="226"/>
      <c r="BW447" s="222" t="str">
        <f t="shared" si="81"/>
        <v/>
      </c>
      <c r="BX447" s="223" t="str">
        <f t="shared" si="82"/>
        <v/>
      </c>
      <c r="BY447" s="215"/>
      <c r="BZ447" s="227"/>
      <c r="CA447" s="227"/>
      <c r="CB447" s="228"/>
      <c r="CC447" s="229"/>
      <c r="CD447" s="230" t="str">
        <f t="shared" si="83"/>
        <v/>
      </c>
      <c r="CE447" s="231" t="str">
        <f t="shared" si="84"/>
        <v/>
      </c>
      <c r="CF447" s="232" t="str">
        <f t="shared" si="85"/>
        <v/>
      </c>
      <c r="CG447" s="233" t="str">
        <f t="shared" si="86"/>
        <v/>
      </c>
      <c r="CH447" s="207" t="str">
        <f>IF(OR(G447="",CC447= ""), "", IF(ISERROR(SMALL((CJ447,CN447,CV447), 1)-CC447), "",  SMALL((CJ447,CN447,CV447), 1)-CC447))</f>
        <v/>
      </c>
      <c r="CI447" s="234"/>
      <c r="CJ447" s="235"/>
      <c r="CK447" s="236"/>
      <c r="CL447" s="222" t="str">
        <f t="shared" si="87"/>
        <v/>
      </c>
      <c r="CM447" s="237" t="str">
        <f>IF(OR(G447="", CJ447="",CK447=""), "", IF(ISERROR(SMALL((CN447,CV447), 1)-CK447), "",  SMALL((CN447,CV447), 1)-CK447))</f>
        <v/>
      </c>
      <c r="CN447" s="235"/>
      <c r="CO447" s="236"/>
      <c r="CP447" s="224" t="str">
        <f t="shared" si="88"/>
        <v/>
      </c>
      <c r="CQ447" s="235"/>
      <c r="CR447" s="236"/>
      <c r="CS447" s="222" t="str">
        <f t="shared" si="89"/>
        <v/>
      </c>
      <c r="CT447" s="237" t="str">
        <f t="shared" si="90"/>
        <v/>
      </c>
      <c r="CU447" s="238"/>
      <c r="CV447" s="239"/>
      <c r="CW447" s="240"/>
    </row>
    <row r="448" spans="2:101" ht="16.5" customHeight="1">
      <c r="B448" s="122"/>
      <c r="E448" s="122"/>
      <c r="F448" s="194"/>
      <c r="G448" s="195"/>
      <c r="H448" s="195"/>
      <c r="I448" s="195"/>
      <c r="J448" s="196"/>
      <c r="K448" s="197"/>
      <c r="L448" s="198"/>
      <c r="M448" s="199"/>
      <c r="N448" s="200"/>
      <c r="O448" s="201"/>
      <c r="P448" s="201"/>
      <c r="Q448" s="201"/>
      <c r="R448" s="201"/>
      <c r="S448" s="201"/>
      <c r="T448" s="201"/>
      <c r="U448" s="201"/>
      <c r="V448" s="201"/>
      <c r="W448" s="201"/>
      <c r="X448" s="202"/>
      <c r="Y448" s="203"/>
      <c r="Z448" s="204"/>
      <c r="AA448" s="205"/>
      <c r="AB448" s="206"/>
      <c r="AC448" s="206"/>
      <c r="AD448" s="194"/>
      <c r="AE448" s="201"/>
      <c r="AF448" s="207"/>
      <c r="AG448" s="208"/>
      <c r="AH448" s="209"/>
      <c r="AI448" s="210"/>
      <c r="AJ448" s="197"/>
      <c r="AK448" s="201"/>
      <c r="AL448" s="196"/>
      <c r="AM448" s="201"/>
      <c r="AN448" s="201"/>
      <c r="AO448" s="201"/>
      <c r="AP448" s="211"/>
      <c r="AQ448" s="212"/>
      <c r="AR448" s="201"/>
      <c r="AS448" s="201"/>
      <c r="AT448" s="201"/>
      <c r="AU448" s="201"/>
      <c r="AV448" s="202"/>
      <c r="AW448" s="194"/>
      <c r="AX448" s="201"/>
      <c r="AY448" s="213"/>
      <c r="AZ448" s="214"/>
      <c r="BA448" s="215"/>
      <c r="BB448" s="216"/>
      <c r="BC448" s="217" t="str">
        <f t="shared" si="78"/>
        <v/>
      </c>
      <c r="BD448" s="218"/>
      <c r="BE448" s="219"/>
      <c r="BF448" s="220"/>
      <c r="BG448" s="219"/>
      <c r="BH448" s="219"/>
      <c r="BI448" s="220"/>
      <c r="BJ448" s="218"/>
      <c r="BK448" s="219"/>
      <c r="BL448" s="197"/>
      <c r="BM448" s="215"/>
      <c r="BN448" s="221"/>
      <c r="BO448" s="222" t="str">
        <f t="shared" si="79"/>
        <v/>
      </c>
      <c r="BP448" s="217" t="str">
        <f t="shared" si="80"/>
        <v/>
      </c>
      <c r="BQ448" s="215"/>
      <c r="BR448" s="224"/>
      <c r="BS448" s="225"/>
      <c r="BT448" s="223"/>
      <c r="BU448" s="215"/>
      <c r="BV448" s="226"/>
      <c r="BW448" s="222" t="str">
        <f t="shared" si="81"/>
        <v/>
      </c>
      <c r="BX448" s="223" t="str">
        <f t="shared" si="82"/>
        <v/>
      </c>
      <c r="BY448" s="215"/>
      <c r="BZ448" s="227"/>
      <c r="CA448" s="227"/>
      <c r="CB448" s="228"/>
      <c r="CC448" s="229"/>
      <c r="CD448" s="230" t="str">
        <f t="shared" si="83"/>
        <v/>
      </c>
      <c r="CE448" s="231" t="str">
        <f t="shared" si="84"/>
        <v/>
      </c>
      <c r="CF448" s="232" t="str">
        <f t="shared" si="85"/>
        <v/>
      </c>
      <c r="CG448" s="233" t="str">
        <f t="shared" si="86"/>
        <v/>
      </c>
      <c r="CH448" s="207" t="str">
        <f>IF(OR(G448="",CC448= ""), "", IF(ISERROR(SMALL((CJ448,CN448,CV448), 1)-CC448), "",  SMALL((CJ448,CN448,CV448), 1)-CC448))</f>
        <v/>
      </c>
      <c r="CI448" s="234"/>
      <c r="CJ448" s="235"/>
      <c r="CK448" s="236"/>
      <c r="CL448" s="222" t="str">
        <f t="shared" si="87"/>
        <v/>
      </c>
      <c r="CM448" s="237" t="str">
        <f>IF(OR(G448="", CJ448="",CK448=""), "", IF(ISERROR(SMALL((CN448,CV448), 1)-CK448), "",  SMALL((CN448,CV448), 1)-CK448))</f>
        <v/>
      </c>
      <c r="CN448" s="235"/>
      <c r="CO448" s="236"/>
      <c r="CP448" s="224" t="str">
        <f t="shared" si="88"/>
        <v/>
      </c>
      <c r="CQ448" s="235"/>
      <c r="CR448" s="236"/>
      <c r="CS448" s="222" t="str">
        <f t="shared" si="89"/>
        <v/>
      </c>
      <c r="CT448" s="237" t="str">
        <f t="shared" si="90"/>
        <v/>
      </c>
      <c r="CU448" s="238"/>
      <c r="CV448" s="239"/>
      <c r="CW448" s="240"/>
    </row>
    <row r="449" spans="2:101" ht="16.5" customHeight="1">
      <c r="B449" s="122"/>
      <c r="E449" s="122"/>
      <c r="F449" s="194"/>
      <c r="G449" s="195"/>
      <c r="H449" s="195"/>
      <c r="I449" s="195"/>
      <c r="J449" s="196"/>
      <c r="K449" s="197"/>
      <c r="L449" s="198"/>
      <c r="M449" s="199"/>
      <c r="N449" s="200"/>
      <c r="O449" s="201"/>
      <c r="P449" s="201"/>
      <c r="Q449" s="201"/>
      <c r="R449" s="201"/>
      <c r="S449" s="201"/>
      <c r="T449" s="201"/>
      <c r="U449" s="201"/>
      <c r="V449" s="201"/>
      <c r="W449" s="201"/>
      <c r="X449" s="202"/>
      <c r="Y449" s="203"/>
      <c r="Z449" s="204"/>
      <c r="AA449" s="205"/>
      <c r="AB449" s="206"/>
      <c r="AC449" s="206"/>
      <c r="AD449" s="194"/>
      <c r="AE449" s="201"/>
      <c r="AF449" s="207"/>
      <c r="AG449" s="208"/>
      <c r="AH449" s="209"/>
      <c r="AI449" s="210"/>
      <c r="AJ449" s="197"/>
      <c r="AK449" s="201"/>
      <c r="AL449" s="196"/>
      <c r="AM449" s="201"/>
      <c r="AN449" s="201"/>
      <c r="AO449" s="201"/>
      <c r="AP449" s="211"/>
      <c r="AQ449" s="212"/>
      <c r="AR449" s="201"/>
      <c r="AS449" s="201"/>
      <c r="AT449" s="201"/>
      <c r="AU449" s="201"/>
      <c r="AV449" s="202"/>
      <c r="AW449" s="194"/>
      <c r="AX449" s="201"/>
      <c r="AY449" s="213"/>
      <c r="AZ449" s="214"/>
      <c r="BA449" s="215"/>
      <c r="BB449" s="216"/>
      <c r="BC449" s="217" t="str">
        <f t="shared" si="78"/>
        <v/>
      </c>
      <c r="BD449" s="218"/>
      <c r="BE449" s="219"/>
      <c r="BF449" s="220"/>
      <c r="BG449" s="219"/>
      <c r="BH449" s="219"/>
      <c r="BI449" s="220"/>
      <c r="BJ449" s="218"/>
      <c r="BK449" s="219"/>
      <c r="BL449" s="197"/>
      <c r="BM449" s="215"/>
      <c r="BN449" s="221"/>
      <c r="BO449" s="222" t="str">
        <f t="shared" si="79"/>
        <v/>
      </c>
      <c r="BP449" s="217" t="str">
        <f t="shared" si="80"/>
        <v/>
      </c>
      <c r="BQ449" s="215"/>
      <c r="BR449" s="224"/>
      <c r="BS449" s="225"/>
      <c r="BT449" s="223"/>
      <c r="BU449" s="215"/>
      <c r="BV449" s="226"/>
      <c r="BW449" s="222" t="str">
        <f t="shared" si="81"/>
        <v/>
      </c>
      <c r="BX449" s="223" t="str">
        <f t="shared" si="82"/>
        <v/>
      </c>
      <c r="BY449" s="215"/>
      <c r="BZ449" s="227"/>
      <c r="CA449" s="227"/>
      <c r="CB449" s="228"/>
      <c r="CC449" s="229"/>
      <c r="CD449" s="230" t="str">
        <f t="shared" si="83"/>
        <v/>
      </c>
      <c r="CE449" s="231" t="str">
        <f t="shared" si="84"/>
        <v/>
      </c>
      <c r="CF449" s="232" t="str">
        <f t="shared" si="85"/>
        <v/>
      </c>
      <c r="CG449" s="233" t="str">
        <f t="shared" si="86"/>
        <v/>
      </c>
      <c r="CH449" s="207" t="str">
        <f>IF(OR(G449="",CC449= ""), "", IF(ISERROR(SMALL((CJ449,CN449,CV449), 1)-CC449), "",  SMALL((CJ449,CN449,CV449), 1)-CC449))</f>
        <v/>
      </c>
      <c r="CI449" s="234"/>
      <c r="CJ449" s="235"/>
      <c r="CK449" s="236"/>
      <c r="CL449" s="222" t="str">
        <f t="shared" si="87"/>
        <v/>
      </c>
      <c r="CM449" s="237" t="str">
        <f>IF(OR(G449="", CJ449="",CK449=""), "", IF(ISERROR(SMALL((CN449,CV449), 1)-CK449), "",  SMALL((CN449,CV449), 1)-CK449))</f>
        <v/>
      </c>
      <c r="CN449" s="235"/>
      <c r="CO449" s="236"/>
      <c r="CP449" s="224" t="str">
        <f t="shared" si="88"/>
        <v/>
      </c>
      <c r="CQ449" s="235"/>
      <c r="CR449" s="236"/>
      <c r="CS449" s="222" t="str">
        <f t="shared" si="89"/>
        <v/>
      </c>
      <c r="CT449" s="237" t="str">
        <f t="shared" si="90"/>
        <v/>
      </c>
      <c r="CU449" s="238"/>
      <c r="CV449" s="239"/>
      <c r="CW449" s="240"/>
    </row>
    <row r="450" spans="2:101" ht="16.5" customHeight="1">
      <c r="B450" s="122"/>
      <c r="E450" s="122"/>
      <c r="F450" s="194"/>
      <c r="G450" s="195"/>
      <c r="H450" s="195"/>
      <c r="I450" s="195"/>
      <c r="J450" s="196"/>
      <c r="K450" s="197"/>
      <c r="L450" s="198"/>
      <c r="M450" s="199"/>
      <c r="N450" s="200"/>
      <c r="O450" s="201"/>
      <c r="P450" s="201"/>
      <c r="Q450" s="201"/>
      <c r="R450" s="201"/>
      <c r="S450" s="201"/>
      <c r="T450" s="201"/>
      <c r="U450" s="201"/>
      <c r="V450" s="201"/>
      <c r="W450" s="201"/>
      <c r="X450" s="202"/>
      <c r="Y450" s="203"/>
      <c r="Z450" s="204"/>
      <c r="AA450" s="205"/>
      <c r="AB450" s="206"/>
      <c r="AC450" s="206"/>
      <c r="AD450" s="194"/>
      <c r="AE450" s="201"/>
      <c r="AF450" s="207"/>
      <c r="AG450" s="208"/>
      <c r="AH450" s="209"/>
      <c r="AI450" s="210"/>
      <c r="AJ450" s="197"/>
      <c r="AK450" s="201"/>
      <c r="AL450" s="196"/>
      <c r="AM450" s="201"/>
      <c r="AN450" s="201"/>
      <c r="AO450" s="201"/>
      <c r="AP450" s="211"/>
      <c r="AQ450" s="212"/>
      <c r="AR450" s="201"/>
      <c r="AS450" s="201"/>
      <c r="AT450" s="201"/>
      <c r="AU450" s="201"/>
      <c r="AV450" s="202"/>
      <c r="AW450" s="194"/>
      <c r="AX450" s="201"/>
      <c r="AY450" s="213"/>
      <c r="AZ450" s="214"/>
      <c r="BA450" s="215"/>
      <c r="BB450" s="216"/>
      <c r="BC450" s="217" t="str">
        <f t="shared" si="78"/>
        <v/>
      </c>
      <c r="BD450" s="218"/>
      <c r="BE450" s="219"/>
      <c r="BF450" s="220"/>
      <c r="BG450" s="219"/>
      <c r="BH450" s="219"/>
      <c r="BI450" s="220"/>
      <c r="BJ450" s="218"/>
      <c r="BK450" s="219"/>
      <c r="BL450" s="197"/>
      <c r="BM450" s="215"/>
      <c r="BN450" s="221"/>
      <c r="BO450" s="222" t="str">
        <f t="shared" si="79"/>
        <v/>
      </c>
      <c r="BP450" s="217" t="str">
        <f t="shared" si="80"/>
        <v/>
      </c>
      <c r="BQ450" s="215"/>
      <c r="BR450" s="224"/>
      <c r="BS450" s="225"/>
      <c r="BT450" s="223"/>
      <c r="BU450" s="215"/>
      <c r="BV450" s="226"/>
      <c r="BW450" s="222" t="str">
        <f t="shared" si="81"/>
        <v/>
      </c>
      <c r="BX450" s="223" t="str">
        <f t="shared" si="82"/>
        <v/>
      </c>
      <c r="BY450" s="215"/>
      <c r="BZ450" s="227"/>
      <c r="CA450" s="227"/>
      <c r="CB450" s="228"/>
      <c r="CC450" s="229"/>
      <c r="CD450" s="230" t="str">
        <f t="shared" si="83"/>
        <v/>
      </c>
      <c r="CE450" s="231" t="str">
        <f t="shared" si="84"/>
        <v/>
      </c>
      <c r="CF450" s="232" t="str">
        <f t="shared" si="85"/>
        <v/>
      </c>
      <c r="CG450" s="233" t="str">
        <f t="shared" si="86"/>
        <v/>
      </c>
      <c r="CH450" s="207" t="str">
        <f>IF(OR(G450="",CC450= ""), "", IF(ISERROR(SMALL((CJ450,CN450,CV450), 1)-CC450), "",  SMALL((CJ450,CN450,CV450), 1)-CC450))</f>
        <v/>
      </c>
      <c r="CI450" s="234"/>
      <c r="CJ450" s="235"/>
      <c r="CK450" s="236"/>
      <c r="CL450" s="222" t="str">
        <f t="shared" si="87"/>
        <v/>
      </c>
      <c r="CM450" s="237" t="str">
        <f>IF(OR(G450="", CJ450="",CK450=""), "", IF(ISERROR(SMALL((CN450,CV450), 1)-CK450), "",  SMALL((CN450,CV450), 1)-CK450))</f>
        <v/>
      </c>
      <c r="CN450" s="235"/>
      <c r="CO450" s="236"/>
      <c r="CP450" s="224" t="str">
        <f t="shared" si="88"/>
        <v/>
      </c>
      <c r="CQ450" s="235"/>
      <c r="CR450" s="236"/>
      <c r="CS450" s="222" t="str">
        <f t="shared" si="89"/>
        <v/>
      </c>
      <c r="CT450" s="237" t="str">
        <f t="shared" si="90"/>
        <v/>
      </c>
      <c r="CU450" s="238"/>
      <c r="CV450" s="239"/>
      <c r="CW450" s="240"/>
    </row>
    <row r="451" spans="2:101" ht="16.5" customHeight="1">
      <c r="B451" s="122"/>
      <c r="E451" s="122"/>
      <c r="F451" s="194"/>
      <c r="G451" s="195"/>
      <c r="H451" s="195"/>
      <c r="I451" s="195"/>
      <c r="J451" s="196"/>
      <c r="K451" s="197"/>
      <c r="L451" s="198"/>
      <c r="M451" s="199"/>
      <c r="N451" s="200"/>
      <c r="O451" s="201"/>
      <c r="P451" s="201"/>
      <c r="Q451" s="201"/>
      <c r="R451" s="201"/>
      <c r="S451" s="201"/>
      <c r="T451" s="201"/>
      <c r="U451" s="201"/>
      <c r="V451" s="201"/>
      <c r="W451" s="201"/>
      <c r="X451" s="202"/>
      <c r="Y451" s="203"/>
      <c r="Z451" s="204"/>
      <c r="AA451" s="205"/>
      <c r="AB451" s="206"/>
      <c r="AC451" s="206"/>
      <c r="AD451" s="194"/>
      <c r="AE451" s="201"/>
      <c r="AF451" s="207"/>
      <c r="AG451" s="208"/>
      <c r="AH451" s="209"/>
      <c r="AI451" s="210"/>
      <c r="AJ451" s="197"/>
      <c r="AK451" s="201"/>
      <c r="AL451" s="196"/>
      <c r="AM451" s="201"/>
      <c r="AN451" s="201"/>
      <c r="AO451" s="201"/>
      <c r="AP451" s="211"/>
      <c r="AQ451" s="212"/>
      <c r="AR451" s="201"/>
      <c r="AS451" s="201"/>
      <c r="AT451" s="201"/>
      <c r="AU451" s="201"/>
      <c r="AV451" s="202"/>
      <c r="AW451" s="194"/>
      <c r="AX451" s="201"/>
      <c r="AY451" s="213"/>
      <c r="AZ451" s="214"/>
      <c r="BA451" s="215"/>
      <c r="BB451" s="216"/>
      <c r="BC451" s="217" t="str">
        <f t="shared" si="78"/>
        <v/>
      </c>
      <c r="BD451" s="218"/>
      <c r="BE451" s="219"/>
      <c r="BF451" s="220"/>
      <c r="BG451" s="219"/>
      <c r="BH451" s="219"/>
      <c r="BI451" s="220"/>
      <c r="BJ451" s="218"/>
      <c r="BK451" s="219"/>
      <c r="BL451" s="197"/>
      <c r="BM451" s="215"/>
      <c r="BN451" s="221"/>
      <c r="BO451" s="222" t="str">
        <f t="shared" si="79"/>
        <v/>
      </c>
      <c r="BP451" s="217" t="str">
        <f t="shared" si="80"/>
        <v/>
      </c>
      <c r="BQ451" s="215"/>
      <c r="BR451" s="224"/>
      <c r="BS451" s="225"/>
      <c r="BT451" s="223"/>
      <c r="BU451" s="215"/>
      <c r="BV451" s="226"/>
      <c r="BW451" s="222" t="str">
        <f t="shared" si="81"/>
        <v/>
      </c>
      <c r="BX451" s="223" t="str">
        <f t="shared" si="82"/>
        <v/>
      </c>
      <c r="BY451" s="215"/>
      <c r="BZ451" s="227"/>
      <c r="CA451" s="227"/>
      <c r="CB451" s="228"/>
      <c r="CC451" s="229"/>
      <c r="CD451" s="230" t="str">
        <f t="shared" si="83"/>
        <v/>
      </c>
      <c r="CE451" s="231" t="str">
        <f t="shared" si="84"/>
        <v/>
      </c>
      <c r="CF451" s="232" t="str">
        <f t="shared" si="85"/>
        <v/>
      </c>
      <c r="CG451" s="233" t="str">
        <f t="shared" si="86"/>
        <v/>
      </c>
      <c r="CH451" s="207" t="str">
        <f>IF(OR(G451="",CC451= ""), "", IF(ISERROR(SMALL((CJ451,CN451,CV451), 1)-CC451), "",  SMALL((CJ451,CN451,CV451), 1)-CC451))</f>
        <v/>
      </c>
      <c r="CI451" s="234"/>
      <c r="CJ451" s="235"/>
      <c r="CK451" s="236"/>
      <c r="CL451" s="222" t="str">
        <f t="shared" si="87"/>
        <v/>
      </c>
      <c r="CM451" s="237" t="str">
        <f>IF(OR(G451="", CJ451="",CK451=""), "", IF(ISERROR(SMALL((CN451,CV451), 1)-CK451), "",  SMALL((CN451,CV451), 1)-CK451))</f>
        <v/>
      </c>
      <c r="CN451" s="235"/>
      <c r="CO451" s="236"/>
      <c r="CP451" s="224" t="str">
        <f t="shared" si="88"/>
        <v/>
      </c>
      <c r="CQ451" s="235"/>
      <c r="CR451" s="236"/>
      <c r="CS451" s="222" t="str">
        <f t="shared" si="89"/>
        <v/>
      </c>
      <c r="CT451" s="237" t="str">
        <f t="shared" si="90"/>
        <v/>
      </c>
      <c r="CU451" s="238"/>
      <c r="CV451" s="239"/>
      <c r="CW451" s="240"/>
    </row>
    <row r="452" spans="2:101" ht="16.5" customHeight="1">
      <c r="B452" s="122"/>
      <c r="E452" s="122"/>
      <c r="F452" s="194"/>
      <c r="G452" s="195"/>
      <c r="H452" s="195"/>
      <c r="I452" s="195"/>
      <c r="J452" s="196"/>
      <c r="K452" s="197"/>
      <c r="L452" s="198"/>
      <c r="M452" s="199"/>
      <c r="N452" s="200"/>
      <c r="O452" s="201"/>
      <c r="P452" s="201"/>
      <c r="Q452" s="201"/>
      <c r="R452" s="201"/>
      <c r="S452" s="201"/>
      <c r="T452" s="201"/>
      <c r="U452" s="201"/>
      <c r="V452" s="201"/>
      <c r="W452" s="201"/>
      <c r="X452" s="202"/>
      <c r="Y452" s="203"/>
      <c r="Z452" s="204"/>
      <c r="AA452" s="205"/>
      <c r="AB452" s="206"/>
      <c r="AC452" s="206"/>
      <c r="AD452" s="194"/>
      <c r="AE452" s="201"/>
      <c r="AF452" s="207"/>
      <c r="AG452" s="208"/>
      <c r="AH452" s="209"/>
      <c r="AI452" s="210"/>
      <c r="AJ452" s="197"/>
      <c r="AK452" s="201"/>
      <c r="AL452" s="196"/>
      <c r="AM452" s="201"/>
      <c r="AN452" s="201"/>
      <c r="AO452" s="201"/>
      <c r="AP452" s="211"/>
      <c r="AQ452" s="212"/>
      <c r="AR452" s="201"/>
      <c r="AS452" s="201"/>
      <c r="AT452" s="201"/>
      <c r="AU452" s="201"/>
      <c r="AV452" s="202"/>
      <c r="AW452" s="194"/>
      <c r="AX452" s="201"/>
      <c r="AY452" s="213"/>
      <c r="AZ452" s="214"/>
      <c r="BA452" s="215"/>
      <c r="BB452" s="216"/>
      <c r="BC452" s="217" t="str">
        <f t="shared" si="78"/>
        <v/>
      </c>
      <c r="BD452" s="218"/>
      <c r="BE452" s="219"/>
      <c r="BF452" s="220"/>
      <c r="BG452" s="219"/>
      <c r="BH452" s="219"/>
      <c r="BI452" s="220"/>
      <c r="BJ452" s="218"/>
      <c r="BK452" s="219"/>
      <c r="BL452" s="197"/>
      <c r="BM452" s="215"/>
      <c r="BN452" s="221"/>
      <c r="BO452" s="222" t="str">
        <f t="shared" si="79"/>
        <v/>
      </c>
      <c r="BP452" s="217" t="str">
        <f t="shared" si="80"/>
        <v/>
      </c>
      <c r="BQ452" s="215"/>
      <c r="BR452" s="224"/>
      <c r="BS452" s="225"/>
      <c r="BT452" s="223"/>
      <c r="BU452" s="215"/>
      <c r="BV452" s="226"/>
      <c r="BW452" s="222" t="str">
        <f t="shared" si="81"/>
        <v/>
      </c>
      <c r="BX452" s="223" t="str">
        <f t="shared" si="82"/>
        <v/>
      </c>
      <c r="BY452" s="215"/>
      <c r="BZ452" s="227"/>
      <c r="CA452" s="227"/>
      <c r="CB452" s="228"/>
      <c r="CC452" s="229"/>
      <c r="CD452" s="230" t="str">
        <f t="shared" si="83"/>
        <v/>
      </c>
      <c r="CE452" s="231" t="str">
        <f t="shared" si="84"/>
        <v/>
      </c>
      <c r="CF452" s="232" t="str">
        <f t="shared" si="85"/>
        <v/>
      </c>
      <c r="CG452" s="233" t="str">
        <f t="shared" si="86"/>
        <v/>
      </c>
      <c r="CH452" s="207" t="str">
        <f>IF(OR(G452="",CC452= ""), "", IF(ISERROR(SMALL((CJ452,CN452,CV452), 1)-CC452), "",  SMALL((CJ452,CN452,CV452), 1)-CC452))</f>
        <v/>
      </c>
      <c r="CI452" s="234"/>
      <c r="CJ452" s="235"/>
      <c r="CK452" s="236"/>
      <c r="CL452" s="222" t="str">
        <f t="shared" si="87"/>
        <v/>
      </c>
      <c r="CM452" s="237" t="str">
        <f>IF(OR(G452="", CJ452="",CK452=""), "", IF(ISERROR(SMALL((CN452,CV452), 1)-CK452), "",  SMALL((CN452,CV452), 1)-CK452))</f>
        <v/>
      </c>
      <c r="CN452" s="235"/>
      <c r="CO452" s="236"/>
      <c r="CP452" s="224" t="str">
        <f t="shared" si="88"/>
        <v/>
      </c>
      <c r="CQ452" s="235"/>
      <c r="CR452" s="236"/>
      <c r="CS452" s="222" t="str">
        <f t="shared" si="89"/>
        <v/>
      </c>
      <c r="CT452" s="237" t="str">
        <f t="shared" si="90"/>
        <v/>
      </c>
      <c r="CU452" s="238"/>
      <c r="CV452" s="239"/>
      <c r="CW452" s="240"/>
    </row>
    <row r="453" spans="2:101" ht="16.5" customHeight="1">
      <c r="B453" s="122"/>
      <c r="E453" s="122"/>
      <c r="F453" s="194"/>
      <c r="G453" s="195"/>
      <c r="H453" s="195"/>
      <c r="I453" s="195"/>
      <c r="J453" s="196"/>
      <c r="K453" s="197"/>
      <c r="L453" s="198"/>
      <c r="M453" s="199"/>
      <c r="N453" s="200"/>
      <c r="O453" s="201"/>
      <c r="P453" s="201"/>
      <c r="Q453" s="201"/>
      <c r="R453" s="201"/>
      <c r="S453" s="201"/>
      <c r="T453" s="201"/>
      <c r="U453" s="201"/>
      <c r="V453" s="201"/>
      <c r="W453" s="201"/>
      <c r="X453" s="202"/>
      <c r="Y453" s="203"/>
      <c r="Z453" s="204"/>
      <c r="AA453" s="205"/>
      <c r="AB453" s="206"/>
      <c r="AC453" s="206"/>
      <c r="AD453" s="194"/>
      <c r="AE453" s="201"/>
      <c r="AF453" s="207"/>
      <c r="AG453" s="208"/>
      <c r="AH453" s="209"/>
      <c r="AI453" s="210"/>
      <c r="AJ453" s="197"/>
      <c r="AK453" s="201"/>
      <c r="AL453" s="196"/>
      <c r="AM453" s="201"/>
      <c r="AN453" s="201"/>
      <c r="AO453" s="201"/>
      <c r="AP453" s="211"/>
      <c r="AQ453" s="212"/>
      <c r="AR453" s="201"/>
      <c r="AS453" s="201"/>
      <c r="AT453" s="201"/>
      <c r="AU453" s="201"/>
      <c r="AV453" s="202"/>
      <c r="AW453" s="194"/>
      <c r="AX453" s="201"/>
      <c r="AY453" s="213"/>
      <c r="AZ453" s="214"/>
      <c r="BA453" s="215"/>
      <c r="BB453" s="216"/>
      <c r="BC453" s="217" t="str">
        <f t="shared" si="78"/>
        <v/>
      </c>
      <c r="BD453" s="218"/>
      <c r="BE453" s="219"/>
      <c r="BF453" s="220"/>
      <c r="BG453" s="219"/>
      <c r="BH453" s="219"/>
      <c r="BI453" s="220"/>
      <c r="BJ453" s="218"/>
      <c r="BK453" s="219"/>
      <c r="BL453" s="197"/>
      <c r="BM453" s="215"/>
      <c r="BN453" s="221"/>
      <c r="BO453" s="222" t="str">
        <f t="shared" si="79"/>
        <v/>
      </c>
      <c r="BP453" s="217" t="str">
        <f t="shared" si="80"/>
        <v/>
      </c>
      <c r="BQ453" s="215"/>
      <c r="BR453" s="224"/>
      <c r="BS453" s="225"/>
      <c r="BT453" s="223"/>
      <c r="BU453" s="215"/>
      <c r="BV453" s="226"/>
      <c r="BW453" s="222" t="str">
        <f t="shared" si="81"/>
        <v/>
      </c>
      <c r="BX453" s="223" t="str">
        <f t="shared" si="82"/>
        <v/>
      </c>
      <c r="BY453" s="215"/>
      <c r="BZ453" s="227"/>
      <c r="CA453" s="227"/>
      <c r="CB453" s="228"/>
      <c r="CC453" s="229"/>
      <c r="CD453" s="230" t="str">
        <f t="shared" si="83"/>
        <v/>
      </c>
      <c r="CE453" s="231" t="str">
        <f t="shared" si="84"/>
        <v/>
      </c>
      <c r="CF453" s="232" t="str">
        <f t="shared" si="85"/>
        <v/>
      </c>
      <c r="CG453" s="233" t="str">
        <f t="shared" si="86"/>
        <v/>
      </c>
      <c r="CH453" s="207" t="str">
        <f>IF(OR(G453="",CC453= ""), "", IF(ISERROR(SMALL((CJ453,CN453,CV453), 1)-CC453), "",  SMALL((CJ453,CN453,CV453), 1)-CC453))</f>
        <v/>
      </c>
      <c r="CI453" s="234"/>
      <c r="CJ453" s="235"/>
      <c r="CK453" s="236"/>
      <c r="CL453" s="222" t="str">
        <f t="shared" si="87"/>
        <v/>
      </c>
      <c r="CM453" s="237" t="str">
        <f>IF(OR(G453="", CJ453="",CK453=""), "", IF(ISERROR(SMALL((CN453,CV453), 1)-CK453), "",  SMALL((CN453,CV453), 1)-CK453))</f>
        <v/>
      </c>
      <c r="CN453" s="235"/>
      <c r="CO453" s="236"/>
      <c r="CP453" s="224" t="str">
        <f t="shared" si="88"/>
        <v/>
      </c>
      <c r="CQ453" s="235"/>
      <c r="CR453" s="236"/>
      <c r="CS453" s="222" t="str">
        <f t="shared" si="89"/>
        <v/>
      </c>
      <c r="CT453" s="237" t="str">
        <f t="shared" si="90"/>
        <v/>
      </c>
      <c r="CU453" s="238"/>
      <c r="CV453" s="239"/>
      <c r="CW453" s="240"/>
    </row>
    <row r="454" spans="2:101" ht="16.5" customHeight="1">
      <c r="B454" s="122"/>
      <c r="E454" s="122"/>
      <c r="F454" s="194"/>
      <c r="G454" s="195"/>
      <c r="H454" s="195"/>
      <c r="I454" s="195"/>
      <c r="J454" s="196"/>
      <c r="K454" s="197"/>
      <c r="L454" s="198"/>
      <c r="M454" s="199"/>
      <c r="N454" s="200"/>
      <c r="O454" s="201"/>
      <c r="P454" s="201"/>
      <c r="Q454" s="201"/>
      <c r="R454" s="201"/>
      <c r="S454" s="201"/>
      <c r="T454" s="201"/>
      <c r="U454" s="201"/>
      <c r="V454" s="201"/>
      <c r="W454" s="201"/>
      <c r="X454" s="202"/>
      <c r="Y454" s="203"/>
      <c r="Z454" s="204"/>
      <c r="AA454" s="205"/>
      <c r="AB454" s="206"/>
      <c r="AC454" s="206"/>
      <c r="AD454" s="194"/>
      <c r="AE454" s="201"/>
      <c r="AF454" s="207"/>
      <c r="AG454" s="208"/>
      <c r="AH454" s="209"/>
      <c r="AI454" s="210"/>
      <c r="AJ454" s="197"/>
      <c r="AK454" s="201"/>
      <c r="AL454" s="196"/>
      <c r="AM454" s="201"/>
      <c r="AN454" s="201"/>
      <c r="AO454" s="201"/>
      <c r="AP454" s="211"/>
      <c r="AQ454" s="212"/>
      <c r="AR454" s="201"/>
      <c r="AS454" s="201"/>
      <c r="AT454" s="201"/>
      <c r="AU454" s="201"/>
      <c r="AV454" s="202"/>
      <c r="AW454" s="194"/>
      <c r="AX454" s="201"/>
      <c r="AY454" s="213"/>
      <c r="AZ454" s="214"/>
      <c r="BA454" s="215"/>
      <c r="BB454" s="216"/>
      <c r="BC454" s="217" t="str">
        <f t="shared" si="78"/>
        <v/>
      </c>
      <c r="BD454" s="218"/>
      <c r="BE454" s="219"/>
      <c r="BF454" s="220"/>
      <c r="BG454" s="219"/>
      <c r="BH454" s="219"/>
      <c r="BI454" s="220"/>
      <c r="BJ454" s="218"/>
      <c r="BK454" s="219"/>
      <c r="BL454" s="197"/>
      <c r="BM454" s="215"/>
      <c r="BN454" s="221"/>
      <c r="BO454" s="222" t="str">
        <f t="shared" si="79"/>
        <v/>
      </c>
      <c r="BP454" s="217" t="str">
        <f t="shared" si="80"/>
        <v/>
      </c>
      <c r="BQ454" s="215"/>
      <c r="BR454" s="224"/>
      <c r="BS454" s="225"/>
      <c r="BT454" s="223"/>
      <c r="BU454" s="215"/>
      <c r="BV454" s="226"/>
      <c r="BW454" s="222" t="str">
        <f t="shared" si="81"/>
        <v/>
      </c>
      <c r="BX454" s="223" t="str">
        <f t="shared" si="82"/>
        <v/>
      </c>
      <c r="BY454" s="215"/>
      <c r="BZ454" s="227"/>
      <c r="CA454" s="227"/>
      <c r="CB454" s="228"/>
      <c r="CC454" s="229"/>
      <c r="CD454" s="230" t="str">
        <f t="shared" si="83"/>
        <v/>
      </c>
      <c r="CE454" s="231" t="str">
        <f t="shared" si="84"/>
        <v/>
      </c>
      <c r="CF454" s="232" t="str">
        <f t="shared" si="85"/>
        <v/>
      </c>
      <c r="CG454" s="233" t="str">
        <f t="shared" si="86"/>
        <v/>
      </c>
      <c r="CH454" s="207" t="str">
        <f>IF(OR(G454="",CC454= ""), "", IF(ISERROR(SMALL((CJ454,CN454,CV454), 1)-CC454), "",  SMALL((CJ454,CN454,CV454), 1)-CC454))</f>
        <v/>
      </c>
      <c r="CI454" s="234"/>
      <c r="CJ454" s="235"/>
      <c r="CK454" s="236"/>
      <c r="CL454" s="222" t="str">
        <f t="shared" si="87"/>
        <v/>
      </c>
      <c r="CM454" s="237" t="str">
        <f>IF(OR(G454="", CJ454="",CK454=""), "", IF(ISERROR(SMALL((CN454,CV454), 1)-CK454), "",  SMALL((CN454,CV454), 1)-CK454))</f>
        <v/>
      </c>
      <c r="CN454" s="235"/>
      <c r="CO454" s="236"/>
      <c r="CP454" s="224" t="str">
        <f t="shared" si="88"/>
        <v/>
      </c>
      <c r="CQ454" s="235"/>
      <c r="CR454" s="236"/>
      <c r="CS454" s="222" t="str">
        <f t="shared" si="89"/>
        <v/>
      </c>
      <c r="CT454" s="237" t="str">
        <f t="shared" si="90"/>
        <v/>
      </c>
      <c r="CU454" s="238"/>
      <c r="CV454" s="239"/>
      <c r="CW454" s="240"/>
    </row>
    <row r="455" spans="2:101" ht="16.5" customHeight="1">
      <c r="B455" s="122"/>
      <c r="E455" s="122"/>
      <c r="F455" s="194"/>
      <c r="G455" s="195"/>
      <c r="H455" s="195"/>
      <c r="I455" s="195"/>
      <c r="J455" s="196"/>
      <c r="K455" s="197"/>
      <c r="L455" s="198"/>
      <c r="M455" s="199"/>
      <c r="N455" s="200"/>
      <c r="O455" s="201"/>
      <c r="P455" s="201"/>
      <c r="Q455" s="201"/>
      <c r="R455" s="201"/>
      <c r="S455" s="201"/>
      <c r="T455" s="201"/>
      <c r="U455" s="201"/>
      <c r="V455" s="201"/>
      <c r="W455" s="201"/>
      <c r="X455" s="202"/>
      <c r="Y455" s="203"/>
      <c r="Z455" s="204"/>
      <c r="AA455" s="205"/>
      <c r="AB455" s="206"/>
      <c r="AC455" s="206"/>
      <c r="AD455" s="194"/>
      <c r="AE455" s="201"/>
      <c r="AF455" s="207"/>
      <c r="AG455" s="208"/>
      <c r="AH455" s="209"/>
      <c r="AI455" s="210"/>
      <c r="AJ455" s="197"/>
      <c r="AK455" s="201"/>
      <c r="AL455" s="196"/>
      <c r="AM455" s="201"/>
      <c r="AN455" s="201"/>
      <c r="AO455" s="201"/>
      <c r="AP455" s="211"/>
      <c r="AQ455" s="212"/>
      <c r="AR455" s="201"/>
      <c r="AS455" s="201"/>
      <c r="AT455" s="201"/>
      <c r="AU455" s="201"/>
      <c r="AV455" s="202"/>
      <c r="AW455" s="194"/>
      <c r="AX455" s="201"/>
      <c r="AY455" s="213"/>
      <c r="AZ455" s="214"/>
      <c r="BA455" s="215"/>
      <c r="BB455" s="216"/>
      <c r="BC455" s="217" t="str">
        <f t="shared" si="78"/>
        <v/>
      </c>
      <c r="BD455" s="218"/>
      <c r="BE455" s="219"/>
      <c r="BF455" s="220"/>
      <c r="BG455" s="219"/>
      <c r="BH455" s="219"/>
      <c r="BI455" s="220"/>
      <c r="BJ455" s="218"/>
      <c r="BK455" s="219"/>
      <c r="BL455" s="197"/>
      <c r="BM455" s="215"/>
      <c r="BN455" s="221"/>
      <c r="BO455" s="222" t="str">
        <f t="shared" si="79"/>
        <v/>
      </c>
      <c r="BP455" s="217" t="str">
        <f t="shared" si="80"/>
        <v/>
      </c>
      <c r="BQ455" s="215"/>
      <c r="BR455" s="224"/>
      <c r="BS455" s="225"/>
      <c r="BT455" s="223"/>
      <c r="BU455" s="215"/>
      <c r="BV455" s="226"/>
      <c r="BW455" s="222" t="str">
        <f t="shared" si="81"/>
        <v/>
      </c>
      <c r="BX455" s="223" t="str">
        <f t="shared" si="82"/>
        <v/>
      </c>
      <c r="BY455" s="215"/>
      <c r="BZ455" s="227"/>
      <c r="CA455" s="227"/>
      <c r="CB455" s="228"/>
      <c r="CC455" s="229"/>
      <c r="CD455" s="230" t="str">
        <f t="shared" si="83"/>
        <v/>
      </c>
      <c r="CE455" s="231" t="str">
        <f t="shared" si="84"/>
        <v/>
      </c>
      <c r="CF455" s="232" t="str">
        <f t="shared" si="85"/>
        <v/>
      </c>
      <c r="CG455" s="233" t="str">
        <f t="shared" si="86"/>
        <v/>
      </c>
      <c r="CH455" s="207" t="str">
        <f>IF(OR(G455="",CC455= ""), "", IF(ISERROR(SMALL((CJ455,CN455,CV455), 1)-CC455), "",  SMALL((CJ455,CN455,CV455), 1)-CC455))</f>
        <v/>
      </c>
      <c r="CI455" s="234"/>
      <c r="CJ455" s="235"/>
      <c r="CK455" s="236"/>
      <c r="CL455" s="222" t="str">
        <f t="shared" si="87"/>
        <v/>
      </c>
      <c r="CM455" s="237" t="str">
        <f>IF(OR(G455="", CJ455="",CK455=""), "", IF(ISERROR(SMALL((CN455,CV455), 1)-CK455), "",  SMALL((CN455,CV455), 1)-CK455))</f>
        <v/>
      </c>
      <c r="CN455" s="235"/>
      <c r="CO455" s="236"/>
      <c r="CP455" s="224" t="str">
        <f t="shared" si="88"/>
        <v/>
      </c>
      <c r="CQ455" s="235"/>
      <c r="CR455" s="236"/>
      <c r="CS455" s="222" t="str">
        <f t="shared" si="89"/>
        <v/>
      </c>
      <c r="CT455" s="237" t="str">
        <f t="shared" si="90"/>
        <v/>
      </c>
      <c r="CU455" s="238"/>
      <c r="CV455" s="239"/>
      <c r="CW455" s="240"/>
    </row>
    <row r="456" spans="2:101" ht="16.5" customHeight="1">
      <c r="B456" s="122"/>
      <c r="E456" s="122"/>
      <c r="F456" s="194"/>
      <c r="G456" s="195"/>
      <c r="H456" s="195"/>
      <c r="I456" s="195"/>
      <c r="J456" s="196"/>
      <c r="K456" s="197"/>
      <c r="L456" s="198"/>
      <c r="M456" s="199"/>
      <c r="N456" s="200"/>
      <c r="O456" s="201"/>
      <c r="P456" s="201"/>
      <c r="Q456" s="201"/>
      <c r="R456" s="201"/>
      <c r="S456" s="201"/>
      <c r="T456" s="201"/>
      <c r="U456" s="201"/>
      <c r="V456" s="201"/>
      <c r="W456" s="201"/>
      <c r="X456" s="202"/>
      <c r="Y456" s="203"/>
      <c r="Z456" s="204"/>
      <c r="AA456" s="205"/>
      <c r="AB456" s="206"/>
      <c r="AC456" s="206"/>
      <c r="AD456" s="194"/>
      <c r="AE456" s="201"/>
      <c r="AF456" s="207"/>
      <c r="AG456" s="208"/>
      <c r="AH456" s="209"/>
      <c r="AI456" s="210"/>
      <c r="AJ456" s="197"/>
      <c r="AK456" s="201"/>
      <c r="AL456" s="196"/>
      <c r="AM456" s="201"/>
      <c r="AN456" s="201"/>
      <c r="AO456" s="201"/>
      <c r="AP456" s="211"/>
      <c r="AQ456" s="212"/>
      <c r="AR456" s="201"/>
      <c r="AS456" s="201"/>
      <c r="AT456" s="201"/>
      <c r="AU456" s="201"/>
      <c r="AV456" s="202"/>
      <c r="AW456" s="194"/>
      <c r="AX456" s="201"/>
      <c r="AY456" s="213"/>
      <c r="AZ456" s="214"/>
      <c r="BA456" s="215"/>
      <c r="BB456" s="216"/>
      <c r="BC456" s="217" t="str">
        <f t="shared" si="78"/>
        <v/>
      </c>
      <c r="BD456" s="218"/>
      <c r="BE456" s="219"/>
      <c r="BF456" s="220"/>
      <c r="BG456" s="219"/>
      <c r="BH456" s="219"/>
      <c r="BI456" s="220"/>
      <c r="BJ456" s="218"/>
      <c r="BK456" s="219"/>
      <c r="BL456" s="197"/>
      <c r="BM456" s="215"/>
      <c r="BN456" s="221"/>
      <c r="BO456" s="222" t="str">
        <f t="shared" si="79"/>
        <v/>
      </c>
      <c r="BP456" s="217" t="str">
        <f t="shared" si="80"/>
        <v/>
      </c>
      <c r="BQ456" s="215"/>
      <c r="BR456" s="224"/>
      <c r="BS456" s="225"/>
      <c r="BT456" s="223"/>
      <c r="BU456" s="215"/>
      <c r="BV456" s="226"/>
      <c r="BW456" s="222" t="str">
        <f t="shared" si="81"/>
        <v/>
      </c>
      <c r="BX456" s="223" t="str">
        <f t="shared" si="82"/>
        <v/>
      </c>
      <c r="BY456" s="215"/>
      <c r="BZ456" s="227"/>
      <c r="CA456" s="227"/>
      <c r="CB456" s="228"/>
      <c r="CC456" s="229"/>
      <c r="CD456" s="230" t="str">
        <f t="shared" si="83"/>
        <v/>
      </c>
      <c r="CE456" s="231" t="str">
        <f t="shared" si="84"/>
        <v/>
      </c>
      <c r="CF456" s="232" t="str">
        <f t="shared" si="85"/>
        <v/>
      </c>
      <c r="CG456" s="233" t="str">
        <f t="shared" si="86"/>
        <v/>
      </c>
      <c r="CH456" s="207" t="str">
        <f>IF(OR(G456="",CC456= ""), "", IF(ISERROR(SMALL((CJ456,CN456,CV456), 1)-CC456), "",  SMALL((CJ456,CN456,CV456), 1)-CC456))</f>
        <v/>
      </c>
      <c r="CI456" s="234"/>
      <c r="CJ456" s="235"/>
      <c r="CK456" s="236"/>
      <c r="CL456" s="222" t="str">
        <f t="shared" si="87"/>
        <v/>
      </c>
      <c r="CM456" s="237" t="str">
        <f>IF(OR(G456="", CJ456="",CK456=""), "", IF(ISERROR(SMALL((CN456,CV456), 1)-CK456), "",  SMALL((CN456,CV456), 1)-CK456))</f>
        <v/>
      </c>
      <c r="CN456" s="235"/>
      <c r="CO456" s="236"/>
      <c r="CP456" s="224" t="str">
        <f t="shared" si="88"/>
        <v/>
      </c>
      <c r="CQ456" s="235"/>
      <c r="CR456" s="236"/>
      <c r="CS456" s="222" t="str">
        <f t="shared" si="89"/>
        <v/>
      </c>
      <c r="CT456" s="237" t="str">
        <f t="shared" si="90"/>
        <v/>
      </c>
      <c r="CU456" s="238"/>
      <c r="CV456" s="239"/>
      <c r="CW456" s="240"/>
    </row>
    <row r="457" spans="2:101" ht="16.5" customHeight="1">
      <c r="B457" s="122"/>
      <c r="E457" s="122"/>
      <c r="F457" s="194"/>
      <c r="G457" s="195"/>
      <c r="H457" s="195"/>
      <c r="I457" s="195"/>
      <c r="J457" s="196"/>
      <c r="K457" s="197"/>
      <c r="L457" s="198"/>
      <c r="M457" s="199"/>
      <c r="N457" s="200"/>
      <c r="O457" s="201"/>
      <c r="P457" s="201"/>
      <c r="Q457" s="201"/>
      <c r="R457" s="201"/>
      <c r="S457" s="201"/>
      <c r="T457" s="201"/>
      <c r="U457" s="201"/>
      <c r="V457" s="201"/>
      <c r="W457" s="201"/>
      <c r="X457" s="202"/>
      <c r="Y457" s="203"/>
      <c r="Z457" s="204"/>
      <c r="AA457" s="205"/>
      <c r="AB457" s="206"/>
      <c r="AC457" s="206"/>
      <c r="AD457" s="194"/>
      <c r="AE457" s="201"/>
      <c r="AF457" s="207"/>
      <c r="AG457" s="208"/>
      <c r="AH457" s="209"/>
      <c r="AI457" s="210"/>
      <c r="AJ457" s="197"/>
      <c r="AK457" s="201"/>
      <c r="AL457" s="196"/>
      <c r="AM457" s="201"/>
      <c r="AN457" s="201"/>
      <c r="AO457" s="201"/>
      <c r="AP457" s="211"/>
      <c r="AQ457" s="212"/>
      <c r="AR457" s="201"/>
      <c r="AS457" s="201"/>
      <c r="AT457" s="201"/>
      <c r="AU457" s="201"/>
      <c r="AV457" s="202"/>
      <c r="AW457" s="194"/>
      <c r="AX457" s="201"/>
      <c r="AY457" s="213"/>
      <c r="AZ457" s="214"/>
      <c r="BA457" s="215"/>
      <c r="BB457" s="216"/>
      <c r="BC457" s="217" t="str">
        <f t="shared" ref="BC457:BC520" si="91">IF(OR($H457="", $BM457="", BB457=""), "", IF(ISERROR($BM457-BB457), "", $BM457-BB457))</f>
        <v/>
      </c>
      <c r="BD457" s="218"/>
      <c r="BE457" s="219"/>
      <c r="BF457" s="220"/>
      <c r="BG457" s="219"/>
      <c r="BH457" s="219"/>
      <c r="BI457" s="220"/>
      <c r="BJ457" s="218"/>
      <c r="BK457" s="219"/>
      <c r="BL457" s="197"/>
      <c r="BM457" s="215"/>
      <c r="BN457" s="221"/>
      <c r="BO457" s="222" t="str">
        <f t="shared" ref="BO457:BO520" si="92">IF(OR(G457="", BM457="", BN457=""), "", IF(ISERROR(BN457-BM457+1), "", BN457-BM457+1))</f>
        <v/>
      </c>
      <c r="BP457" s="217" t="str">
        <f t="shared" ref="BP457:BP520" si="93">IF(OR(G457="", BN457="", BY457=""), "", IF(ISERROR(BY457-BN457), "", BY457-BN457))</f>
        <v/>
      </c>
      <c r="BQ457" s="215"/>
      <c r="BR457" s="224"/>
      <c r="BS457" s="225"/>
      <c r="BT457" s="223"/>
      <c r="BU457" s="215"/>
      <c r="BV457" s="226"/>
      <c r="BW457" s="222" t="str">
        <f t="shared" ref="BW457:BW520" si="94">IF(OR(H457="", BU457="", BV457=""), "", IF(ISERROR(BV457-BU457+1), "", BV457-BU457+1))</f>
        <v/>
      </c>
      <c r="BX457" s="223" t="str">
        <f t="shared" ref="BX457:BX520" si="95">IF(OR(H457="", BV457="", CB457=""), "", IF(ISERROR(CB457-BV457), "", CB457-BV457))</f>
        <v/>
      </c>
      <c r="BY457" s="215"/>
      <c r="BZ457" s="227"/>
      <c r="CA457" s="227"/>
      <c r="CB457" s="228"/>
      <c r="CC457" s="229"/>
      <c r="CD457" s="230" t="str">
        <f t="shared" ref="CD457:CD520" si="96">IF(OR($H457="",$BY457="",$CB457=""),"",IF((ISERROR($CB457-$BY457+1)),"",$CB457-$BY457+1))</f>
        <v/>
      </c>
      <c r="CE457" s="231" t="str">
        <f t="shared" ref="CE457:CE520" si="97">IF(OR(CB457="", CC457=""),"", IF(ISERROR(CC457-CB457+1), "",CC457-CB457+1))</f>
        <v/>
      </c>
      <c r="CF457" s="232" t="str">
        <f t="shared" ref="CF457:CF520" si="98">IF(OR(BY457="", CC457=""), "", IF(ISERROR(CC457-BY457+1), "",CC457-BY457+1))</f>
        <v/>
      </c>
      <c r="CG457" s="233" t="str">
        <f t="shared" ref="CG457:CG520" si="99">IF(OR(G457="", CC457="", CV457=""), "", IF(ISERROR(CV457-CC457), "", CV457-CC457))</f>
        <v/>
      </c>
      <c r="CH457" s="207" t="str">
        <f>IF(OR(G457="",CC457= ""), "", IF(ISERROR(SMALL((CJ457,CN457,CV457), 1)-CC457), "",  SMALL((CJ457,CN457,CV457), 1)-CC457))</f>
        <v/>
      </c>
      <c r="CI457" s="234"/>
      <c r="CJ457" s="235"/>
      <c r="CK457" s="236"/>
      <c r="CL457" s="222" t="str">
        <f t="shared" ref="CL457:CL520" si="100">IF(OR(G457="", CJ457="", CK457=""), "",   IF(ISERROR(CK457-CJ457+1), "",CK457-CJ457+1))</f>
        <v/>
      </c>
      <c r="CM457" s="237" t="str">
        <f>IF(OR(G457="", CJ457="",CK457=""), "", IF(ISERROR(SMALL((CN457,CV457), 1)-CK457), "",  SMALL((CN457,CV457), 1)-CK457))</f>
        <v/>
      </c>
      <c r="CN457" s="235"/>
      <c r="CO457" s="236"/>
      <c r="CP457" s="224" t="str">
        <f t="shared" ref="CP457:CP520" si="101">IF(OR(G457="", CN457="", CO457=""), "",   IF(ISERROR(CO457-CN457+1), "",CO457-CN457+1))</f>
        <v/>
      </c>
      <c r="CQ457" s="235"/>
      <c r="CR457" s="236"/>
      <c r="CS457" s="222" t="str">
        <f t="shared" ref="CS457:CS520" si="102">IF(OR(G457="", CQ457="", CR457=""), "",   IF(ISERROR(CR457-CQ457+1), "",CR457-CQ457+1))</f>
        <v/>
      </c>
      <c r="CT457" s="237" t="str">
        <f t="shared" ref="CT457:CT520" si="103">IF(AND(G457="", CK457="",CR457=""), "",IF(CR457="", IF(ISERROR(CV457-CK457), "",  CV457-CK457),  IF(ISERROR(CV457-CR457), "", CV457-CR457)))</f>
        <v/>
      </c>
      <c r="CU457" s="238"/>
      <c r="CV457" s="239"/>
      <c r="CW457" s="240"/>
    </row>
    <row r="458" spans="2:101" ht="16.5" customHeight="1">
      <c r="B458" s="122"/>
      <c r="E458" s="122"/>
      <c r="F458" s="194"/>
      <c r="G458" s="195"/>
      <c r="H458" s="195"/>
      <c r="I458" s="195"/>
      <c r="J458" s="196"/>
      <c r="K458" s="197"/>
      <c r="L458" s="198"/>
      <c r="M458" s="199"/>
      <c r="N458" s="200"/>
      <c r="O458" s="201"/>
      <c r="P458" s="201"/>
      <c r="Q458" s="201"/>
      <c r="R458" s="201"/>
      <c r="S458" s="201"/>
      <c r="T458" s="201"/>
      <c r="U458" s="201"/>
      <c r="V458" s="201"/>
      <c r="W458" s="201"/>
      <c r="X458" s="202"/>
      <c r="Y458" s="203"/>
      <c r="Z458" s="204"/>
      <c r="AA458" s="205"/>
      <c r="AB458" s="206"/>
      <c r="AC458" s="206"/>
      <c r="AD458" s="194"/>
      <c r="AE458" s="201"/>
      <c r="AF458" s="207"/>
      <c r="AG458" s="208"/>
      <c r="AH458" s="209"/>
      <c r="AI458" s="210"/>
      <c r="AJ458" s="197"/>
      <c r="AK458" s="201"/>
      <c r="AL458" s="196"/>
      <c r="AM458" s="201"/>
      <c r="AN458" s="201"/>
      <c r="AO458" s="201"/>
      <c r="AP458" s="211"/>
      <c r="AQ458" s="212"/>
      <c r="AR458" s="201"/>
      <c r="AS458" s="201"/>
      <c r="AT458" s="201"/>
      <c r="AU458" s="201"/>
      <c r="AV458" s="202"/>
      <c r="AW458" s="194"/>
      <c r="AX458" s="201"/>
      <c r="AY458" s="213"/>
      <c r="AZ458" s="214"/>
      <c r="BA458" s="215"/>
      <c r="BB458" s="216"/>
      <c r="BC458" s="217" t="str">
        <f t="shared" si="91"/>
        <v/>
      </c>
      <c r="BD458" s="218"/>
      <c r="BE458" s="219"/>
      <c r="BF458" s="220"/>
      <c r="BG458" s="219"/>
      <c r="BH458" s="219"/>
      <c r="BI458" s="220"/>
      <c r="BJ458" s="218"/>
      <c r="BK458" s="219"/>
      <c r="BL458" s="197"/>
      <c r="BM458" s="215"/>
      <c r="BN458" s="221"/>
      <c r="BO458" s="222" t="str">
        <f t="shared" si="92"/>
        <v/>
      </c>
      <c r="BP458" s="217" t="str">
        <f t="shared" si="93"/>
        <v/>
      </c>
      <c r="BQ458" s="215"/>
      <c r="BR458" s="224"/>
      <c r="BS458" s="225"/>
      <c r="BT458" s="223"/>
      <c r="BU458" s="215"/>
      <c r="BV458" s="226"/>
      <c r="BW458" s="222" t="str">
        <f t="shared" si="94"/>
        <v/>
      </c>
      <c r="BX458" s="223" t="str">
        <f t="shared" si="95"/>
        <v/>
      </c>
      <c r="BY458" s="215"/>
      <c r="BZ458" s="227"/>
      <c r="CA458" s="227"/>
      <c r="CB458" s="228"/>
      <c r="CC458" s="229"/>
      <c r="CD458" s="230" t="str">
        <f t="shared" si="96"/>
        <v/>
      </c>
      <c r="CE458" s="231" t="str">
        <f t="shared" si="97"/>
        <v/>
      </c>
      <c r="CF458" s="232" t="str">
        <f t="shared" si="98"/>
        <v/>
      </c>
      <c r="CG458" s="233" t="str">
        <f t="shared" si="99"/>
        <v/>
      </c>
      <c r="CH458" s="207" t="str">
        <f>IF(OR(G458="",CC458= ""), "", IF(ISERROR(SMALL((CJ458,CN458,CV458), 1)-CC458), "",  SMALL((CJ458,CN458,CV458), 1)-CC458))</f>
        <v/>
      </c>
      <c r="CI458" s="234"/>
      <c r="CJ458" s="235"/>
      <c r="CK458" s="236"/>
      <c r="CL458" s="222" t="str">
        <f t="shared" si="100"/>
        <v/>
      </c>
      <c r="CM458" s="237" t="str">
        <f>IF(OR(G458="", CJ458="",CK458=""), "", IF(ISERROR(SMALL((CN458,CV458), 1)-CK458), "",  SMALL((CN458,CV458), 1)-CK458))</f>
        <v/>
      </c>
      <c r="CN458" s="235"/>
      <c r="CO458" s="236"/>
      <c r="CP458" s="224" t="str">
        <f t="shared" si="101"/>
        <v/>
      </c>
      <c r="CQ458" s="235"/>
      <c r="CR458" s="236"/>
      <c r="CS458" s="222" t="str">
        <f t="shared" si="102"/>
        <v/>
      </c>
      <c r="CT458" s="237" t="str">
        <f t="shared" si="103"/>
        <v/>
      </c>
      <c r="CU458" s="238"/>
      <c r="CV458" s="239"/>
      <c r="CW458" s="240"/>
    </row>
    <row r="459" spans="2:101" ht="16.5" customHeight="1">
      <c r="B459" s="122"/>
      <c r="E459" s="122"/>
      <c r="F459" s="194"/>
      <c r="G459" s="195"/>
      <c r="H459" s="195"/>
      <c r="I459" s="195"/>
      <c r="J459" s="196"/>
      <c r="K459" s="197"/>
      <c r="L459" s="198"/>
      <c r="M459" s="199"/>
      <c r="N459" s="200"/>
      <c r="O459" s="201"/>
      <c r="P459" s="201"/>
      <c r="Q459" s="201"/>
      <c r="R459" s="201"/>
      <c r="S459" s="201"/>
      <c r="T459" s="201"/>
      <c r="U459" s="201"/>
      <c r="V459" s="201"/>
      <c r="W459" s="201"/>
      <c r="X459" s="202"/>
      <c r="Y459" s="203"/>
      <c r="Z459" s="204"/>
      <c r="AA459" s="205"/>
      <c r="AB459" s="206"/>
      <c r="AC459" s="206"/>
      <c r="AD459" s="194"/>
      <c r="AE459" s="201"/>
      <c r="AF459" s="207"/>
      <c r="AG459" s="208"/>
      <c r="AH459" s="209"/>
      <c r="AI459" s="210"/>
      <c r="AJ459" s="197"/>
      <c r="AK459" s="201"/>
      <c r="AL459" s="196"/>
      <c r="AM459" s="201"/>
      <c r="AN459" s="201"/>
      <c r="AO459" s="201"/>
      <c r="AP459" s="211"/>
      <c r="AQ459" s="212"/>
      <c r="AR459" s="201"/>
      <c r="AS459" s="201"/>
      <c r="AT459" s="201"/>
      <c r="AU459" s="201"/>
      <c r="AV459" s="202"/>
      <c r="AW459" s="194"/>
      <c r="AX459" s="201"/>
      <c r="AY459" s="213"/>
      <c r="AZ459" s="214"/>
      <c r="BA459" s="215"/>
      <c r="BB459" s="216"/>
      <c r="BC459" s="217" t="str">
        <f t="shared" si="91"/>
        <v/>
      </c>
      <c r="BD459" s="218"/>
      <c r="BE459" s="219"/>
      <c r="BF459" s="220"/>
      <c r="BG459" s="219"/>
      <c r="BH459" s="219"/>
      <c r="BI459" s="220"/>
      <c r="BJ459" s="218"/>
      <c r="BK459" s="219"/>
      <c r="BL459" s="197"/>
      <c r="BM459" s="215"/>
      <c r="BN459" s="221"/>
      <c r="BO459" s="222" t="str">
        <f t="shared" si="92"/>
        <v/>
      </c>
      <c r="BP459" s="217" t="str">
        <f t="shared" si="93"/>
        <v/>
      </c>
      <c r="BQ459" s="215"/>
      <c r="BR459" s="224"/>
      <c r="BS459" s="225"/>
      <c r="BT459" s="223"/>
      <c r="BU459" s="215"/>
      <c r="BV459" s="226"/>
      <c r="BW459" s="222" t="str">
        <f t="shared" si="94"/>
        <v/>
      </c>
      <c r="BX459" s="223" t="str">
        <f t="shared" si="95"/>
        <v/>
      </c>
      <c r="BY459" s="215"/>
      <c r="BZ459" s="227"/>
      <c r="CA459" s="227"/>
      <c r="CB459" s="228"/>
      <c r="CC459" s="229"/>
      <c r="CD459" s="230" t="str">
        <f t="shared" si="96"/>
        <v/>
      </c>
      <c r="CE459" s="231" t="str">
        <f t="shared" si="97"/>
        <v/>
      </c>
      <c r="CF459" s="232" t="str">
        <f t="shared" si="98"/>
        <v/>
      </c>
      <c r="CG459" s="233" t="str">
        <f t="shared" si="99"/>
        <v/>
      </c>
      <c r="CH459" s="207" t="str">
        <f>IF(OR(G459="",CC459= ""), "", IF(ISERROR(SMALL((CJ459,CN459,CV459), 1)-CC459), "",  SMALL((CJ459,CN459,CV459), 1)-CC459))</f>
        <v/>
      </c>
      <c r="CI459" s="234"/>
      <c r="CJ459" s="235"/>
      <c r="CK459" s="236"/>
      <c r="CL459" s="222" t="str">
        <f t="shared" si="100"/>
        <v/>
      </c>
      <c r="CM459" s="237" t="str">
        <f>IF(OR(G459="", CJ459="",CK459=""), "", IF(ISERROR(SMALL((CN459,CV459), 1)-CK459), "",  SMALL((CN459,CV459), 1)-CK459))</f>
        <v/>
      </c>
      <c r="CN459" s="235"/>
      <c r="CO459" s="236"/>
      <c r="CP459" s="224" t="str">
        <f t="shared" si="101"/>
        <v/>
      </c>
      <c r="CQ459" s="235"/>
      <c r="CR459" s="236"/>
      <c r="CS459" s="222" t="str">
        <f t="shared" si="102"/>
        <v/>
      </c>
      <c r="CT459" s="237" t="str">
        <f t="shared" si="103"/>
        <v/>
      </c>
      <c r="CU459" s="238"/>
      <c r="CV459" s="239"/>
      <c r="CW459" s="240"/>
    </row>
    <row r="460" spans="2:101" ht="16.5" customHeight="1">
      <c r="B460" s="122"/>
      <c r="E460" s="122"/>
      <c r="F460" s="194"/>
      <c r="G460" s="195"/>
      <c r="H460" s="195"/>
      <c r="I460" s="195"/>
      <c r="J460" s="196"/>
      <c r="K460" s="197"/>
      <c r="L460" s="198"/>
      <c r="M460" s="199"/>
      <c r="N460" s="200"/>
      <c r="O460" s="201"/>
      <c r="P460" s="201"/>
      <c r="Q460" s="201"/>
      <c r="R460" s="201"/>
      <c r="S460" s="201"/>
      <c r="T460" s="201"/>
      <c r="U460" s="201"/>
      <c r="V460" s="201"/>
      <c r="W460" s="201"/>
      <c r="X460" s="202"/>
      <c r="Y460" s="203"/>
      <c r="Z460" s="204"/>
      <c r="AA460" s="205"/>
      <c r="AB460" s="206"/>
      <c r="AC460" s="206"/>
      <c r="AD460" s="194"/>
      <c r="AE460" s="201"/>
      <c r="AF460" s="207"/>
      <c r="AG460" s="208"/>
      <c r="AH460" s="209"/>
      <c r="AI460" s="210"/>
      <c r="AJ460" s="197"/>
      <c r="AK460" s="201"/>
      <c r="AL460" s="196"/>
      <c r="AM460" s="201"/>
      <c r="AN460" s="201"/>
      <c r="AO460" s="201"/>
      <c r="AP460" s="211"/>
      <c r="AQ460" s="212"/>
      <c r="AR460" s="201"/>
      <c r="AS460" s="201"/>
      <c r="AT460" s="201"/>
      <c r="AU460" s="201"/>
      <c r="AV460" s="202"/>
      <c r="AW460" s="194"/>
      <c r="AX460" s="201"/>
      <c r="AY460" s="213"/>
      <c r="AZ460" s="214"/>
      <c r="BA460" s="215"/>
      <c r="BB460" s="216"/>
      <c r="BC460" s="217" t="str">
        <f t="shared" si="91"/>
        <v/>
      </c>
      <c r="BD460" s="218"/>
      <c r="BE460" s="219"/>
      <c r="BF460" s="220"/>
      <c r="BG460" s="219"/>
      <c r="BH460" s="219"/>
      <c r="BI460" s="220"/>
      <c r="BJ460" s="218"/>
      <c r="BK460" s="219"/>
      <c r="BL460" s="197"/>
      <c r="BM460" s="215"/>
      <c r="BN460" s="221"/>
      <c r="BO460" s="222" t="str">
        <f t="shared" si="92"/>
        <v/>
      </c>
      <c r="BP460" s="217" t="str">
        <f t="shared" si="93"/>
        <v/>
      </c>
      <c r="BQ460" s="215"/>
      <c r="BR460" s="224"/>
      <c r="BS460" s="225"/>
      <c r="BT460" s="223"/>
      <c r="BU460" s="215"/>
      <c r="BV460" s="226"/>
      <c r="BW460" s="222" t="str">
        <f t="shared" si="94"/>
        <v/>
      </c>
      <c r="BX460" s="223" t="str">
        <f t="shared" si="95"/>
        <v/>
      </c>
      <c r="BY460" s="215"/>
      <c r="BZ460" s="227"/>
      <c r="CA460" s="227"/>
      <c r="CB460" s="228"/>
      <c r="CC460" s="229"/>
      <c r="CD460" s="230" t="str">
        <f t="shared" si="96"/>
        <v/>
      </c>
      <c r="CE460" s="231" t="str">
        <f t="shared" si="97"/>
        <v/>
      </c>
      <c r="CF460" s="232" t="str">
        <f t="shared" si="98"/>
        <v/>
      </c>
      <c r="CG460" s="233" t="str">
        <f t="shared" si="99"/>
        <v/>
      </c>
      <c r="CH460" s="207" t="str">
        <f>IF(OR(G460="",CC460= ""), "", IF(ISERROR(SMALL((CJ460,CN460,CV460), 1)-CC460), "",  SMALL((CJ460,CN460,CV460), 1)-CC460))</f>
        <v/>
      </c>
      <c r="CI460" s="234"/>
      <c r="CJ460" s="235"/>
      <c r="CK460" s="236"/>
      <c r="CL460" s="222" t="str">
        <f t="shared" si="100"/>
        <v/>
      </c>
      <c r="CM460" s="237" t="str">
        <f>IF(OR(G460="", CJ460="",CK460=""), "", IF(ISERROR(SMALL((CN460,CV460), 1)-CK460), "",  SMALL((CN460,CV460), 1)-CK460))</f>
        <v/>
      </c>
      <c r="CN460" s="235"/>
      <c r="CO460" s="236"/>
      <c r="CP460" s="224" t="str">
        <f t="shared" si="101"/>
        <v/>
      </c>
      <c r="CQ460" s="235"/>
      <c r="CR460" s="236"/>
      <c r="CS460" s="222" t="str">
        <f t="shared" si="102"/>
        <v/>
      </c>
      <c r="CT460" s="237" t="str">
        <f t="shared" si="103"/>
        <v/>
      </c>
      <c r="CU460" s="238"/>
      <c r="CV460" s="239"/>
      <c r="CW460" s="240"/>
    </row>
    <row r="461" spans="2:101" ht="16.5" customHeight="1">
      <c r="B461" s="122"/>
      <c r="E461" s="122"/>
      <c r="F461" s="194"/>
      <c r="G461" s="195"/>
      <c r="H461" s="195"/>
      <c r="I461" s="195"/>
      <c r="J461" s="196"/>
      <c r="K461" s="197"/>
      <c r="L461" s="198"/>
      <c r="M461" s="199"/>
      <c r="N461" s="200"/>
      <c r="O461" s="201"/>
      <c r="P461" s="201"/>
      <c r="Q461" s="201"/>
      <c r="R461" s="201"/>
      <c r="S461" s="201"/>
      <c r="T461" s="201"/>
      <c r="U461" s="201"/>
      <c r="V461" s="201"/>
      <c r="W461" s="201"/>
      <c r="X461" s="202"/>
      <c r="Y461" s="203"/>
      <c r="Z461" s="204"/>
      <c r="AA461" s="205"/>
      <c r="AB461" s="206"/>
      <c r="AC461" s="206"/>
      <c r="AD461" s="194"/>
      <c r="AE461" s="201"/>
      <c r="AF461" s="207"/>
      <c r="AG461" s="208"/>
      <c r="AH461" s="209"/>
      <c r="AI461" s="210"/>
      <c r="AJ461" s="197"/>
      <c r="AK461" s="201"/>
      <c r="AL461" s="196"/>
      <c r="AM461" s="201"/>
      <c r="AN461" s="201"/>
      <c r="AO461" s="201"/>
      <c r="AP461" s="211"/>
      <c r="AQ461" s="212"/>
      <c r="AR461" s="201"/>
      <c r="AS461" s="201"/>
      <c r="AT461" s="201"/>
      <c r="AU461" s="201"/>
      <c r="AV461" s="202"/>
      <c r="AW461" s="194"/>
      <c r="AX461" s="201"/>
      <c r="AY461" s="213"/>
      <c r="AZ461" s="214"/>
      <c r="BA461" s="215"/>
      <c r="BB461" s="216"/>
      <c r="BC461" s="217" t="str">
        <f t="shared" si="91"/>
        <v/>
      </c>
      <c r="BD461" s="218"/>
      <c r="BE461" s="219"/>
      <c r="BF461" s="220"/>
      <c r="BG461" s="219"/>
      <c r="BH461" s="219"/>
      <c r="BI461" s="220"/>
      <c r="BJ461" s="218"/>
      <c r="BK461" s="219"/>
      <c r="BL461" s="197"/>
      <c r="BM461" s="215"/>
      <c r="BN461" s="221"/>
      <c r="BO461" s="222" t="str">
        <f t="shared" si="92"/>
        <v/>
      </c>
      <c r="BP461" s="217" t="str">
        <f t="shared" si="93"/>
        <v/>
      </c>
      <c r="BQ461" s="215"/>
      <c r="BR461" s="224"/>
      <c r="BS461" s="225"/>
      <c r="BT461" s="223"/>
      <c r="BU461" s="215"/>
      <c r="BV461" s="226"/>
      <c r="BW461" s="222" t="str">
        <f t="shared" si="94"/>
        <v/>
      </c>
      <c r="BX461" s="223" t="str">
        <f t="shared" si="95"/>
        <v/>
      </c>
      <c r="BY461" s="215"/>
      <c r="BZ461" s="227"/>
      <c r="CA461" s="227"/>
      <c r="CB461" s="228"/>
      <c r="CC461" s="229"/>
      <c r="CD461" s="230" t="str">
        <f t="shared" si="96"/>
        <v/>
      </c>
      <c r="CE461" s="231" t="str">
        <f t="shared" si="97"/>
        <v/>
      </c>
      <c r="CF461" s="232" t="str">
        <f t="shared" si="98"/>
        <v/>
      </c>
      <c r="CG461" s="233" t="str">
        <f t="shared" si="99"/>
        <v/>
      </c>
      <c r="CH461" s="207" t="str">
        <f>IF(OR(G461="",CC461= ""), "", IF(ISERROR(SMALL((CJ461,CN461,CV461), 1)-CC461), "",  SMALL((CJ461,CN461,CV461), 1)-CC461))</f>
        <v/>
      </c>
      <c r="CI461" s="234"/>
      <c r="CJ461" s="235"/>
      <c r="CK461" s="236"/>
      <c r="CL461" s="222" t="str">
        <f t="shared" si="100"/>
        <v/>
      </c>
      <c r="CM461" s="237" t="str">
        <f>IF(OR(G461="", CJ461="",CK461=""), "", IF(ISERROR(SMALL((CN461,CV461), 1)-CK461), "",  SMALL((CN461,CV461), 1)-CK461))</f>
        <v/>
      </c>
      <c r="CN461" s="235"/>
      <c r="CO461" s="236"/>
      <c r="CP461" s="224" t="str">
        <f t="shared" si="101"/>
        <v/>
      </c>
      <c r="CQ461" s="235"/>
      <c r="CR461" s="236"/>
      <c r="CS461" s="222" t="str">
        <f t="shared" si="102"/>
        <v/>
      </c>
      <c r="CT461" s="237" t="str">
        <f t="shared" si="103"/>
        <v/>
      </c>
      <c r="CU461" s="238"/>
      <c r="CV461" s="239"/>
      <c r="CW461" s="240"/>
    </row>
    <row r="462" spans="2:101" ht="16.5" customHeight="1">
      <c r="B462" s="122"/>
      <c r="E462" s="122"/>
      <c r="F462" s="194"/>
      <c r="G462" s="195"/>
      <c r="H462" s="195"/>
      <c r="I462" s="195"/>
      <c r="J462" s="196"/>
      <c r="K462" s="197"/>
      <c r="L462" s="198"/>
      <c r="M462" s="199"/>
      <c r="N462" s="200"/>
      <c r="O462" s="201"/>
      <c r="P462" s="201"/>
      <c r="Q462" s="201"/>
      <c r="R462" s="201"/>
      <c r="S462" s="201"/>
      <c r="T462" s="201"/>
      <c r="U462" s="201"/>
      <c r="V462" s="201"/>
      <c r="W462" s="201"/>
      <c r="X462" s="202"/>
      <c r="Y462" s="203"/>
      <c r="Z462" s="204"/>
      <c r="AA462" s="205"/>
      <c r="AB462" s="206"/>
      <c r="AC462" s="206"/>
      <c r="AD462" s="194"/>
      <c r="AE462" s="201"/>
      <c r="AF462" s="207"/>
      <c r="AG462" s="208"/>
      <c r="AH462" s="209"/>
      <c r="AI462" s="210"/>
      <c r="AJ462" s="197"/>
      <c r="AK462" s="201"/>
      <c r="AL462" s="196"/>
      <c r="AM462" s="201"/>
      <c r="AN462" s="201"/>
      <c r="AO462" s="201"/>
      <c r="AP462" s="211"/>
      <c r="AQ462" s="212"/>
      <c r="AR462" s="201"/>
      <c r="AS462" s="201"/>
      <c r="AT462" s="201"/>
      <c r="AU462" s="201"/>
      <c r="AV462" s="202"/>
      <c r="AW462" s="194"/>
      <c r="AX462" s="201"/>
      <c r="AY462" s="213"/>
      <c r="AZ462" s="214"/>
      <c r="BA462" s="215"/>
      <c r="BB462" s="216"/>
      <c r="BC462" s="217" t="str">
        <f t="shared" si="91"/>
        <v/>
      </c>
      <c r="BD462" s="218"/>
      <c r="BE462" s="219"/>
      <c r="BF462" s="220"/>
      <c r="BG462" s="219"/>
      <c r="BH462" s="219"/>
      <c r="BI462" s="220"/>
      <c r="BJ462" s="218"/>
      <c r="BK462" s="219"/>
      <c r="BL462" s="197"/>
      <c r="BM462" s="215"/>
      <c r="BN462" s="221"/>
      <c r="BO462" s="222" t="str">
        <f t="shared" si="92"/>
        <v/>
      </c>
      <c r="BP462" s="217" t="str">
        <f t="shared" si="93"/>
        <v/>
      </c>
      <c r="BQ462" s="215"/>
      <c r="BR462" s="224"/>
      <c r="BS462" s="225"/>
      <c r="BT462" s="223"/>
      <c r="BU462" s="215"/>
      <c r="BV462" s="226"/>
      <c r="BW462" s="222" t="str">
        <f t="shared" si="94"/>
        <v/>
      </c>
      <c r="BX462" s="223" t="str">
        <f t="shared" si="95"/>
        <v/>
      </c>
      <c r="BY462" s="215"/>
      <c r="BZ462" s="227"/>
      <c r="CA462" s="227"/>
      <c r="CB462" s="228"/>
      <c r="CC462" s="229"/>
      <c r="CD462" s="230" t="str">
        <f t="shared" si="96"/>
        <v/>
      </c>
      <c r="CE462" s="231" t="str">
        <f t="shared" si="97"/>
        <v/>
      </c>
      <c r="CF462" s="232" t="str">
        <f t="shared" si="98"/>
        <v/>
      </c>
      <c r="CG462" s="233" t="str">
        <f t="shared" si="99"/>
        <v/>
      </c>
      <c r="CH462" s="207" t="str">
        <f>IF(OR(G462="",CC462= ""), "", IF(ISERROR(SMALL((CJ462,CN462,CV462), 1)-CC462), "",  SMALL((CJ462,CN462,CV462), 1)-CC462))</f>
        <v/>
      </c>
      <c r="CI462" s="234"/>
      <c r="CJ462" s="235"/>
      <c r="CK462" s="236"/>
      <c r="CL462" s="222" t="str">
        <f t="shared" si="100"/>
        <v/>
      </c>
      <c r="CM462" s="237" t="str">
        <f>IF(OR(G462="", CJ462="",CK462=""), "", IF(ISERROR(SMALL((CN462,CV462), 1)-CK462), "",  SMALL((CN462,CV462), 1)-CK462))</f>
        <v/>
      </c>
      <c r="CN462" s="235"/>
      <c r="CO462" s="236"/>
      <c r="CP462" s="224" t="str">
        <f t="shared" si="101"/>
        <v/>
      </c>
      <c r="CQ462" s="235"/>
      <c r="CR462" s="236"/>
      <c r="CS462" s="222" t="str">
        <f t="shared" si="102"/>
        <v/>
      </c>
      <c r="CT462" s="237" t="str">
        <f t="shared" si="103"/>
        <v/>
      </c>
      <c r="CU462" s="238"/>
      <c r="CV462" s="239"/>
      <c r="CW462" s="240"/>
    </row>
    <row r="463" spans="2:101" ht="16.5" customHeight="1">
      <c r="B463" s="122"/>
      <c r="E463" s="122"/>
      <c r="F463" s="194"/>
      <c r="G463" s="195"/>
      <c r="H463" s="195"/>
      <c r="I463" s="195"/>
      <c r="J463" s="196"/>
      <c r="K463" s="197"/>
      <c r="L463" s="198"/>
      <c r="M463" s="199"/>
      <c r="N463" s="200"/>
      <c r="O463" s="201"/>
      <c r="P463" s="201"/>
      <c r="Q463" s="201"/>
      <c r="R463" s="201"/>
      <c r="S463" s="201"/>
      <c r="T463" s="201"/>
      <c r="U463" s="201"/>
      <c r="V463" s="201"/>
      <c r="W463" s="201"/>
      <c r="X463" s="202"/>
      <c r="Y463" s="203"/>
      <c r="Z463" s="204"/>
      <c r="AA463" s="205"/>
      <c r="AB463" s="206"/>
      <c r="AC463" s="206"/>
      <c r="AD463" s="194"/>
      <c r="AE463" s="201"/>
      <c r="AF463" s="207"/>
      <c r="AG463" s="208"/>
      <c r="AH463" s="209"/>
      <c r="AI463" s="210"/>
      <c r="AJ463" s="197"/>
      <c r="AK463" s="201"/>
      <c r="AL463" s="196"/>
      <c r="AM463" s="201"/>
      <c r="AN463" s="201"/>
      <c r="AO463" s="201"/>
      <c r="AP463" s="211"/>
      <c r="AQ463" s="212"/>
      <c r="AR463" s="201"/>
      <c r="AS463" s="201"/>
      <c r="AT463" s="201"/>
      <c r="AU463" s="201"/>
      <c r="AV463" s="202"/>
      <c r="AW463" s="194"/>
      <c r="AX463" s="201"/>
      <c r="AY463" s="213"/>
      <c r="AZ463" s="214"/>
      <c r="BA463" s="215"/>
      <c r="BB463" s="216"/>
      <c r="BC463" s="217" t="str">
        <f t="shared" si="91"/>
        <v/>
      </c>
      <c r="BD463" s="218"/>
      <c r="BE463" s="219"/>
      <c r="BF463" s="220"/>
      <c r="BG463" s="219"/>
      <c r="BH463" s="219"/>
      <c r="BI463" s="220"/>
      <c r="BJ463" s="218"/>
      <c r="BK463" s="219"/>
      <c r="BL463" s="197"/>
      <c r="BM463" s="215"/>
      <c r="BN463" s="221"/>
      <c r="BO463" s="222" t="str">
        <f t="shared" si="92"/>
        <v/>
      </c>
      <c r="BP463" s="217" t="str">
        <f t="shared" si="93"/>
        <v/>
      </c>
      <c r="BQ463" s="215"/>
      <c r="BR463" s="224"/>
      <c r="BS463" s="225"/>
      <c r="BT463" s="223"/>
      <c r="BU463" s="215"/>
      <c r="BV463" s="226"/>
      <c r="BW463" s="222" t="str">
        <f t="shared" si="94"/>
        <v/>
      </c>
      <c r="BX463" s="223" t="str">
        <f t="shared" si="95"/>
        <v/>
      </c>
      <c r="BY463" s="215"/>
      <c r="BZ463" s="227"/>
      <c r="CA463" s="227"/>
      <c r="CB463" s="228"/>
      <c r="CC463" s="229"/>
      <c r="CD463" s="230" t="str">
        <f t="shared" si="96"/>
        <v/>
      </c>
      <c r="CE463" s="231" t="str">
        <f t="shared" si="97"/>
        <v/>
      </c>
      <c r="CF463" s="232" t="str">
        <f t="shared" si="98"/>
        <v/>
      </c>
      <c r="CG463" s="233" t="str">
        <f t="shared" si="99"/>
        <v/>
      </c>
      <c r="CH463" s="207" t="str">
        <f>IF(OR(G463="",CC463= ""), "", IF(ISERROR(SMALL((CJ463,CN463,CV463), 1)-CC463), "",  SMALL((CJ463,CN463,CV463), 1)-CC463))</f>
        <v/>
      </c>
      <c r="CI463" s="234"/>
      <c r="CJ463" s="235"/>
      <c r="CK463" s="236"/>
      <c r="CL463" s="222" t="str">
        <f t="shared" si="100"/>
        <v/>
      </c>
      <c r="CM463" s="237" t="str">
        <f>IF(OR(G463="", CJ463="",CK463=""), "", IF(ISERROR(SMALL((CN463,CV463), 1)-CK463), "",  SMALL((CN463,CV463), 1)-CK463))</f>
        <v/>
      </c>
      <c r="CN463" s="235"/>
      <c r="CO463" s="236"/>
      <c r="CP463" s="224" t="str">
        <f t="shared" si="101"/>
        <v/>
      </c>
      <c r="CQ463" s="235"/>
      <c r="CR463" s="236"/>
      <c r="CS463" s="222" t="str">
        <f t="shared" si="102"/>
        <v/>
      </c>
      <c r="CT463" s="237" t="str">
        <f t="shared" si="103"/>
        <v/>
      </c>
      <c r="CU463" s="238"/>
      <c r="CV463" s="239"/>
      <c r="CW463" s="240"/>
    </row>
    <row r="464" spans="2:101" ht="16.5" customHeight="1">
      <c r="B464" s="122"/>
      <c r="E464" s="122"/>
      <c r="F464" s="194"/>
      <c r="G464" s="195"/>
      <c r="H464" s="195"/>
      <c r="I464" s="195"/>
      <c r="J464" s="196"/>
      <c r="K464" s="197"/>
      <c r="L464" s="198"/>
      <c r="M464" s="199"/>
      <c r="N464" s="200"/>
      <c r="O464" s="201"/>
      <c r="P464" s="201"/>
      <c r="Q464" s="201"/>
      <c r="R464" s="201"/>
      <c r="S464" s="201"/>
      <c r="T464" s="201"/>
      <c r="U464" s="201"/>
      <c r="V464" s="201"/>
      <c r="W464" s="201"/>
      <c r="X464" s="202"/>
      <c r="Y464" s="203"/>
      <c r="Z464" s="204"/>
      <c r="AA464" s="205"/>
      <c r="AB464" s="206"/>
      <c r="AC464" s="206"/>
      <c r="AD464" s="194"/>
      <c r="AE464" s="201"/>
      <c r="AF464" s="207"/>
      <c r="AG464" s="208"/>
      <c r="AH464" s="209"/>
      <c r="AI464" s="210"/>
      <c r="AJ464" s="197"/>
      <c r="AK464" s="201"/>
      <c r="AL464" s="196"/>
      <c r="AM464" s="201"/>
      <c r="AN464" s="201"/>
      <c r="AO464" s="201"/>
      <c r="AP464" s="211"/>
      <c r="AQ464" s="212"/>
      <c r="AR464" s="201"/>
      <c r="AS464" s="201"/>
      <c r="AT464" s="201"/>
      <c r="AU464" s="201"/>
      <c r="AV464" s="202"/>
      <c r="AW464" s="194"/>
      <c r="AX464" s="201"/>
      <c r="AY464" s="213"/>
      <c r="AZ464" s="214"/>
      <c r="BA464" s="215"/>
      <c r="BB464" s="216"/>
      <c r="BC464" s="217" t="str">
        <f t="shared" si="91"/>
        <v/>
      </c>
      <c r="BD464" s="218"/>
      <c r="BE464" s="219"/>
      <c r="BF464" s="220"/>
      <c r="BG464" s="219"/>
      <c r="BH464" s="219"/>
      <c r="BI464" s="220"/>
      <c r="BJ464" s="218"/>
      <c r="BK464" s="219"/>
      <c r="BL464" s="197"/>
      <c r="BM464" s="215"/>
      <c r="BN464" s="221"/>
      <c r="BO464" s="222" t="str">
        <f t="shared" si="92"/>
        <v/>
      </c>
      <c r="BP464" s="217" t="str">
        <f t="shared" si="93"/>
        <v/>
      </c>
      <c r="BQ464" s="215"/>
      <c r="BR464" s="224"/>
      <c r="BS464" s="225"/>
      <c r="BT464" s="223"/>
      <c r="BU464" s="215"/>
      <c r="BV464" s="226"/>
      <c r="BW464" s="222" t="str">
        <f t="shared" si="94"/>
        <v/>
      </c>
      <c r="BX464" s="223" t="str">
        <f t="shared" si="95"/>
        <v/>
      </c>
      <c r="BY464" s="215"/>
      <c r="BZ464" s="227"/>
      <c r="CA464" s="227"/>
      <c r="CB464" s="228"/>
      <c r="CC464" s="229"/>
      <c r="CD464" s="230" t="str">
        <f t="shared" si="96"/>
        <v/>
      </c>
      <c r="CE464" s="231" t="str">
        <f t="shared" si="97"/>
        <v/>
      </c>
      <c r="CF464" s="232" t="str">
        <f t="shared" si="98"/>
        <v/>
      </c>
      <c r="CG464" s="233" t="str">
        <f t="shared" si="99"/>
        <v/>
      </c>
      <c r="CH464" s="207" t="str">
        <f>IF(OR(G464="",CC464= ""), "", IF(ISERROR(SMALL((CJ464,CN464,CV464), 1)-CC464), "",  SMALL((CJ464,CN464,CV464), 1)-CC464))</f>
        <v/>
      </c>
      <c r="CI464" s="234"/>
      <c r="CJ464" s="235"/>
      <c r="CK464" s="236"/>
      <c r="CL464" s="222" t="str">
        <f t="shared" si="100"/>
        <v/>
      </c>
      <c r="CM464" s="237" t="str">
        <f>IF(OR(G464="", CJ464="",CK464=""), "", IF(ISERROR(SMALL((CN464,CV464), 1)-CK464), "",  SMALL((CN464,CV464), 1)-CK464))</f>
        <v/>
      </c>
      <c r="CN464" s="235"/>
      <c r="CO464" s="236"/>
      <c r="CP464" s="224" t="str">
        <f t="shared" si="101"/>
        <v/>
      </c>
      <c r="CQ464" s="235"/>
      <c r="CR464" s="236"/>
      <c r="CS464" s="222" t="str">
        <f t="shared" si="102"/>
        <v/>
      </c>
      <c r="CT464" s="237" t="str">
        <f t="shared" si="103"/>
        <v/>
      </c>
      <c r="CU464" s="238"/>
      <c r="CV464" s="239"/>
      <c r="CW464" s="240"/>
    </row>
    <row r="465" spans="2:101" ht="16.5" customHeight="1">
      <c r="B465" s="122"/>
      <c r="E465" s="122"/>
      <c r="F465" s="194"/>
      <c r="G465" s="195"/>
      <c r="H465" s="195"/>
      <c r="I465" s="195"/>
      <c r="J465" s="196"/>
      <c r="K465" s="197"/>
      <c r="L465" s="198"/>
      <c r="M465" s="199"/>
      <c r="N465" s="200"/>
      <c r="O465" s="201"/>
      <c r="P465" s="201"/>
      <c r="Q465" s="201"/>
      <c r="R465" s="201"/>
      <c r="S465" s="201"/>
      <c r="T465" s="201"/>
      <c r="U465" s="201"/>
      <c r="V465" s="201"/>
      <c r="W465" s="201"/>
      <c r="X465" s="202"/>
      <c r="Y465" s="203"/>
      <c r="Z465" s="204"/>
      <c r="AA465" s="205"/>
      <c r="AB465" s="206"/>
      <c r="AC465" s="206"/>
      <c r="AD465" s="194"/>
      <c r="AE465" s="201"/>
      <c r="AF465" s="207"/>
      <c r="AG465" s="208"/>
      <c r="AH465" s="209"/>
      <c r="AI465" s="210"/>
      <c r="AJ465" s="197"/>
      <c r="AK465" s="201"/>
      <c r="AL465" s="196"/>
      <c r="AM465" s="201"/>
      <c r="AN465" s="201"/>
      <c r="AO465" s="201"/>
      <c r="AP465" s="211"/>
      <c r="AQ465" s="212"/>
      <c r="AR465" s="201"/>
      <c r="AS465" s="201"/>
      <c r="AT465" s="201"/>
      <c r="AU465" s="201"/>
      <c r="AV465" s="202"/>
      <c r="AW465" s="194"/>
      <c r="AX465" s="201"/>
      <c r="AY465" s="213"/>
      <c r="AZ465" s="214"/>
      <c r="BA465" s="215"/>
      <c r="BB465" s="216"/>
      <c r="BC465" s="217" t="str">
        <f t="shared" si="91"/>
        <v/>
      </c>
      <c r="BD465" s="218"/>
      <c r="BE465" s="219"/>
      <c r="BF465" s="220"/>
      <c r="BG465" s="219"/>
      <c r="BH465" s="219"/>
      <c r="BI465" s="220"/>
      <c r="BJ465" s="218"/>
      <c r="BK465" s="219"/>
      <c r="BL465" s="197"/>
      <c r="BM465" s="215"/>
      <c r="BN465" s="221"/>
      <c r="BO465" s="222" t="str">
        <f t="shared" si="92"/>
        <v/>
      </c>
      <c r="BP465" s="217" t="str">
        <f t="shared" si="93"/>
        <v/>
      </c>
      <c r="BQ465" s="215"/>
      <c r="BR465" s="224"/>
      <c r="BS465" s="225"/>
      <c r="BT465" s="223"/>
      <c r="BU465" s="215"/>
      <c r="BV465" s="226"/>
      <c r="BW465" s="222" t="str">
        <f t="shared" si="94"/>
        <v/>
      </c>
      <c r="BX465" s="223" t="str">
        <f t="shared" si="95"/>
        <v/>
      </c>
      <c r="BY465" s="215"/>
      <c r="BZ465" s="227"/>
      <c r="CA465" s="227"/>
      <c r="CB465" s="228"/>
      <c r="CC465" s="229"/>
      <c r="CD465" s="230" t="str">
        <f t="shared" si="96"/>
        <v/>
      </c>
      <c r="CE465" s="231" t="str">
        <f t="shared" si="97"/>
        <v/>
      </c>
      <c r="CF465" s="232" t="str">
        <f t="shared" si="98"/>
        <v/>
      </c>
      <c r="CG465" s="233" t="str">
        <f t="shared" si="99"/>
        <v/>
      </c>
      <c r="CH465" s="207" t="str">
        <f>IF(OR(G465="",CC465= ""), "", IF(ISERROR(SMALL((CJ465,CN465,CV465), 1)-CC465), "",  SMALL((CJ465,CN465,CV465), 1)-CC465))</f>
        <v/>
      </c>
      <c r="CI465" s="234"/>
      <c r="CJ465" s="235"/>
      <c r="CK465" s="236"/>
      <c r="CL465" s="222" t="str">
        <f t="shared" si="100"/>
        <v/>
      </c>
      <c r="CM465" s="237" t="str">
        <f>IF(OR(G465="", CJ465="",CK465=""), "", IF(ISERROR(SMALL((CN465,CV465), 1)-CK465), "",  SMALL((CN465,CV465), 1)-CK465))</f>
        <v/>
      </c>
      <c r="CN465" s="235"/>
      <c r="CO465" s="236"/>
      <c r="CP465" s="224" t="str">
        <f t="shared" si="101"/>
        <v/>
      </c>
      <c r="CQ465" s="235"/>
      <c r="CR465" s="236"/>
      <c r="CS465" s="222" t="str">
        <f t="shared" si="102"/>
        <v/>
      </c>
      <c r="CT465" s="237" t="str">
        <f t="shared" si="103"/>
        <v/>
      </c>
      <c r="CU465" s="238"/>
      <c r="CV465" s="239"/>
      <c r="CW465" s="240"/>
    </row>
    <row r="466" spans="2:101" ht="16.5" customHeight="1">
      <c r="B466" s="122"/>
      <c r="E466" s="122"/>
      <c r="F466" s="194"/>
      <c r="G466" s="195"/>
      <c r="H466" s="195"/>
      <c r="I466" s="195"/>
      <c r="J466" s="196"/>
      <c r="K466" s="197"/>
      <c r="L466" s="198"/>
      <c r="M466" s="199"/>
      <c r="N466" s="200"/>
      <c r="O466" s="201"/>
      <c r="P466" s="201"/>
      <c r="Q466" s="201"/>
      <c r="R466" s="201"/>
      <c r="S466" s="201"/>
      <c r="T466" s="201"/>
      <c r="U466" s="201"/>
      <c r="V466" s="201"/>
      <c r="W466" s="201"/>
      <c r="X466" s="202"/>
      <c r="Y466" s="203"/>
      <c r="Z466" s="204"/>
      <c r="AA466" s="205"/>
      <c r="AB466" s="206"/>
      <c r="AC466" s="206"/>
      <c r="AD466" s="194"/>
      <c r="AE466" s="201"/>
      <c r="AF466" s="207"/>
      <c r="AG466" s="208"/>
      <c r="AH466" s="209"/>
      <c r="AI466" s="210"/>
      <c r="AJ466" s="197"/>
      <c r="AK466" s="201"/>
      <c r="AL466" s="196"/>
      <c r="AM466" s="201"/>
      <c r="AN466" s="201"/>
      <c r="AO466" s="201"/>
      <c r="AP466" s="211"/>
      <c r="AQ466" s="212"/>
      <c r="AR466" s="201"/>
      <c r="AS466" s="201"/>
      <c r="AT466" s="201"/>
      <c r="AU466" s="201"/>
      <c r="AV466" s="202"/>
      <c r="AW466" s="194"/>
      <c r="AX466" s="201"/>
      <c r="AY466" s="213"/>
      <c r="AZ466" s="214"/>
      <c r="BA466" s="215"/>
      <c r="BB466" s="216"/>
      <c r="BC466" s="217" t="str">
        <f t="shared" si="91"/>
        <v/>
      </c>
      <c r="BD466" s="218"/>
      <c r="BE466" s="219"/>
      <c r="BF466" s="220"/>
      <c r="BG466" s="219"/>
      <c r="BH466" s="219"/>
      <c r="BI466" s="220"/>
      <c r="BJ466" s="218"/>
      <c r="BK466" s="219"/>
      <c r="BL466" s="197"/>
      <c r="BM466" s="215"/>
      <c r="BN466" s="221"/>
      <c r="BO466" s="222" t="str">
        <f t="shared" si="92"/>
        <v/>
      </c>
      <c r="BP466" s="217" t="str">
        <f t="shared" si="93"/>
        <v/>
      </c>
      <c r="BQ466" s="215"/>
      <c r="BR466" s="224"/>
      <c r="BS466" s="225"/>
      <c r="BT466" s="223"/>
      <c r="BU466" s="215"/>
      <c r="BV466" s="226"/>
      <c r="BW466" s="222" t="str">
        <f t="shared" si="94"/>
        <v/>
      </c>
      <c r="BX466" s="223" t="str">
        <f t="shared" si="95"/>
        <v/>
      </c>
      <c r="BY466" s="215"/>
      <c r="BZ466" s="227"/>
      <c r="CA466" s="227"/>
      <c r="CB466" s="228"/>
      <c r="CC466" s="229"/>
      <c r="CD466" s="230" t="str">
        <f t="shared" si="96"/>
        <v/>
      </c>
      <c r="CE466" s="231" t="str">
        <f t="shared" si="97"/>
        <v/>
      </c>
      <c r="CF466" s="232" t="str">
        <f t="shared" si="98"/>
        <v/>
      </c>
      <c r="CG466" s="233" t="str">
        <f t="shared" si="99"/>
        <v/>
      </c>
      <c r="CH466" s="207" t="str">
        <f>IF(OR(G466="",CC466= ""), "", IF(ISERROR(SMALL((CJ466,CN466,CV466), 1)-CC466), "",  SMALL((CJ466,CN466,CV466), 1)-CC466))</f>
        <v/>
      </c>
      <c r="CI466" s="234"/>
      <c r="CJ466" s="235"/>
      <c r="CK466" s="236"/>
      <c r="CL466" s="222" t="str">
        <f t="shared" si="100"/>
        <v/>
      </c>
      <c r="CM466" s="237" t="str">
        <f>IF(OR(G466="", CJ466="",CK466=""), "", IF(ISERROR(SMALL((CN466,CV466), 1)-CK466), "",  SMALL((CN466,CV466), 1)-CK466))</f>
        <v/>
      </c>
      <c r="CN466" s="235"/>
      <c r="CO466" s="236"/>
      <c r="CP466" s="224" t="str">
        <f t="shared" si="101"/>
        <v/>
      </c>
      <c r="CQ466" s="235"/>
      <c r="CR466" s="236"/>
      <c r="CS466" s="222" t="str">
        <f t="shared" si="102"/>
        <v/>
      </c>
      <c r="CT466" s="237" t="str">
        <f t="shared" si="103"/>
        <v/>
      </c>
      <c r="CU466" s="238"/>
      <c r="CV466" s="239"/>
      <c r="CW466" s="240"/>
    </row>
    <row r="467" spans="2:101" ht="16.5" customHeight="1">
      <c r="B467" s="122"/>
      <c r="E467" s="122"/>
      <c r="F467" s="194"/>
      <c r="G467" s="195"/>
      <c r="H467" s="195"/>
      <c r="I467" s="195"/>
      <c r="J467" s="196"/>
      <c r="K467" s="197"/>
      <c r="L467" s="198"/>
      <c r="M467" s="199"/>
      <c r="N467" s="200"/>
      <c r="O467" s="201"/>
      <c r="P467" s="201"/>
      <c r="Q467" s="201"/>
      <c r="R467" s="201"/>
      <c r="S467" s="201"/>
      <c r="T467" s="201"/>
      <c r="U467" s="201"/>
      <c r="V467" s="201"/>
      <c r="W467" s="201"/>
      <c r="X467" s="202"/>
      <c r="Y467" s="203"/>
      <c r="Z467" s="204"/>
      <c r="AA467" s="205"/>
      <c r="AB467" s="206"/>
      <c r="AC467" s="206"/>
      <c r="AD467" s="194"/>
      <c r="AE467" s="201"/>
      <c r="AF467" s="207"/>
      <c r="AG467" s="208"/>
      <c r="AH467" s="209"/>
      <c r="AI467" s="210"/>
      <c r="AJ467" s="197"/>
      <c r="AK467" s="201"/>
      <c r="AL467" s="196"/>
      <c r="AM467" s="201"/>
      <c r="AN467" s="201"/>
      <c r="AO467" s="201"/>
      <c r="AP467" s="211"/>
      <c r="AQ467" s="212"/>
      <c r="AR467" s="201"/>
      <c r="AS467" s="201"/>
      <c r="AT467" s="201"/>
      <c r="AU467" s="201"/>
      <c r="AV467" s="202"/>
      <c r="AW467" s="194"/>
      <c r="AX467" s="201"/>
      <c r="AY467" s="213"/>
      <c r="AZ467" s="214"/>
      <c r="BA467" s="215"/>
      <c r="BB467" s="216"/>
      <c r="BC467" s="217" t="str">
        <f t="shared" si="91"/>
        <v/>
      </c>
      <c r="BD467" s="218"/>
      <c r="BE467" s="219"/>
      <c r="BF467" s="220"/>
      <c r="BG467" s="219"/>
      <c r="BH467" s="219"/>
      <c r="BI467" s="220"/>
      <c r="BJ467" s="218"/>
      <c r="BK467" s="219"/>
      <c r="BL467" s="197"/>
      <c r="BM467" s="215"/>
      <c r="BN467" s="221"/>
      <c r="BO467" s="222" t="str">
        <f t="shared" si="92"/>
        <v/>
      </c>
      <c r="BP467" s="217" t="str">
        <f t="shared" si="93"/>
        <v/>
      </c>
      <c r="BQ467" s="215"/>
      <c r="BR467" s="224"/>
      <c r="BS467" s="225"/>
      <c r="BT467" s="223"/>
      <c r="BU467" s="215"/>
      <c r="BV467" s="226"/>
      <c r="BW467" s="222" t="str">
        <f t="shared" si="94"/>
        <v/>
      </c>
      <c r="BX467" s="223" t="str">
        <f t="shared" si="95"/>
        <v/>
      </c>
      <c r="BY467" s="215"/>
      <c r="BZ467" s="227"/>
      <c r="CA467" s="227"/>
      <c r="CB467" s="228"/>
      <c r="CC467" s="229"/>
      <c r="CD467" s="230" t="str">
        <f t="shared" si="96"/>
        <v/>
      </c>
      <c r="CE467" s="231" t="str">
        <f t="shared" si="97"/>
        <v/>
      </c>
      <c r="CF467" s="232" t="str">
        <f t="shared" si="98"/>
        <v/>
      </c>
      <c r="CG467" s="233" t="str">
        <f t="shared" si="99"/>
        <v/>
      </c>
      <c r="CH467" s="207" t="str">
        <f>IF(OR(G467="",CC467= ""), "", IF(ISERROR(SMALL((CJ467,CN467,CV467), 1)-CC467), "",  SMALL((CJ467,CN467,CV467), 1)-CC467))</f>
        <v/>
      </c>
      <c r="CI467" s="234"/>
      <c r="CJ467" s="235"/>
      <c r="CK467" s="236"/>
      <c r="CL467" s="222" t="str">
        <f t="shared" si="100"/>
        <v/>
      </c>
      <c r="CM467" s="237" t="str">
        <f>IF(OR(G467="", CJ467="",CK467=""), "", IF(ISERROR(SMALL((CN467,CV467), 1)-CK467), "",  SMALL((CN467,CV467), 1)-CK467))</f>
        <v/>
      </c>
      <c r="CN467" s="235"/>
      <c r="CO467" s="236"/>
      <c r="CP467" s="224" t="str">
        <f t="shared" si="101"/>
        <v/>
      </c>
      <c r="CQ467" s="235"/>
      <c r="CR467" s="236"/>
      <c r="CS467" s="222" t="str">
        <f t="shared" si="102"/>
        <v/>
      </c>
      <c r="CT467" s="237" t="str">
        <f t="shared" si="103"/>
        <v/>
      </c>
      <c r="CU467" s="238"/>
      <c r="CV467" s="239"/>
      <c r="CW467" s="240"/>
    </row>
    <row r="468" spans="2:101" ht="16.5" customHeight="1">
      <c r="B468" s="122"/>
      <c r="E468" s="122"/>
      <c r="F468" s="194"/>
      <c r="G468" s="195"/>
      <c r="H468" s="195"/>
      <c r="I468" s="195"/>
      <c r="J468" s="196"/>
      <c r="K468" s="197"/>
      <c r="L468" s="198"/>
      <c r="M468" s="199"/>
      <c r="N468" s="200"/>
      <c r="O468" s="201"/>
      <c r="P468" s="201"/>
      <c r="Q468" s="201"/>
      <c r="R468" s="201"/>
      <c r="S468" s="201"/>
      <c r="T468" s="201"/>
      <c r="U468" s="201"/>
      <c r="V468" s="201"/>
      <c r="W468" s="201"/>
      <c r="X468" s="202"/>
      <c r="Y468" s="203"/>
      <c r="Z468" s="204"/>
      <c r="AA468" s="205"/>
      <c r="AB468" s="206"/>
      <c r="AC468" s="206"/>
      <c r="AD468" s="194"/>
      <c r="AE468" s="201"/>
      <c r="AF468" s="207"/>
      <c r="AG468" s="208"/>
      <c r="AH468" s="209"/>
      <c r="AI468" s="210"/>
      <c r="AJ468" s="197"/>
      <c r="AK468" s="201"/>
      <c r="AL468" s="196"/>
      <c r="AM468" s="201"/>
      <c r="AN468" s="201"/>
      <c r="AO468" s="201"/>
      <c r="AP468" s="211"/>
      <c r="AQ468" s="212"/>
      <c r="AR468" s="201"/>
      <c r="AS468" s="201"/>
      <c r="AT468" s="201"/>
      <c r="AU468" s="201"/>
      <c r="AV468" s="202"/>
      <c r="AW468" s="194"/>
      <c r="AX468" s="201"/>
      <c r="AY468" s="213"/>
      <c r="AZ468" s="214"/>
      <c r="BA468" s="215"/>
      <c r="BB468" s="216"/>
      <c r="BC468" s="217" t="str">
        <f t="shared" si="91"/>
        <v/>
      </c>
      <c r="BD468" s="218"/>
      <c r="BE468" s="219"/>
      <c r="BF468" s="220"/>
      <c r="BG468" s="219"/>
      <c r="BH468" s="219"/>
      <c r="BI468" s="220"/>
      <c r="BJ468" s="218"/>
      <c r="BK468" s="219"/>
      <c r="BL468" s="197"/>
      <c r="BM468" s="215"/>
      <c r="BN468" s="221"/>
      <c r="BO468" s="222" t="str">
        <f t="shared" si="92"/>
        <v/>
      </c>
      <c r="BP468" s="217" t="str">
        <f t="shared" si="93"/>
        <v/>
      </c>
      <c r="BQ468" s="215"/>
      <c r="BR468" s="224"/>
      <c r="BS468" s="225"/>
      <c r="BT468" s="223"/>
      <c r="BU468" s="215"/>
      <c r="BV468" s="226"/>
      <c r="BW468" s="222" t="str">
        <f t="shared" si="94"/>
        <v/>
      </c>
      <c r="BX468" s="223" t="str">
        <f t="shared" si="95"/>
        <v/>
      </c>
      <c r="BY468" s="215"/>
      <c r="BZ468" s="227"/>
      <c r="CA468" s="227"/>
      <c r="CB468" s="228"/>
      <c r="CC468" s="229"/>
      <c r="CD468" s="230" t="str">
        <f t="shared" si="96"/>
        <v/>
      </c>
      <c r="CE468" s="231" t="str">
        <f t="shared" si="97"/>
        <v/>
      </c>
      <c r="CF468" s="232" t="str">
        <f t="shared" si="98"/>
        <v/>
      </c>
      <c r="CG468" s="233" t="str">
        <f t="shared" si="99"/>
        <v/>
      </c>
      <c r="CH468" s="207" t="str">
        <f>IF(OR(G468="",CC468= ""), "", IF(ISERROR(SMALL((CJ468,CN468,CV468), 1)-CC468), "",  SMALL((CJ468,CN468,CV468), 1)-CC468))</f>
        <v/>
      </c>
      <c r="CI468" s="234"/>
      <c r="CJ468" s="235"/>
      <c r="CK468" s="236"/>
      <c r="CL468" s="222" t="str">
        <f t="shared" si="100"/>
        <v/>
      </c>
      <c r="CM468" s="237" t="str">
        <f>IF(OR(G468="", CJ468="",CK468=""), "", IF(ISERROR(SMALL((CN468,CV468), 1)-CK468), "",  SMALL((CN468,CV468), 1)-CK468))</f>
        <v/>
      </c>
      <c r="CN468" s="235"/>
      <c r="CO468" s="236"/>
      <c r="CP468" s="224" t="str">
        <f t="shared" si="101"/>
        <v/>
      </c>
      <c r="CQ468" s="235"/>
      <c r="CR468" s="236"/>
      <c r="CS468" s="222" t="str">
        <f t="shared" si="102"/>
        <v/>
      </c>
      <c r="CT468" s="237" t="str">
        <f t="shared" si="103"/>
        <v/>
      </c>
      <c r="CU468" s="238"/>
      <c r="CV468" s="239"/>
      <c r="CW468" s="240"/>
    </row>
    <row r="469" spans="2:101" ht="16.5" customHeight="1">
      <c r="B469" s="122"/>
      <c r="E469" s="122"/>
      <c r="F469" s="194"/>
      <c r="G469" s="195"/>
      <c r="H469" s="195"/>
      <c r="I469" s="195"/>
      <c r="J469" s="196"/>
      <c r="K469" s="197"/>
      <c r="L469" s="198"/>
      <c r="M469" s="199"/>
      <c r="N469" s="200"/>
      <c r="O469" s="201"/>
      <c r="P469" s="201"/>
      <c r="Q469" s="201"/>
      <c r="R469" s="201"/>
      <c r="S469" s="201"/>
      <c r="T469" s="201"/>
      <c r="U469" s="201"/>
      <c r="V469" s="201"/>
      <c r="W469" s="201"/>
      <c r="X469" s="202"/>
      <c r="Y469" s="203"/>
      <c r="Z469" s="204"/>
      <c r="AA469" s="205"/>
      <c r="AB469" s="206"/>
      <c r="AC469" s="206"/>
      <c r="AD469" s="194"/>
      <c r="AE469" s="201"/>
      <c r="AF469" s="207"/>
      <c r="AG469" s="208"/>
      <c r="AH469" s="209"/>
      <c r="AI469" s="210"/>
      <c r="AJ469" s="197"/>
      <c r="AK469" s="201"/>
      <c r="AL469" s="196"/>
      <c r="AM469" s="201"/>
      <c r="AN469" s="201"/>
      <c r="AO469" s="201"/>
      <c r="AP469" s="211"/>
      <c r="AQ469" s="212"/>
      <c r="AR469" s="201"/>
      <c r="AS469" s="201"/>
      <c r="AT469" s="201"/>
      <c r="AU469" s="201"/>
      <c r="AV469" s="202"/>
      <c r="AW469" s="194"/>
      <c r="AX469" s="201"/>
      <c r="AY469" s="213"/>
      <c r="AZ469" s="214"/>
      <c r="BA469" s="215"/>
      <c r="BB469" s="216"/>
      <c r="BC469" s="217" t="str">
        <f t="shared" si="91"/>
        <v/>
      </c>
      <c r="BD469" s="218"/>
      <c r="BE469" s="219"/>
      <c r="BF469" s="220"/>
      <c r="BG469" s="219"/>
      <c r="BH469" s="219"/>
      <c r="BI469" s="220"/>
      <c r="BJ469" s="218"/>
      <c r="BK469" s="219"/>
      <c r="BL469" s="197"/>
      <c r="BM469" s="215"/>
      <c r="BN469" s="221"/>
      <c r="BO469" s="222" t="str">
        <f t="shared" si="92"/>
        <v/>
      </c>
      <c r="BP469" s="217" t="str">
        <f t="shared" si="93"/>
        <v/>
      </c>
      <c r="BQ469" s="215"/>
      <c r="BR469" s="224"/>
      <c r="BS469" s="225"/>
      <c r="BT469" s="223"/>
      <c r="BU469" s="215"/>
      <c r="BV469" s="226"/>
      <c r="BW469" s="222" t="str">
        <f t="shared" si="94"/>
        <v/>
      </c>
      <c r="BX469" s="223" t="str">
        <f t="shared" si="95"/>
        <v/>
      </c>
      <c r="BY469" s="215"/>
      <c r="BZ469" s="227"/>
      <c r="CA469" s="227"/>
      <c r="CB469" s="228"/>
      <c r="CC469" s="229"/>
      <c r="CD469" s="230" t="str">
        <f t="shared" si="96"/>
        <v/>
      </c>
      <c r="CE469" s="231" t="str">
        <f t="shared" si="97"/>
        <v/>
      </c>
      <c r="CF469" s="232" t="str">
        <f t="shared" si="98"/>
        <v/>
      </c>
      <c r="CG469" s="233" t="str">
        <f t="shared" si="99"/>
        <v/>
      </c>
      <c r="CH469" s="207" t="str">
        <f>IF(OR(G469="",CC469= ""), "", IF(ISERROR(SMALL((CJ469,CN469,CV469), 1)-CC469), "",  SMALL((CJ469,CN469,CV469), 1)-CC469))</f>
        <v/>
      </c>
      <c r="CI469" s="234"/>
      <c r="CJ469" s="235"/>
      <c r="CK469" s="236"/>
      <c r="CL469" s="222" t="str">
        <f t="shared" si="100"/>
        <v/>
      </c>
      <c r="CM469" s="237" t="str">
        <f>IF(OR(G469="", CJ469="",CK469=""), "", IF(ISERROR(SMALL((CN469,CV469), 1)-CK469), "",  SMALL((CN469,CV469), 1)-CK469))</f>
        <v/>
      </c>
      <c r="CN469" s="235"/>
      <c r="CO469" s="236"/>
      <c r="CP469" s="224" t="str">
        <f t="shared" si="101"/>
        <v/>
      </c>
      <c r="CQ469" s="235"/>
      <c r="CR469" s="236"/>
      <c r="CS469" s="222" t="str">
        <f t="shared" si="102"/>
        <v/>
      </c>
      <c r="CT469" s="237" t="str">
        <f t="shared" si="103"/>
        <v/>
      </c>
      <c r="CU469" s="238"/>
      <c r="CV469" s="239"/>
      <c r="CW469" s="240"/>
    </row>
    <row r="470" spans="2:101" ht="16.5" customHeight="1">
      <c r="B470" s="122"/>
      <c r="E470" s="122"/>
      <c r="F470" s="194"/>
      <c r="G470" s="195"/>
      <c r="H470" s="195"/>
      <c r="I470" s="195"/>
      <c r="J470" s="196"/>
      <c r="K470" s="197"/>
      <c r="L470" s="198"/>
      <c r="M470" s="199"/>
      <c r="N470" s="200"/>
      <c r="O470" s="201"/>
      <c r="P470" s="201"/>
      <c r="Q470" s="201"/>
      <c r="R470" s="201"/>
      <c r="S470" s="201"/>
      <c r="T470" s="201"/>
      <c r="U470" s="201"/>
      <c r="V470" s="201"/>
      <c r="W470" s="201"/>
      <c r="X470" s="202"/>
      <c r="Y470" s="203"/>
      <c r="Z470" s="204"/>
      <c r="AA470" s="205"/>
      <c r="AB470" s="206"/>
      <c r="AC470" s="206"/>
      <c r="AD470" s="194"/>
      <c r="AE470" s="201"/>
      <c r="AF470" s="207"/>
      <c r="AG470" s="208"/>
      <c r="AH470" s="209"/>
      <c r="AI470" s="210"/>
      <c r="AJ470" s="197"/>
      <c r="AK470" s="201"/>
      <c r="AL470" s="196"/>
      <c r="AM470" s="201"/>
      <c r="AN470" s="201"/>
      <c r="AO470" s="201"/>
      <c r="AP470" s="211"/>
      <c r="AQ470" s="212"/>
      <c r="AR470" s="201"/>
      <c r="AS470" s="201"/>
      <c r="AT470" s="201"/>
      <c r="AU470" s="201"/>
      <c r="AV470" s="202"/>
      <c r="AW470" s="194"/>
      <c r="AX470" s="201"/>
      <c r="AY470" s="213"/>
      <c r="AZ470" s="214"/>
      <c r="BA470" s="215"/>
      <c r="BB470" s="216"/>
      <c r="BC470" s="217" t="str">
        <f t="shared" si="91"/>
        <v/>
      </c>
      <c r="BD470" s="218"/>
      <c r="BE470" s="219"/>
      <c r="BF470" s="220"/>
      <c r="BG470" s="219"/>
      <c r="BH470" s="219"/>
      <c r="BI470" s="220"/>
      <c r="BJ470" s="218"/>
      <c r="BK470" s="219"/>
      <c r="BL470" s="197"/>
      <c r="BM470" s="215"/>
      <c r="BN470" s="221"/>
      <c r="BO470" s="222" t="str">
        <f t="shared" si="92"/>
        <v/>
      </c>
      <c r="BP470" s="217" t="str">
        <f t="shared" si="93"/>
        <v/>
      </c>
      <c r="BQ470" s="215"/>
      <c r="BR470" s="224"/>
      <c r="BS470" s="225"/>
      <c r="BT470" s="223"/>
      <c r="BU470" s="215"/>
      <c r="BV470" s="226"/>
      <c r="BW470" s="222" t="str">
        <f t="shared" si="94"/>
        <v/>
      </c>
      <c r="BX470" s="223" t="str">
        <f t="shared" si="95"/>
        <v/>
      </c>
      <c r="BY470" s="215"/>
      <c r="BZ470" s="227"/>
      <c r="CA470" s="227"/>
      <c r="CB470" s="228"/>
      <c r="CC470" s="229"/>
      <c r="CD470" s="230" t="str">
        <f t="shared" si="96"/>
        <v/>
      </c>
      <c r="CE470" s="231" t="str">
        <f t="shared" si="97"/>
        <v/>
      </c>
      <c r="CF470" s="232" t="str">
        <f t="shared" si="98"/>
        <v/>
      </c>
      <c r="CG470" s="233" t="str">
        <f t="shared" si="99"/>
        <v/>
      </c>
      <c r="CH470" s="207" t="str">
        <f>IF(OR(G470="",CC470= ""), "", IF(ISERROR(SMALL((CJ470,CN470,CV470), 1)-CC470), "",  SMALL((CJ470,CN470,CV470), 1)-CC470))</f>
        <v/>
      </c>
      <c r="CI470" s="234"/>
      <c r="CJ470" s="235"/>
      <c r="CK470" s="236"/>
      <c r="CL470" s="222" t="str">
        <f t="shared" si="100"/>
        <v/>
      </c>
      <c r="CM470" s="237" t="str">
        <f>IF(OR(G470="", CJ470="",CK470=""), "", IF(ISERROR(SMALL((CN470,CV470), 1)-CK470), "",  SMALL((CN470,CV470), 1)-CK470))</f>
        <v/>
      </c>
      <c r="CN470" s="235"/>
      <c r="CO470" s="236"/>
      <c r="CP470" s="224" t="str">
        <f t="shared" si="101"/>
        <v/>
      </c>
      <c r="CQ470" s="235"/>
      <c r="CR470" s="236"/>
      <c r="CS470" s="222" t="str">
        <f t="shared" si="102"/>
        <v/>
      </c>
      <c r="CT470" s="237" t="str">
        <f t="shared" si="103"/>
        <v/>
      </c>
      <c r="CU470" s="238"/>
      <c r="CV470" s="239"/>
      <c r="CW470" s="240"/>
    </row>
    <row r="471" spans="2:101" ht="16.5" customHeight="1">
      <c r="B471" s="122"/>
      <c r="E471" s="122"/>
      <c r="F471" s="194"/>
      <c r="G471" s="195"/>
      <c r="H471" s="195"/>
      <c r="I471" s="195"/>
      <c r="J471" s="196"/>
      <c r="K471" s="197"/>
      <c r="L471" s="198"/>
      <c r="M471" s="199"/>
      <c r="N471" s="200"/>
      <c r="O471" s="201"/>
      <c r="P471" s="201"/>
      <c r="Q471" s="201"/>
      <c r="R471" s="201"/>
      <c r="S471" s="201"/>
      <c r="T471" s="201"/>
      <c r="U471" s="201"/>
      <c r="V471" s="201"/>
      <c r="W471" s="201"/>
      <c r="X471" s="202"/>
      <c r="Y471" s="203"/>
      <c r="Z471" s="204"/>
      <c r="AA471" s="205"/>
      <c r="AB471" s="206"/>
      <c r="AC471" s="206"/>
      <c r="AD471" s="194"/>
      <c r="AE471" s="201"/>
      <c r="AF471" s="207"/>
      <c r="AG471" s="208"/>
      <c r="AH471" s="209"/>
      <c r="AI471" s="210"/>
      <c r="AJ471" s="197"/>
      <c r="AK471" s="201"/>
      <c r="AL471" s="196"/>
      <c r="AM471" s="201"/>
      <c r="AN471" s="201"/>
      <c r="AO471" s="201"/>
      <c r="AP471" s="211"/>
      <c r="AQ471" s="212"/>
      <c r="AR471" s="201"/>
      <c r="AS471" s="201"/>
      <c r="AT471" s="201"/>
      <c r="AU471" s="201"/>
      <c r="AV471" s="202"/>
      <c r="AW471" s="194"/>
      <c r="AX471" s="201"/>
      <c r="AY471" s="213"/>
      <c r="AZ471" s="214"/>
      <c r="BA471" s="215"/>
      <c r="BB471" s="216"/>
      <c r="BC471" s="217" t="str">
        <f t="shared" si="91"/>
        <v/>
      </c>
      <c r="BD471" s="218"/>
      <c r="BE471" s="219"/>
      <c r="BF471" s="220"/>
      <c r="BG471" s="219"/>
      <c r="BH471" s="219"/>
      <c r="BI471" s="220"/>
      <c r="BJ471" s="218"/>
      <c r="BK471" s="219"/>
      <c r="BL471" s="197"/>
      <c r="BM471" s="215"/>
      <c r="BN471" s="221"/>
      <c r="BO471" s="222" t="str">
        <f t="shared" si="92"/>
        <v/>
      </c>
      <c r="BP471" s="217" t="str">
        <f t="shared" si="93"/>
        <v/>
      </c>
      <c r="BQ471" s="215"/>
      <c r="BR471" s="224"/>
      <c r="BS471" s="225"/>
      <c r="BT471" s="223"/>
      <c r="BU471" s="215"/>
      <c r="BV471" s="226"/>
      <c r="BW471" s="222" t="str">
        <f t="shared" si="94"/>
        <v/>
      </c>
      <c r="BX471" s="223" t="str">
        <f t="shared" si="95"/>
        <v/>
      </c>
      <c r="BY471" s="215"/>
      <c r="BZ471" s="227"/>
      <c r="CA471" s="227"/>
      <c r="CB471" s="228"/>
      <c r="CC471" s="229"/>
      <c r="CD471" s="230" t="str">
        <f t="shared" si="96"/>
        <v/>
      </c>
      <c r="CE471" s="231" t="str">
        <f t="shared" si="97"/>
        <v/>
      </c>
      <c r="CF471" s="232" t="str">
        <f t="shared" si="98"/>
        <v/>
      </c>
      <c r="CG471" s="233" t="str">
        <f t="shared" si="99"/>
        <v/>
      </c>
      <c r="CH471" s="207" t="str">
        <f>IF(OR(G471="",CC471= ""), "", IF(ISERROR(SMALL((CJ471,CN471,CV471), 1)-CC471), "",  SMALL((CJ471,CN471,CV471), 1)-CC471))</f>
        <v/>
      </c>
      <c r="CI471" s="234"/>
      <c r="CJ471" s="235"/>
      <c r="CK471" s="236"/>
      <c r="CL471" s="222" t="str">
        <f t="shared" si="100"/>
        <v/>
      </c>
      <c r="CM471" s="237" t="str">
        <f>IF(OR(G471="", CJ471="",CK471=""), "", IF(ISERROR(SMALL((CN471,CV471), 1)-CK471), "",  SMALL((CN471,CV471), 1)-CK471))</f>
        <v/>
      </c>
      <c r="CN471" s="235"/>
      <c r="CO471" s="236"/>
      <c r="CP471" s="224" t="str">
        <f t="shared" si="101"/>
        <v/>
      </c>
      <c r="CQ471" s="235"/>
      <c r="CR471" s="236"/>
      <c r="CS471" s="222" t="str">
        <f t="shared" si="102"/>
        <v/>
      </c>
      <c r="CT471" s="237" t="str">
        <f t="shared" si="103"/>
        <v/>
      </c>
      <c r="CU471" s="238"/>
      <c r="CV471" s="239"/>
      <c r="CW471" s="240"/>
    </row>
    <row r="472" spans="2:101" ht="16.5" customHeight="1">
      <c r="B472" s="122"/>
      <c r="E472" s="122"/>
      <c r="F472" s="194"/>
      <c r="G472" s="195"/>
      <c r="H472" s="195"/>
      <c r="I472" s="195"/>
      <c r="J472" s="196"/>
      <c r="K472" s="197"/>
      <c r="L472" s="198"/>
      <c r="M472" s="199"/>
      <c r="N472" s="200"/>
      <c r="O472" s="201"/>
      <c r="P472" s="201"/>
      <c r="Q472" s="201"/>
      <c r="R472" s="201"/>
      <c r="S472" s="201"/>
      <c r="T472" s="201"/>
      <c r="U472" s="201"/>
      <c r="V472" s="201"/>
      <c r="W472" s="201"/>
      <c r="X472" s="202"/>
      <c r="Y472" s="203"/>
      <c r="Z472" s="204"/>
      <c r="AA472" s="205"/>
      <c r="AB472" s="206"/>
      <c r="AC472" s="206"/>
      <c r="AD472" s="194"/>
      <c r="AE472" s="201"/>
      <c r="AF472" s="207"/>
      <c r="AG472" s="208"/>
      <c r="AH472" s="209"/>
      <c r="AI472" s="210"/>
      <c r="AJ472" s="197"/>
      <c r="AK472" s="201"/>
      <c r="AL472" s="196"/>
      <c r="AM472" s="201"/>
      <c r="AN472" s="201"/>
      <c r="AO472" s="201"/>
      <c r="AP472" s="211"/>
      <c r="AQ472" s="212"/>
      <c r="AR472" s="201"/>
      <c r="AS472" s="201"/>
      <c r="AT472" s="201"/>
      <c r="AU472" s="201"/>
      <c r="AV472" s="202"/>
      <c r="AW472" s="194"/>
      <c r="AX472" s="201"/>
      <c r="AY472" s="213"/>
      <c r="AZ472" s="214"/>
      <c r="BA472" s="215"/>
      <c r="BB472" s="216"/>
      <c r="BC472" s="217" t="str">
        <f t="shared" si="91"/>
        <v/>
      </c>
      <c r="BD472" s="218"/>
      <c r="BE472" s="219"/>
      <c r="BF472" s="220"/>
      <c r="BG472" s="219"/>
      <c r="BH472" s="219"/>
      <c r="BI472" s="220"/>
      <c r="BJ472" s="218"/>
      <c r="BK472" s="219"/>
      <c r="BL472" s="197"/>
      <c r="BM472" s="215"/>
      <c r="BN472" s="221"/>
      <c r="BO472" s="222" t="str">
        <f t="shared" si="92"/>
        <v/>
      </c>
      <c r="BP472" s="217" t="str">
        <f t="shared" si="93"/>
        <v/>
      </c>
      <c r="BQ472" s="215"/>
      <c r="BR472" s="224"/>
      <c r="BS472" s="225"/>
      <c r="BT472" s="223"/>
      <c r="BU472" s="215"/>
      <c r="BV472" s="226"/>
      <c r="BW472" s="222" t="str">
        <f t="shared" si="94"/>
        <v/>
      </c>
      <c r="BX472" s="223" t="str">
        <f t="shared" si="95"/>
        <v/>
      </c>
      <c r="BY472" s="215"/>
      <c r="BZ472" s="227"/>
      <c r="CA472" s="227"/>
      <c r="CB472" s="228"/>
      <c r="CC472" s="229"/>
      <c r="CD472" s="230" t="str">
        <f t="shared" si="96"/>
        <v/>
      </c>
      <c r="CE472" s="231" t="str">
        <f t="shared" si="97"/>
        <v/>
      </c>
      <c r="CF472" s="232" t="str">
        <f t="shared" si="98"/>
        <v/>
      </c>
      <c r="CG472" s="233" t="str">
        <f t="shared" si="99"/>
        <v/>
      </c>
      <c r="CH472" s="207" t="str">
        <f>IF(OR(G472="",CC472= ""), "", IF(ISERROR(SMALL((CJ472,CN472,CV472), 1)-CC472), "",  SMALL((CJ472,CN472,CV472), 1)-CC472))</f>
        <v/>
      </c>
      <c r="CI472" s="234"/>
      <c r="CJ472" s="235"/>
      <c r="CK472" s="236"/>
      <c r="CL472" s="222" t="str">
        <f t="shared" si="100"/>
        <v/>
      </c>
      <c r="CM472" s="237" t="str">
        <f>IF(OR(G472="", CJ472="",CK472=""), "", IF(ISERROR(SMALL((CN472,CV472), 1)-CK472), "",  SMALL((CN472,CV472), 1)-CK472))</f>
        <v/>
      </c>
      <c r="CN472" s="235"/>
      <c r="CO472" s="236"/>
      <c r="CP472" s="224" t="str">
        <f t="shared" si="101"/>
        <v/>
      </c>
      <c r="CQ472" s="235"/>
      <c r="CR472" s="236"/>
      <c r="CS472" s="222" t="str">
        <f t="shared" si="102"/>
        <v/>
      </c>
      <c r="CT472" s="237" t="str">
        <f t="shared" si="103"/>
        <v/>
      </c>
      <c r="CU472" s="238"/>
      <c r="CV472" s="239"/>
      <c r="CW472" s="240"/>
    </row>
    <row r="473" spans="2:101" ht="16.5" customHeight="1">
      <c r="B473" s="122"/>
      <c r="E473" s="122"/>
      <c r="F473" s="194"/>
      <c r="G473" s="195"/>
      <c r="H473" s="195"/>
      <c r="I473" s="195"/>
      <c r="J473" s="196"/>
      <c r="K473" s="197"/>
      <c r="L473" s="198"/>
      <c r="M473" s="199"/>
      <c r="N473" s="200"/>
      <c r="O473" s="201"/>
      <c r="P473" s="201"/>
      <c r="Q473" s="201"/>
      <c r="R473" s="201"/>
      <c r="S473" s="201"/>
      <c r="T473" s="201"/>
      <c r="U473" s="201"/>
      <c r="V473" s="201"/>
      <c r="W473" s="201"/>
      <c r="X473" s="202"/>
      <c r="Y473" s="203"/>
      <c r="Z473" s="204"/>
      <c r="AA473" s="205"/>
      <c r="AB473" s="206"/>
      <c r="AC473" s="206"/>
      <c r="AD473" s="194"/>
      <c r="AE473" s="201"/>
      <c r="AF473" s="207"/>
      <c r="AG473" s="208"/>
      <c r="AH473" s="209"/>
      <c r="AI473" s="210"/>
      <c r="AJ473" s="197"/>
      <c r="AK473" s="201"/>
      <c r="AL473" s="196"/>
      <c r="AM473" s="201"/>
      <c r="AN473" s="201"/>
      <c r="AO473" s="201"/>
      <c r="AP473" s="211"/>
      <c r="AQ473" s="212"/>
      <c r="AR473" s="201"/>
      <c r="AS473" s="201"/>
      <c r="AT473" s="201"/>
      <c r="AU473" s="201"/>
      <c r="AV473" s="202"/>
      <c r="AW473" s="194"/>
      <c r="AX473" s="201"/>
      <c r="AY473" s="213"/>
      <c r="AZ473" s="214"/>
      <c r="BA473" s="215"/>
      <c r="BB473" s="216"/>
      <c r="BC473" s="217" t="str">
        <f t="shared" si="91"/>
        <v/>
      </c>
      <c r="BD473" s="218"/>
      <c r="BE473" s="219"/>
      <c r="BF473" s="220"/>
      <c r="BG473" s="219"/>
      <c r="BH473" s="219"/>
      <c r="BI473" s="220"/>
      <c r="BJ473" s="218"/>
      <c r="BK473" s="219"/>
      <c r="BL473" s="197"/>
      <c r="BM473" s="215"/>
      <c r="BN473" s="221"/>
      <c r="BO473" s="222" t="str">
        <f t="shared" si="92"/>
        <v/>
      </c>
      <c r="BP473" s="217" t="str">
        <f t="shared" si="93"/>
        <v/>
      </c>
      <c r="BQ473" s="215"/>
      <c r="BR473" s="224"/>
      <c r="BS473" s="225"/>
      <c r="BT473" s="223"/>
      <c r="BU473" s="215"/>
      <c r="BV473" s="226"/>
      <c r="BW473" s="222" t="str">
        <f t="shared" si="94"/>
        <v/>
      </c>
      <c r="BX473" s="223" t="str">
        <f t="shared" si="95"/>
        <v/>
      </c>
      <c r="BY473" s="215"/>
      <c r="BZ473" s="227"/>
      <c r="CA473" s="227"/>
      <c r="CB473" s="228"/>
      <c r="CC473" s="229"/>
      <c r="CD473" s="230" t="str">
        <f t="shared" si="96"/>
        <v/>
      </c>
      <c r="CE473" s="231" t="str">
        <f t="shared" si="97"/>
        <v/>
      </c>
      <c r="CF473" s="232" t="str">
        <f t="shared" si="98"/>
        <v/>
      </c>
      <c r="CG473" s="233" t="str">
        <f t="shared" si="99"/>
        <v/>
      </c>
      <c r="CH473" s="207" t="str">
        <f>IF(OR(G473="",CC473= ""), "", IF(ISERROR(SMALL((CJ473,CN473,CV473), 1)-CC473), "",  SMALL((CJ473,CN473,CV473), 1)-CC473))</f>
        <v/>
      </c>
      <c r="CI473" s="234"/>
      <c r="CJ473" s="235"/>
      <c r="CK473" s="236"/>
      <c r="CL473" s="222" t="str">
        <f t="shared" si="100"/>
        <v/>
      </c>
      <c r="CM473" s="237" t="str">
        <f>IF(OR(G473="", CJ473="",CK473=""), "", IF(ISERROR(SMALL((CN473,CV473), 1)-CK473), "",  SMALL((CN473,CV473), 1)-CK473))</f>
        <v/>
      </c>
      <c r="CN473" s="235"/>
      <c r="CO473" s="236"/>
      <c r="CP473" s="224" t="str">
        <f t="shared" si="101"/>
        <v/>
      </c>
      <c r="CQ473" s="235"/>
      <c r="CR473" s="236"/>
      <c r="CS473" s="222" t="str">
        <f t="shared" si="102"/>
        <v/>
      </c>
      <c r="CT473" s="237" t="str">
        <f t="shared" si="103"/>
        <v/>
      </c>
      <c r="CU473" s="238"/>
      <c r="CV473" s="239"/>
      <c r="CW473" s="240"/>
    </row>
    <row r="474" spans="2:101" ht="16.5" customHeight="1">
      <c r="B474" s="122"/>
      <c r="E474" s="122"/>
      <c r="F474" s="194"/>
      <c r="G474" s="195"/>
      <c r="H474" s="195"/>
      <c r="I474" s="195"/>
      <c r="J474" s="196"/>
      <c r="K474" s="197"/>
      <c r="L474" s="198"/>
      <c r="M474" s="199"/>
      <c r="N474" s="200"/>
      <c r="O474" s="201"/>
      <c r="P474" s="201"/>
      <c r="Q474" s="201"/>
      <c r="R474" s="201"/>
      <c r="S474" s="201"/>
      <c r="T474" s="201"/>
      <c r="U474" s="201"/>
      <c r="V474" s="201"/>
      <c r="W474" s="201"/>
      <c r="X474" s="202"/>
      <c r="Y474" s="203"/>
      <c r="Z474" s="204"/>
      <c r="AA474" s="205"/>
      <c r="AB474" s="206"/>
      <c r="AC474" s="206"/>
      <c r="AD474" s="194"/>
      <c r="AE474" s="201"/>
      <c r="AF474" s="207"/>
      <c r="AG474" s="208"/>
      <c r="AH474" s="209"/>
      <c r="AI474" s="210"/>
      <c r="AJ474" s="197"/>
      <c r="AK474" s="201"/>
      <c r="AL474" s="196"/>
      <c r="AM474" s="201"/>
      <c r="AN474" s="201"/>
      <c r="AO474" s="201"/>
      <c r="AP474" s="211"/>
      <c r="AQ474" s="212"/>
      <c r="AR474" s="201"/>
      <c r="AS474" s="201"/>
      <c r="AT474" s="201"/>
      <c r="AU474" s="201"/>
      <c r="AV474" s="202"/>
      <c r="AW474" s="194"/>
      <c r="AX474" s="201"/>
      <c r="AY474" s="213"/>
      <c r="AZ474" s="214"/>
      <c r="BA474" s="215"/>
      <c r="BB474" s="216"/>
      <c r="BC474" s="217" t="str">
        <f t="shared" si="91"/>
        <v/>
      </c>
      <c r="BD474" s="218"/>
      <c r="BE474" s="219"/>
      <c r="BF474" s="220"/>
      <c r="BG474" s="219"/>
      <c r="BH474" s="219"/>
      <c r="BI474" s="220"/>
      <c r="BJ474" s="218"/>
      <c r="BK474" s="219"/>
      <c r="BL474" s="197"/>
      <c r="BM474" s="215"/>
      <c r="BN474" s="221"/>
      <c r="BO474" s="222" t="str">
        <f t="shared" si="92"/>
        <v/>
      </c>
      <c r="BP474" s="217" t="str">
        <f t="shared" si="93"/>
        <v/>
      </c>
      <c r="BQ474" s="215"/>
      <c r="BR474" s="224"/>
      <c r="BS474" s="225"/>
      <c r="BT474" s="223"/>
      <c r="BU474" s="215"/>
      <c r="BV474" s="226"/>
      <c r="BW474" s="222" t="str">
        <f t="shared" si="94"/>
        <v/>
      </c>
      <c r="BX474" s="223" t="str">
        <f t="shared" si="95"/>
        <v/>
      </c>
      <c r="BY474" s="215"/>
      <c r="BZ474" s="227"/>
      <c r="CA474" s="227"/>
      <c r="CB474" s="228"/>
      <c r="CC474" s="229"/>
      <c r="CD474" s="230" t="str">
        <f t="shared" si="96"/>
        <v/>
      </c>
      <c r="CE474" s="231" t="str">
        <f t="shared" si="97"/>
        <v/>
      </c>
      <c r="CF474" s="232" t="str">
        <f t="shared" si="98"/>
        <v/>
      </c>
      <c r="CG474" s="233" t="str">
        <f t="shared" si="99"/>
        <v/>
      </c>
      <c r="CH474" s="207" t="str">
        <f>IF(OR(G474="",CC474= ""), "", IF(ISERROR(SMALL((CJ474,CN474,CV474), 1)-CC474), "",  SMALL((CJ474,CN474,CV474), 1)-CC474))</f>
        <v/>
      </c>
      <c r="CI474" s="234"/>
      <c r="CJ474" s="235"/>
      <c r="CK474" s="236"/>
      <c r="CL474" s="222" t="str">
        <f t="shared" si="100"/>
        <v/>
      </c>
      <c r="CM474" s="237" t="str">
        <f>IF(OR(G474="", CJ474="",CK474=""), "", IF(ISERROR(SMALL((CN474,CV474), 1)-CK474), "",  SMALL((CN474,CV474), 1)-CK474))</f>
        <v/>
      </c>
      <c r="CN474" s="235"/>
      <c r="CO474" s="236"/>
      <c r="CP474" s="224" t="str">
        <f t="shared" si="101"/>
        <v/>
      </c>
      <c r="CQ474" s="235"/>
      <c r="CR474" s="236"/>
      <c r="CS474" s="222" t="str">
        <f t="shared" si="102"/>
        <v/>
      </c>
      <c r="CT474" s="237" t="str">
        <f t="shared" si="103"/>
        <v/>
      </c>
      <c r="CU474" s="238"/>
      <c r="CV474" s="239"/>
      <c r="CW474" s="240"/>
    </row>
    <row r="475" spans="2:101" ht="16.5" customHeight="1">
      <c r="B475" s="122"/>
      <c r="E475" s="122"/>
      <c r="F475" s="194"/>
      <c r="G475" s="195"/>
      <c r="H475" s="195"/>
      <c r="I475" s="195"/>
      <c r="J475" s="196"/>
      <c r="K475" s="197"/>
      <c r="L475" s="198"/>
      <c r="M475" s="199"/>
      <c r="N475" s="200"/>
      <c r="O475" s="201"/>
      <c r="P475" s="201"/>
      <c r="Q475" s="201"/>
      <c r="R475" s="201"/>
      <c r="S475" s="201"/>
      <c r="T475" s="201"/>
      <c r="U475" s="201"/>
      <c r="V475" s="201"/>
      <c r="W475" s="201"/>
      <c r="X475" s="202"/>
      <c r="Y475" s="203"/>
      <c r="Z475" s="204"/>
      <c r="AA475" s="205"/>
      <c r="AB475" s="206"/>
      <c r="AC475" s="206"/>
      <c r="AD475" s="194"/>
      <c r="AE475" s="201"/>
      <c r="AF475" s="207"/>
      <c r="AG475" s="208"/>
      <c r="AH475" s="209"/>
      <c r="AI475" s="210"/>
      <c r="AJ475" s="197"/>
      <c r="AK475" s="201"/>
      <c r="AL475" s="196"/>
      <c r="AM475" s="201"/>
      <c r="AN475" s="201"/>
      <c r="AO475" s="201"/>
      <c r="AP475" s="211"/>
      <c r="AQ475" s="212"/>
      <c r="AR475" s="201"/>
      <c r="AS475" s="201"/>
      <c r="AT475" s="201"/>
      <c r="AU475" s="201"/>
      <c r="AV475" s="202"/>
      <c r="AW475" s="194"/>
      <c r="AX475" s="201"/>
      <c r="AY475" s="213"/>
      <c r="AZ475" s="214"/>
      <c r="BA475" s="215"/>
      <c r="BB475" s="216"/>
      <c r="BC475" s="217" t="str">
        <f t="shared" si="91"/>
        <v/>
      </c>
      <c r="BD475" s="218"/>
      <c r="BE475" s="219"/>
      <c r="BF475" s="220"/>
      <c r="BG475" s="219"/>
      <c r="BH475" s="219"/>
      <c r="BI475" s="220"/>
      <c r="BJ475" s="218"/>
      <c r="BK475" s="219"/>
      <c r="BL475" s="197"/>
      <c r="BM475" s="215"/>
      <c r="BN475" s="221"/>
      <c r="BO475" s="222" t="str">
        <f t="shared" si="92"/>
        <v/>
      </c>
      <c r="BP475" s="217" t="str">
        <f t="shared" si="93"/>
        <v/>
      </c>
      <c r="BQ475" s="215"/>
      <c r="BR475" s="224"/>
      <c r="BS475" s="225"/>
      <c r="BT475" s="223"/>
      <c r="BU475" s="215"/>
      <c r="BV475" s="226"/>
      <c r="BW475" s="222" t="str">
        <f t="shared" si="94"/>
        <v/>
      </c>
      <c r="BX475" s="223" t="str">
        <f t="shared" si="95"/>
        <v/>
      </c>
      <c r="BY475" s="215"/>
      <c r="BZ475" s="227"/>
      <c r="CA475" s="227"/>
      <c r="CB475" s="228"/>
      <c r="CC475" s="229"/>
      <c r="CD475" s="230" t="str">
        <f t="shared" si="96"/>
        <v/>
      </c>
      <c r="CE475" s="231" t="str">
        <f t="shared" si="97"/>
        <v/>
      </c>
      <c r="CF475" s="232" t="str">
        <f t="shared" si="98"/>
        <v/>
      </c>
      <c r="CG475" s="233" t="str">
        <f t="shared" si="99"/>
        <v/>
      </c>
      <c r="CH475" s="207" t="str">
        <f>IF(OR(G475="",CC475= ""), "", IF(ISERROR(SMALL((CJ475,CN475,CV475), 1)-CC475), "",  SMALL((CJ475,CN475,CV475), 1)-CC475))</f>
        <v/>
      </c>
      <c r="CI475" s="234"/>
      <c r="CJ475" s="235"/>
      <c r="CK475" s="236"/>
      <c r="CL475" s="222" t="str">
        <f t="shared" si="100"/>
        <v/>
      </c>
      <c r="CM475" s="237" t="str">
        <f>IF(OR(G475="", CJ475="",CK475=""), "", IF(ISERROR(SMALL((CN475,CV475), 1)-CK475), "",  SMALL((CN475,CV475), 1)-CK475))</f>
        <v/>
      </c>
      <c r="CN475" s="235"/>
      <c r="CO475" s="236"/>
      <c r="CP475" s="224" t="str">
        <f t="shared" si="101"/>
        <v/>
      </c>
      <c r="CQ475" s="235"/>
      <c r="CR475" s="236"/>
      <c r="CS475" s="222" t="str">
        <f t="shared" si="102"/>
        <v/>
      </c>
      <c r="CT475" s="237" t="str">
        <f t="shared" si="103"/>
        <v/>
      </c>
      <c r="CU475" s="238"/>
      <c r="CV475" s="239"/>
      <c r="CW475" s="240"/>
    </row>
    <row r="476" spans="2:101" ht="16.5" customHeight="1">
      <c r="B476" s="122"/>
      <c r="E476" s="122"/>
      <c r="F476" s="194"/>
      <c r="G476" s="195"/>
      <c r="H476" s="195"/>
      <c r="I476" s="195"/>
      <c r="J476" s="196"/>
      <c r="K476" s="197"/>
      <c r="L476" s="198"/>
      <c r="M476" s="199"/>
      <c r="N476" s="200"/>
      <c r="O476" s="201"/>
      <c r="P476" s="201"/>
      <c r="Q476" s="201"/>
      <c r="R476" s="201"/>
      <c r="S476" s="201"/>
      <c r="T476" s="201"/>
      <c r="U476" s="201"/>
      <c r="V476" s="201"/>
      <c r="W476" s="201"/>
      <c r="X476" s="202"/>
      <c r="Y476" s="203"/>
      <c r="Z476" s="204"/>
      <c r="AA476" s="205"/>
      <c r="AB476" s="206"/>
      <c r="AC476" s="206"/>
      <c r="AD476" s="194"/>
      <c r="AE476" s="201"/>
      <c r="AF476" s="207"/>
      <c r="AG476" s="208"/>
      <c r="AH476" s="209"/>
      <c r="AI476" s="210"/>
      <c r="AJ476" s="197"/>
      <c r="AK476" s="201"/>
      <c r="AL476" s="196"/>
      <c r="AM476" s="201"/>
      <c r="AN476" s="201"/>
      <c r="AO476" s="201"/>
      <c r="AP476" s="211"/>
      <c r="AQ476" s="212"/>
      <c r="AR476" s="201"/>
      <c r="AS476" s="201"/>
      <c r="AT476" s="201"/>
      <c r="AU476" s="201"/>
      <c r="AV476" s="202"/>
      <c r="AW476" s="194"/>
      <c r="AX476" s="201"/>
      <c r="AY476" s="213"/>
      <c r="AZ476" s="214"/>
      <c r="BA476" s="215"/>
      <c r="BB476" s="216"/>
      <c r="BC476" s="217" t="str">
        <f t="shared" si="91"/>
        <v/>
      </c>
      <c r="BD476" s="218"/>
      <c r="BE476" s="219"/>
      <c r="BF476" s="220"/>
      <c r="BG476" s="219"/>
      <c r="BH476" s="219"/>
      <c r="BI476" s="220"/>
      <c r="BJ476" s="218"/>
      <c r="BK476" s="219"/>
      <c r="BL476" s="197"/>
      <c r="BM476" s="215"/>
      <c r="BN476" s="221"/>
      <c r="BO476" s="222" t="str">
        <f t="shared" si="92"/>
        <v/>
      </c>
      <c r="BP476" s="217" t="str">
        <f t="shared" si="93"/>
        <v/>
      </c>
      <c r="BQ476" s="215"/>
      <c r="BR476" s="224"/>
      <c r="BS476" s="225"/>
      <c r="BT476" s="223"/>
      <c r="BU476" s="215"/>
      <c r="BV476" s="226"/>
      <c r="BW476" s="222" t="str">
        <f t="shared" si="94"/>
        <v/>
      </c>
      <c r="BX476" s="223" t="str">
        <f t="shared" si="95"/>
        <v/>
      </c>
      <c r="BY476" s="215"/>
      <c r="BZ476" s="227"/>
      <c r="CA476" s="227"/>
      <c r="CB476" s="228"/>
      <c r="CC476" s="229"/>
      <c r="CD476" s="230" t="str">
        <f t="shared" si="96"/>
        <v/>
      </c>
      <c r="CE476" s="231" t="str">
        <f t="shared" si="97"/>
        <v/>
      </c>
      <c r="CF476" s="232" t="str">
        <f t="shared" si="98"/>
        <v/>
      </c>
      <c r="CG476" s="233" t="str">
        <f t="shared" si="99"/>
        <v/>
      </c>
      <c r="CH476" s="207" t="str">
        <f>IF(OR(G476="",CC476= ""), "", IF(ISERROR(SMALL((CJ476,CN476,CV476), 1)-CC476), "",  SMALL((CJ476,CN476,CV476), 1)-CC476))</f>
        <v/>
      </c>
      <c r="CI476" s="234"/>
      <c r="CJ476" s="235"/>
      <c r="CK476" s="236"/>
      <c r="CL476" s="222" t="str">
        <f t="shared" si="100"/>
        <v/>
      </c>
      <c r="CM476" s="237" t="str">
        <f>IF(OR(G476="", CJ476="",CK476=""), "", IF(ISERROR(SMALL((CN476,CV476), 1)-CK476), "",  SMALL((CN476,CV476), 1)-CK476))</f>
        <v/>
      </c>
      <c r="CN476" s="235"/>
      <c r="CO476" s="236"/>
      <c r="CP476" s="224" t="str">
        <f t="shared" si="101"/>
        <v/>
      </c>
      <c r="CQ476" s="235"/>
      <c r="CR476" s="236"/>
      <c r="CS476" s="222" t="str">
        <f t="shared" si="102"/>
        <v/>
      </c>
      <c r="CT476" s="237" t="str">
        <f t="shared" si="103"/>
        <v/>
      </c>
      <c r="CU476" s="238"/>
      <c r="CV476" s="239"/>
      <c r="CW476" s="240"/>
    </row>
    <row r="477" spans="2:101" ht="16.5" customHeight="1">
      <c r="B477" s="122"/>
      <c r="E477" s="122"/>
      <c r="F477" s="194"/>
      <c r="G477" s="195"/>
      <c r="H477" s="195"/>
      <c r="I477" s="195"/>
      <c r="J477" s="196"/>
      <c r="K477" s="197"/>
      <c r="L477" s="198"/>
      <c r="M477" s="199"/>
      <c r="N477" s="200"/>
      <c r="O477" s="201"/>
      <c r="P477" s="201"/>
      <c r="Q477" s="201"/>
      <c r="R477" s="201"/>
      <c r="S477" s="201"/>
      <c r="T477" s="201"/>
      <c r="U477" s="201"/>
      <c r="V477" s="201"/>
      <c r="W477" s="201"/>
      <c r="X477" s="202"/>
      <c r="Y477" s="203"/>
      <c r="Z477" s="204"/>
      <c r="AA477" s="205"/>
      <c r="AB477" s="206"/>
      <c r="AC477" s="206"/>
      <c r="AD477" s="194"/>
      <c r="AE477" s="201"/>
      <c r="AF477" s="207"/>
      <c r="AG477" s="208"/>
      <c r="AH477" s="209"/>
      <c r="AI477" s="210"/>
      <c r="AJ477" s="197"/>
      <c r="AK477" s="201"/>
      <c r="AL477" s="196"/>
      <c r="AM477" s="201"/>
      <c r="AN477" s="201"/>
      <c r="AO477" s="201"/>
      <c r="AP477" s="211"/>
      <c r="AQ477" s="212"/>
      <c r="AR477" s="201"/>
      <c r="AS477" s="201"/>
      <c r="AT477" s="201"/>
      <c r="AU477" s="201"/>
      <c r="AV477" s="202"/>
      <c r="AW477" s="194"/>
      <c r="AX477" s="201"/>
      <c r="AY477" s="213"/>
      <c r="AZ477" s="214"/>
      <c r="BA477" s="215"/>
      <c r="BB477" s="216"/>
      <c r="BC477" s="217" t="str">
        <f t="shared" si="91"/>
        <v/>
      </c>
      <c r="BD477" s="218"/>
      <c r="BE477" s="219"/>
      <c r="BF477" s="220"/>
      <c r="BG477" s="219"/>
      <c r="BH477" s="219"/>
      <c r="BI477" s="220"/>
      <c r="BJ477" s="218"/>
      <c r="BK477" s="219"/>
      <c r="BL477" s="197"/>
      <c r="BM477" s="215"/>
      <c r="BN477" s="221"/>
      <c r="BO477" s="222" t="str">
        <f t="shared" si="92"/>
        <v/>
      </c>
      <c r="BP477" s="217" t="str">
        <f t="shared" si="93"/>
        <v/>
      </c>
      <c r="BQ477" s="215"/>
      <c r="BR477" s="224"/>
      <c r="BS477" s="225"/>
      <c r="BT477" s="223"/>
      <c r="BU477" s="215"/>
      <c r="BV477" s="226"/>
      <c r="BW477" s="222" t="str">
        <f t="shared" si="94"/>
        <v/>
      </c>
      <c r="BX477" s="223" t="str">
        <f t="shared" si="95"/>
        <v/>
      </c>
      <c r="BY477" s="215"/>
      <c r="BZ477" s="227"/>
      <c r="CA477" s="227"/>
      <c r="CB477" s="228"/>
      <c r="CC477" s="229"/>
      <c r="CD477" s="230" t="str">
        <f t="shared" si="96"/>
        <v/>
      </c>
      <c r="CE477" s="231" t="str">
        <f t="shared" si="97"/>
        <v/>
      </c>
      <c r="CF477" s="232" t="str">
        <f t="shared" si="98"/>
        <v/>
      </c>
      <c r="CG477" s="233" t="str">
        <f t="shared" si="99"/>
        <v/>
      </c>
      <c r="CH477" s="207" t="str">
        <f>IF(OR(G477="",CC477= ""), "", IF(ISERROR(SMALL((CJ477,CN477,CV477), 1)-CC477), "",  SMALL((CJ477,CN477,CV477), 1)-CC477))</f>
        <v/>
      </c>
      <c r="CI477" s="234"/>
      <c r="CJ477" s="235"/>
      <c r="CK477" s="236"/>
      <c r="CL477" s="222" t="str">
        <f t="shared" si="100"/>
        <v/>
      </c>
      <c r="CM477" s="237" t="str">
        <f>IF(OR(G477="", CJ477="",CK477=""), "", IF(ISERROR(SMALL((CN477,CV477), 1)-CK477), "",  SMALL((CN477,CV477), 1)-CK477))</f>
        <v/>
      </c>
      <c r="CN477" s="235"/>
      <c r="CO477" s="236"/>
      <c r="CP477" s="224" t="str">
        <f t="shared" si="101"/>
        <v/>
      </c>
      <c r="CQ477" s="235"/>
      <c r="CR477" s="236"/>
      <c r="CS477" s="222" t="str">
        <f t="shared" si="102"/>
        <v/>
      </c>
      <c r="CT477" s="237" t="str">
        <f t="shared" si="103"/>
        <v/>
      </c>
      <c r="CU477" s="238"/>
      <c r="CV477" s="239"/>
      <c r="CW477" s="240"/>
    </row>
    <row r="478" spans="2:101" ht="16.5" customHeight="1">
      <c r="B478" s="122"/>
      <c r="E478" s="122"/>
      <c r="F478" s="194"/>
      <c r="G478" s="195"/>
      <c r="H478" s="195"/>
      <c r="I478" s="195"/>
      <c r="J478" s="196"/>
      <c r="K478" s="197"/>
      <c r="L478" s="198"/>
      <c r="M478" s="199"/>
      <c r="N478" s="200"/>
      <c r="O478" s="201"/>
      <c r="P478" s="201"/>
      <c r="Q478" s="201"/>
      <c r="R478" s="201"/>
      <c r="S478" s="201"/>
      <c r="T478" s="201"/>
      <c r="U478" s="201"/>
      <c r="V478" s="201"/>
      <c r="W478" s="201"/>
      <c r="X478" s="202"/>
      <c r="Y478" s="203"/>
      <c r="Z478" s="204"/>
      <c r="AA478" s="205"/>
      <c r="AB478" s="206"/>
      <c r="AC478" s="206"/>
      <c r="AD478" s="194"/>
      <c r="AE478" s="201"/>
      <c r="AF478" s="207"/>
      <c r="AG478" s="208"/>
      <c r="AH478" s="209"/>
      <c r="AI478" s="210"/>
      <c r="AJ478" s="197"/>
      <c r="AK478" s="201"/>
      <c r="AL478" s="196"/>
      <c r="AM478" s="201"/>
      <c r="AN478" s="201"/>
      <c r="AO478" s="201"/>
      <c r="AP478" s="211"/>
      <c r="AQ478" s="212"/>
      <c r="AR478" s="201"/>
      <c r="AS478" s="201"/>
      <c r="AT478" s="201"/>
      <c r="AU478" s="201"/>
      <c r="AV478" s="202"/>
      <c r="AW478" s="194"/>
      <c r="AX478" s="201"/>
      <c r="AY478" s="213"/>
      <c r="AZ478" s="214"/>
      <c r="BA478" s="215"/>
      <c r="BB478" s="216"/>
      <c r="BC478" s="217" t="str">
        <f t="shared" si="91"/>
        <v/>
      </c>
      <c r="BD478" s="218"/>
      <c r="BE478" s="219"/>
      <c r="BF478" s="220"/>
      <c r="BG478" s="219"/>
      <c r="BH478" s="219"/>
      <c r="BI478" s="220"/>
      <c r="BJ478" s="218"/>
      <c r="BK478" s="219"/>
      <c r="BL478" s="197"/>
      <c r="BM478" s="215"/>
      <c r="BN478" s="221"/>
      <c r="BO478" s="222" t="str">
        <f t="shared" si="92"/>
        <v/>
      </c>
      <c r="BP478" s="217" t="str">
        <f t="shared" si="93"/>
        <v/>
      </c>
      <c r="BQ478" s="215"/>
      <c r="BR478" s="224"/>
      <c r="BS478" s="225"/>
      <c r="BT478" s="223"/>
      <c r="BU478" s="215"/>
      <c r="BV478" s="226"/>
      <c r="BW478" s="222" t="str">
        <f t="shared" si="94"/>
        <v/>
      </c>
      <c r="BX478" s="223" t="str">
        <f t="shared" si="95"/>
        <v/>
      </c>
      <c r="BY478" s="215"/>
      <c r="BZ478" s="227"/>
      <c r="CA478" s="227"/>
      <c r="CB478" s="228"/>
      <c r="CC478" s="229"/>
      <c r="CD478" s="230" t="str">
        <f t="shared" si="96"/>
        <v/>
      </c>
      <c r="CE478" s="231" t="str">
        <f t="shared" si="97"/>
        <v/>
      </c>
      <c r="CF478" s="232" t="str">
        <f t="shared" si="98"/>
        <v/>
      </c>
      <c r="CG478" s="233" t="str">
        <f t="shared" si="99"/>
        <v/>
      </c>
      <c r="CH478" s="207" t="str">
        <f>IF(OR(G478="",CC478= ""), "", IF(ISERROR(SMALL((CJ478,CN478,CV478), 1)-CC478), "",  SMALL((CJ478,CN478,CV478), 1)-CC478))</f>
        <v/>
      </c>
      <c r="CI478" s="234"/>
      <c r="CJ478" s="235"/>
      <c r="CK478" s="236"/>
      <c r="CL478" s="222" t="str">
        <f t="shared" si="100"/>
        <v/>
      </c>
      <c r="CM478" s="237" t="str">
        <f>IF(OR(G478="", CJ478="",CK478=""), "", IF(ISERROR(SMALL((CN478,CV478), 1)-CK478), "",  SMALL((CN478,CV478), 1)-CK478))</f>
        <v/>
      </c>
      <c r="CN478" s="235"/>
      <c r="CO478" s="236"/>
      <c r="CP478" s="224" t="str">
        <f t="shared" si="101"/>
        <v/>
      </c>
      <c r="CQ478" s="235"/>
      <c r="CR478" s="236"/>
      <c r="CS478" s="222" t="str">
        <f t="shared" si="102"/>
        <v/>
      </c>
      <c r="CT478" s="237" t="str">
        <f t="shared" si="103"/>
        <v/>
      </c>
      <c r="CU478" s="238"/>
      <c r="CV478" s="239"/>
      <c r="CW478" s="240"/>
    </row>
    <row r="479" spans="2:101" ht="16.5" customHeight="1">
      <c r="B479" s="122"/>
      <c r="E479" s="122"/>
      <c r="F479" s="194"/>
      <c r="G479" s="195"/>
      <c r="H479" s="195"/>
      <c r="I479" s="195"/>
      <c r="J479" s="196"/>
      <c r="K479" s="197"/>
      <c r="L479" s="198"/>
      <c r="M479" s="199"/>
      <c r="N479" s="200"/>
      <c r="O479" s="201"/>
      <c r="P479" s="201"/>
      <c r="Q479" s="201"/>
      <c r="R479" s="201"/>
      <c r="S479" s="201"/>
      <c r="T479" s="201"/>
      <c r="U479" s="201"/>
      <c r="V479" s="201"/>
      <c r="W479" s="201"/>
      <c r="X479" s="202"/>
      <c r="Y479" s="203"/>
      <c r="Z479" s="204"/>
      <c r="AA479" s="205"/>
      <c r="AB479" s="206"/>
      <c r="AC479" s="206"/>
      <c r="AD479" s="194"/>
      <c r="AE479" s="201"/>
      <c r="AF479" s="207"/>
      <c r="AG479" s="208"/>
      <c r="AH479" s="209"/>
      <c r="AI479" s="210"/>
      <c r="AJ479" s="197"/>
      <c r="AK479" s="201"/>
      <c r="AL479" s="196"/>
      <c r="AM479" s="201"/>
      <c r="AN479" s="201"/>
      <c r="AO479" s="201"/>
      <c r="AP479" s="211"/>
      <c r="AQ479" s="212"/>
      <c r="AR479" s="201"/>
      <c r="AS479" s="201"/>
      <c r="AT479" s="201"/>
      <c r="AU479" s="201"/>
      <c r="AV479" s="202"/>
      <c r="AW479" s="194"/>
      <c r="AX479" s="201"/>
      <c r="AY479" s="213"/>
      <c r="AZ479" s="214"/>
      <c r="BA479" s="215"/>
      <c r="BB479" s="216"/>
      <c r="BC479" s="217" t="str">
        <f t="shared" si="91"/>
        <v/>
      </c>
      <c r="BD479" s="218"/>
      <c r="BE479" s="219"/>
      <c r="BF479" s="220"/>
      <c r="BG479" s="219"/>
      <c r="BH479" s="219"/>
      <c r="BI479" s="220"/>
      <c r="BJ479" s="218"/>
      <c r="BK479" s="219"/>
      <c r="BL479" s="197"/>
      <c r="BM479" s="215"/>
      <c r="BN479" s="221"/>
      <c r="BO479" s="222" t="str">
        <f t="shared" si="92"/>
        <v/>
      </c>
      <c r="BP479" s="217" t="str">
        <f t="shared" si="93"/>
        <v/>
      </c>
      <c r="BQ479" s="215"/>
      <c r="BR479" s="224"/>
      <c r="BS479" s="225"/>
      <c r="BT479" s="223"/>
      <c r="BU479" s="215"/>
      <c r="BV479" s="226"/>
      <c r="BW479" s="222" t="str">
        <f t="shared" si="94"/>
        <v/>
      </c>
      <c r="BX479" s="223" t="str">
        <f t="shared" si="95"/>
        <v/>
      </c>
      <c r="BY479" s="215"/>
      <c r="BZ479" s="227"/>
      <c r="CA479" s="227"/>
      <c r="CB479" s="228"/>
      <c r="CC479" s="229"/>
      <c r="CD479" s="230" t="str">
        <f t="shared" si="96"/>
        <v/>
      </c>
      <c r="CE479" s="231" t="str">
        <f t="shared" si="97"/>
        <v/>
      </c>
      <c r="CF479" s="232" t="str">
        <f t="shared" si="98"/>
        <v/>
      </c>
      <c r="CG479" s="233" t="str">
        <f t="shared" si="99"/>
        <v/>
      </c>
      <c r="CH479" s="207" t="str">
        <f>IF(OR(G479="",CC479= ""), "", IF(ISERROR(SMALL((CJ479,CN479,CV479), 1)-CC479), "",  SMALL((CJ479,CN479,CV479), 1)-CC479))</f>
        <v/>
      </c>
      <c r="CI479" s="234"/>
      <c r="CJ479" s="235"/>
      <c r="CK479" s="236"/>
      <c r="CL479" s="222" t="str">
        <f t="shared" si="100"/>
        <v/>
      </c>
      <c r="CM479" s="237" t="str">
        <f>IF(OR(G479="", CJ479="",CK479=""), "", IF(ISERROR(SMALL((CN479,CV479), 1)-CK479), "",  SMALL((CN479,CV479), 1)-CK479))</f>
        <v/>
      </c>
      <c r="CN479" s="235"/>
      <c r="CO479" s="236"/>
      <c r="CP479" s="224" t="str">
        <f t="shared" si="101"/>
        <v/>
      </c>
      <c r="CQ479" s="235"/>
      <c r="CR479" s="236"/>
      <c r="CS479" s="222" t="str">
        <f t="shared" si="102"/>
        <v/>
      </c>
      <c r="CT479" s="237" t="str">
        <f t="shared" si="103"/>
        <v/>
      </c>
      <c r="CU479" s="238"/>
      <c r="CV479" s="239"/>
      <c r="CW479" s="240"/>
    </row>
    <row r="480" spans="2:101" ht="16.5" customHeight="1">
      <c r="B480" s="122"/>
      <c r="E480" s="122"/>
      <c r="F480" s="194"/>
      <c r="G480" s="195"/>
      <c r="H480" s="195"/>
      <c r="I480" s="195"/>
      <c r="J480" s="196"/>
      <c r="K480" s="197"/>
      <c r="L480" s="198"/>
      <c r="M480" s="199"/>
      <c r="N480" s="200"/>
      <c r="O480" s="201"/>
      <c r="P480" s="201"/>
      <c r="Q480" s="201"/>
      <c r="R480" s="201"/>
      <c r="S480" s="201"/>
      <c r="T480" s="201"/>
      <c r="U480" s="201"/>
      <c r="V480" s="201"/>
      <c r="W480" s="201"/>
      <c r="X480" s="202"/>
      <c r="Y480" s="203"/>
      <c r="Z480" s="204"/>
      <c r="AA480" s="205"/>
      <c r="AB480" s="206"/>
      <c r="AC480" s="206"/>
      <c r="AD480" s="194"/>
      <c r="AE480" s="201"/>
      <c r="AF480" s="207"/>
      <c r="AG480" s="208"/>
      <c r="AH480" s="209"/>
      <c r="AI480" s="210"/>
      <c r="AJ480" s="197"/>
      <c r="AK480" s="201"/>
      <c r="AL480" s="196"/>
      <c r="AM480" s="201"/>
      <c r="AN480" s="201"/>
      <c r="AO480" s="201"/>
      <c r="AP480" s="211"/>
      <c r="AQ480" s="212"/>
      <c r="AR480" s="201"/>
      <c r="AS480" s="201"/>
      <c r="AT480" s="201"/>
      <c r="AU480" s="201"/>
      <c r="AV480" s="202"/>
      <c r="AW480" s="194"/>
      <c r="AX480" s="201"/>
      <c r="AY480" s="213"/>
      <c r="AZ480" s="214"/>
      <c r="BA480" s="215"/>
      <c r="BB480" s="216"/>
      <c r="BC480" s="217" t="str">
        <f t="shared" si="91"/>
        <v/>
      </c>
      <c r="BD480" s="218"/>
      <c r="BE480" s="219"/>
      <c r="BF480" s="220"/>
      <c r="BG480" s="219"/>
      <c r="BH480" s="219"/>
      <c r="BI480" s="220"/>
      <c r="BJ480" s="218"/>
      <c r="BK480" s="219"/>
      <c r="BL480" s="197"/>
      <c r="BM480" s="215"/>
      <c r="BN480" s="221"/>
      <c r="BO480" s="222" t="str">
        <f t="shared" si="92"/>
        <v/>
      </c>
      <c r="BP480" s="217" t="str">
        <f t="shared" si="93"/>
        <v/>
      </c>
      <c r="BQ480" s="215"/>
      <c r="BR480" s="224"/>
      <c r="BS480" s="225"/>
      <c r="BT480" s="223"/>
      <c r="BU480" s="215"/>
      <c r="BV480" s="226"/>
      <c r="BW480" s="222" t="str">
        <f t="shared" si="94"/>
        <v/>
      </c>
      <c r="BX480" s="223" t="str">
        <f t="shared" si="95"/>
        <v/>
      </c>
      <c r="BY480" s="215"/>
      <c r="BZ480" s="227"/>
      <c r="CA480" s="227"/>
      <c r="CB480" s="228"/>
      <c r="CC480" s="229"/>
      <c r="CD480" s="230" t="str">
        <f t="shared" si="96"/>
        <v/>
      </c>
      <c r="CE480" s="231" t="str">
        <f t="shared" si="97"/>
        <v/>
      </c>
      <c r="CF480" s="232" t="str">
        <f t="shared" si="98"/>
        <v/>
      </c>
      <c r="CG480" s="233" t="str">
        <f t="shared" si="99"/>
        <v/>
      </c>
      <c r="CH480" s="207" t="str">
        <f>IF(OR(G480="",CC480= ""), "", IF(ISERROR(SMALL((CJ480,CN480,CV480), 1)-CC480), "",  SMALL((CJ480,CN480,CV480), 1)-CC480))</f>
        <v/>
      </c>
      <c r="CI480" s="234"/>
      <c r="CJ480" s="235"/>
      <c r="CK480" s="236"/>
      <c r="CL480" s="222" t="str">
        <f t="shared" si="100"/>
        <v/>
      </c>
      <c r="CM480" s="237" t="str">
        <f>IF(OR(G480="", CJ480="",CK480=""), "", IF(ISERROR(SMALL((CN480,CV480), 1)-CK480), "",  SMALL((CN480,CV480), 1)-CK480))</f>
        <v/>
      </c>
      <c r="CN480" s="235"/>
      <c r="CO480" s="236"/>
      <c r="CP480" s="224" t="str">
        <f t="shared" si="101"/>
        <v/>
      </c>
      <c r="CQ480" s="235"/>
      <c r="CR480" s="236"/>
      <c r="CS480" s="222" t="str">
        <f t="shared" si="102"/>
        <v/>
      </c>
      <c r="CT480" s="237" t="str">
        <f t="shared" si="103"/>
        <v/>
      </c>
      <c r="CU480" s="238"/>
      <c r="CV480" s="239"/>
      <c r="CW480" s="240"/>
    </row>
    <row r="481" spans="2:101" ht="16.5" customHeight="1">
      <c r="B481" s="122"/>
      <c r="E481" s="122"/>
      <c r="F481" s="194"/>
      <c r="G481" s="195"/>
      <c r="H481" s="195"/>
      <c r="I481" s="195"/>
      <c r="J481" s="196"/>
      <c r="K481" s="197"/>
      <c r="L481" s="198"/>
      <c r="M481" s="199"/>
      <c r="N481" s="200"/>
      <c r="O481" s="201"/>
      <c r="P481" s="201"/>
      <c r="Q481" s="201"/>
      <c r="R481" s="201"/>
      <c r="S481" s="201"/>
      <c r="T481" s="201"/>
      <c r="U481" s="201"/>
      <c r="V481" s="201"/>
      <c r="W481" s="201"/>
      <c r="X481" s="202"/>
      <c r="Y481" s="203"/>
      <c r="Z481" s="204"/>
      <c r="AA481" s="205"/>
      <c r="AB481" s="206"/>
      <c r="AC481" s="206"/>
      <c r="AD481" s="194"/>
      <c r="AE481" s="201"/>
      <c r="AF481" s="207"/>
      <c r="AG481" s="208"/>
      <c r="AH481" s="209"/>
      <c r="AI481" s="210"/>
      <c r="AJ481" s="197"/>
      <c r="AK481" s="201"/>
      <c r="AL481" s="196"/>
      <c r="AM481" s="201"/>
      <c r="AN481" s="201"/>
      <c r="AO481" s="201"/>
      <c r="AP481" s="211"/>
      <c r="AQ481" s="212"/>
      <c r="AR481" s="201"/>
      <c r="AS481" s="201"/>
      <c r="AT481" s="201"/>
      <c r="AU481" s="201"/>
      <c r="AV481" s="202"/>
      <c r="AW481" s="194"/>
      <c r="AX481" s="201"/>
      <c r="AY481" s="213"/>
      <c r="AZ481" s="214"/>
      <c r="BA481" s="215"/>
      <c r="BB481" s="216"/>
      <c r="BC481" s="217" t="str">
        <f t="shared" si="91"/>
        <v/>
      </c>
      <c r="BD481" s="218"/>
      <c r="BE481" s="219"/>
      <c r="BF481" s="220"/>
      <c r="BG481" s="219"/>
      <c r="BH481" s="219"/>
      <c r="BI481" s="220"/>
      <c r="BJ481" s="218"/>
      <c r="BK481" s="219"/>
      <c r="BL481" s="197"/>
      <c r="BM481" s="215"/>
      <c r="BN481" s="221"/>
      <c r="BO481" s="222" t="str">
        <f t="shared" si="92"/>
        <v/>
      </c>
      <c r="BP481" s="217" t="str">
        <f t="shared" si="93"/>
        <v/>
      </c>
      <c r="BQ481" s="215"/>
      <c r="BR481" s="224"/>
      <c r="BS481" s="225"/>
      <c r="BT481" s="223"/>
      <c r="BU481" s="215"/>
      <c r="BV481" s="226"/>
      <c r="BW481" s="222" t="str">
        <f t="shared" si="94"/>
        <v/>
      </c>
      <c r="BX481" s="223" t="str">
        <f t="shared" si="95"/>
        <v/>
      </c>
      <c r="BY481" s="215"/>
      <c r="BZ481" s="227"/>
      <c r="CA481" s="227"/>
      <c r="CB481" s="228"/>
      <c r="CC481" s="229"/>
      <c r="CD481" s="230" t="str">
        <f t="shared" si="96"/>
        <v/>
      </c>
      <c r="CE481" s="231" t="str">
        <f t="shared" si="97"/>
        <v/>
      </c>
      <c r="CF481" s="232" t="str">
        <f t="shared" si="98"/>
        <v/>
      </c>
      <c r="CG481" s="233" t="str">
        <f t="shared" si="99"/>
        <v/>
      </c>
      <c r="CH481" s="207" t="str">
        <f>IF(OR(G481="",CC481= ""), "", IF(ISERROR(SMALL((CJ481,CN481,CV481), 1)-CC481), "",  SMALL((CJ481,CN481,CV481), 1)-CC481))</f>
        <v/>
      </c>
      <c r="CI481" s="234"/>
      <c r="CJ481" s="235"/>
      <c r="CK481" s="236"/>
      <c r="CL481" s="222" t="str">
        <f t="shared" si="100"/>
        <v/>
      </c>
      <c r="CM481" s="237" t="str">
        <f>IF(OR(G481="", CJ481="",CK481=""), "", IF(ISERROR(SMALL((CN481,CV481), 1)-CK481), "",  SMALL((CN481,CV481), 1)-CK481))</f>
        <v/>
      </c>
      <c r="CN481" s="235"/>
      <c r="CO481" s="236"/>
      <c r="CP481" s="224" t="str">
        <f t="shared" si="101"/>
        <v/>
      </c>
      <c r="CQ481" s="235"/>
      <c r="CR481" s="236"/>
      <c r="CS481" s="222" t="str">
        <f t="shared" si="102"/>
        <v/>
      </c>
      <c r="CT481" s="237" t="str">
        <f t="shared" si="103"/>
        <v/>
      </c>
      <c r="CU481" s="238"/>
      <c r="CV481" s="239"/>
      <c r="CW481" s="240"/>
    </row>
    <row r="482" spans="2:101" ht="16.5" customHeight="1">
      <c r="B482" s="122"/>
      <c r="E482" s="122"/>
      <c r="F482" s="194"/>
      <c r="G482" s="195"/>
      <c r="H482" s="195"/>
      <c r="I482" s="195"/>
      <c r="J482" s="196"/>
      <c r="K482" s="197"/>
      <c r="L482" s="198"/>
      <c r="M482" s="199"/>
      <c r="N482" s="200"/>
      <c r="O482" s="201"/>
      <c r="P482" s="201"/>
      <c r="Q482" s="201"/>
      <c r="R482" s="201"/>
      <c r="S482" s="201"/>
      <c r="T482" s="201"/>
      <c r="U482" s="201"/>
      <c r="V482" s="201"/>
      <c r="W482" s="201"/>
      <c r="X482" s="202"/>
      <c r="Y482" s="203"/>
      <c r="Z482" s="204"/>
      <c r="AA482" s="205"/>
      <c r="AB482" s="206"/>
      <c r="AC482" s="206"/>
      <c r="AD482" s="194"/>
      <c r="AE482" s="201"/>
      <c r="AF482" s="207"/>
      <c r="AG482" s="208"/>
      <c r="AH482" s="209"/>
      <c r="AI482" s="210"/>
      <c r="AJ482" s="197"/>
      <c r="AK482" s="201"/>
      <c r="AL482" s="196"/>
      <c r="AM482" s="201"/>
      <c r="AN482" s="201"/>
      <c r="AO482" s="201"/>
      <c r="AP482" s="211"/>
      <c r="AQ482" s="212"/>
      <c r="AR482" s="201"/>
      <c r="AS482" s="201"/>
      <c r="AT482" s="201"/>
      <c r="AU482" s="201"/>
      <c r="AV482" s="202"/>
      <c r="AW482" s="194"/>
      <c r="AX482" s="201"/>
      <c r="AY482" s="213"/>
      <c r="AZ482" s="214"/>
      <c r="BA482" s="215"/>
      <c r="BB482" s="216"/>
      <c r="BC482" s="217" t="str">
        <f t="shared" si="91"/>
        <v/>
      </c>
      <c r="BD482" s="218"/>
      <c r="BE482" s="219"/>
      <c r="BF482" s="220"/>
      <c r="BG482" s="219"/>
      <c r="BH482" s="219"/>
      <c r="BI482" s="220"/>
      <c r="BJ482" s="218"/>
      <c r="BK482" s="219"/>
      <c r="BL482" s="197"/>
      <c r="BM482" s="215"/>
      <c r="BN482" s="221"/>
      <c r="BO482" s="222" t="str">
        <f t="shared" si="92"/>
        <v/>
      </c>
      <c r="BP482" s="217" t="str">
        <f t="shared" si="93"/>
        <v/>
      </c>
      <c r="BQ482" s="215"/>
      <c r="BR482" s="224"/>
      <c r="BS482" s="225"/>
      <c r="BT482" s="223"/>
      <c r="BU482" s="215"/>
      <c r="BV482" s="226"/>
      <c r="BW482" s="222" t="str">
        <f t="shared" si="94"/>
        <v/>
      </c>
      <c r="BX482" s="223" t="str">
        <f t="shared" si="95"/>
        <v/>
      </c>
      <c r="BY482" s="215"/>
      <c r="BZ482" s="227"/>
      <c r="CA482" s="227"/>
      <c r="CB482" s="228"/>
      <c r="CC482" s="229"/>
      <c r="CD482" s="230" t="str">
        <f t="shared" si="96"/>
        <v/>
      </c>
      <c r="CE482" s="231" t="str">
        <f t="shared" si="97"/>
        <v/>
      </c>
      <c r="CF482" s="232" t="str">
        <f t="shared" si="98"/>
        <v/>
      </c>
      <c r="CG482" s="233" t="str">
        <f t="shared" si="99"/>
        <v/>
      </c>
      <c r="CH482" s="207" t="str">
        <f>IF(OR(G482="",CC482= ""), "", IF(ISERROR(SMALL((CJ482,CN482,CV482), 1)-CC482), "",  SMALL((CJ482,CN482,CV482), 1)-CC482))</f>
        <v/>
      </c>
      <c r="CI482" s="234"/>
      <c r="CJ482" s="235"/>
      <c r="CK482" s="236"/>
      <c r="CL482" s="222" t="str">
        <f t="shared" si="100"/>
        <v/>
      </c>
      <c r="CM482" s="237" t="str">
        <f>IF(OR(G482="", CJ482="",CK482=""), "", IF(ISERROR(SMALL((CN482,CV482), 1)-CK482), "",  SMALL((CN482,CV482), 1)-CK482))</f>
        <v/>
      </c>
      <c r="CN482" s="235"/>
      <c r="CO482" s="236"/>
      <c r="CP482" s="224" t="str">
        <f t="shared" si="101"/>
        <v/>
      </c>
      <c r="CQ482" s="235"/>
      <c r="CR482" s="236"/>
      <c r="CS482" s="222" t="str">
        <f t="shared" si="102"/>
        <v/>
      </c>
      <c r="CT482" s="237" t="str">
        <f t="shared" si="103"/>
        <v/>
      </c>
      <c r="CU482" s="238"/>
      <c r="CV482" s="239"/>
      <c r="CW482" s="240"/>
    </row>
    <row r="483" spans="2:101" ht="16.5" customHeight="1">
      <c r="B483" s="122"/>
      <c r="E483" s="122"/>
      <c r="F483" s="194"/>
      <c r="G483" s="195"/>
      <c r="H483" s="195"/>
      <c r="I483" s="195"/>
      <c r="J483" s="196"/>
      <c r="K483" s="197"/>
      <c r="L483" s="198"/>
      <c r="M483" s="199"/>
      <c r="N483" s="200"/>
      <c r="O483" s="201"/>
      <c r="P483" s="201"/>
      <c r="Q483" s="201"/>
      <c r="R483" s="201"/>
      <c r="S483" s="201"/>
      <c r="T483" s="201"/>
      <c r="U483" s="201"/>
      <c r="V483" s="201"/>
      <c r="W483" s="201"/>
      <c r="X483" s="202"/>
      <c r="Y483" s="203"/>
      <c r="Z483" s="204"/>
      <c r="AA483" s="205"/>
      <c r="AB483" s="206"/>
      <c r="AC483" s="206"/>
      <c r="AD483" s="194"/>
      <c r="AE483" s="201"/>
      <c r="AF483" s="207"/>
      <c r="AG483" s="208"/>
      <c r="AH483" s="209"/>
      <c r="AI483" s="210"/>
      <c r="AJ483" s="197"/>
      <c r="AK483" s="201"/>
      <c r="AL483" s="196"/>
      <c r="AM483" s="201"/>
      <c r="AN483" s="201"/>
      <c r="AO483" s="201"/>
      <c r="AP483" s="211"/>
      <c r="AQ483" s="212"/>
      <c r="AR483" s="201"/>
      <c r="AS483" s="201"/>
      <c r="AT483" s="201"/>
      <c r="AU483" s="201"/>
      <c r="AV483" s="202"/>
      <c r="AW483" s="194"/>
      <c r="AX483" s="201"/>
      <c r="AY483" s="213"/>
      <c r="AZ483" s="214"/>
      <c r="BA483" s="215"/>
      <c r="BB483" s="216"/>
      <c r="BC483" s="217" t="str">
        <f t="shared" si="91"/>
        <v/>
      </c>
      <c r="BD483" s="218"/>
      <c r="BE483" s="219"/>
      <c r="BF483" s="220"/>
      <c r="BG483" s="219"/>
      <c r="BH483" s="219"/>
      <c r="BI483" s="220"/>
      <c r="BJ483" s="218"/>
      <c r="BK483" s="219"/>
      <c r="BL483" s="197"/>
      <c r="BM483" s="215"/>
      <c r="BN483" s="221"/>
      <c r="BO483" s="222" t="str">
        <f t="shared" si="92"/>
        <v/>
      </c>
      <c r="BP483" s="217" t="str">
        <f t="shared" si="93"/>
        <v/>
      </c>
      <c r="BQ483" s="215"/>
      <c r="BR483" s="224"/>
      <c r="BS483" s="225"/>
      <c r="BT483" s="223"/>
      <c r="BU483" s="215"/>
      <c r="BV483" s="226"/>
      <c r="BW483" s="222" t="str">
        <f t="shared" si="94"/>
        <v/>
      </c>
      <c r="BX483" s="223" t="str">
        <f t="shared" si="95"/>
        <v/>
      </c>
      <c r="BY483" s="215"/>
      <c r="BZ483" s="227"/>
      <c r="CA483" s="227"/>
      <c r="CB483" s="228"/>
      <c r="CC483" s="229"/>
      <c r="CD483" s="230" t="str">
        <f t="shared" si="96"/>
        <v/>
      </c>
      <c r="CE483" s="231" t="str">
        <f t="shared" si="97"/>
        <v/>
      </c>
      <c r="CF483" s="232" t="str">
        <f t="shared" si="98"/>
        <v/>
      </c>
      <c r="CG483" s="233" t="str">
        <f t="shared" si="99"/>
        <v/>
      </c>
      <c r="CH483" s="207" t="str">
        <f>IF(OR(G483="",CC483= ""), "", IF(ISERROR(SMALL((CJ483,CN483,CV483), 1)-CC483), "",  SMALL((CJ483,CN483,CV483), 1)-CC483))</f>
        <v/>
      </c>
      <c r="CI483" s="234"/>
      <c r="CJ483" s="235"/>
      <c r="CK483" s="236"/>
      <c r="CL483" s="222" t="str">
        <f t="shared" si="100"/>
        <v/>
      </c>
      <c r="CM483" s="237" t="str">
        <f>IF(OR(G483="", CJ483="",CK483=""), "", IF(ISERROR(SMALL((CN483,CV483), 1)-CK483), "",  SMALL((CN483,CV483), 1)-CK483))</f>
        <v/>
      </c>
      <c r="CN483" s="235"/>
      <c r="CO483" s="236"/>
      <c r="CP483" s="224" t="str">
        <f t="shared" si="101"/>
        <v/>
      </c>
      <c r="CQ483" s="235"/>
      <c r="CR483" s="236"/>
      <c r="CS483" s="222" t="str">
        <f t="shared" si="102"/>
        <v/>
      </c>
      <c r="CT483" s="237" t="str">
        <f t="shared" si="103"/>
        <v/>
      </c>
      <c r="CU483" s="238"/>
      <c r="CV483" s="239"/>
      <c r="CW483" s="240"/>
    </row>
    <row r="484" spans="2:101" ht="16.5" customHeight="1">
      <c r="B484" s="122"/>
      <c r="E484" s="122"/>
      <c r="F484" s="194"/>
      <c r="G484" s="195"/>
      <c r="H484" s="195"/>
      <c r="I484" s="195"/>
      <c r="J484" s="196"/>
      <c r="K484" s="197"/>
      <c r="L484" s="198"/>
      <c r="M484" s="199"/>
      <c r="N484" s="200"/>
      <c r="O484" s="201"/>
      <c r="P484" s="201"/>
      <c r="Q484" s="201"/>
      <c r="R484" s="201"/>
      <c r="S484" s="201"/>
      <c r="T484" s="201"/>
      <c r="U484" s="201"/>
      <c r="V484" s="201"/>
      <c r="W484" s="201"/>
      <c r="X484" s="202"/>
      <c r="Y484" s="203"/>
      <c r="Z484" s="204"/>
      <c r="AA484" s="205"/>
      <c r="AB484" s="206"/>
      <c r="AC484" s="206"/>
      <c r="AD484" s="194"/>
      <c r="AE484" s="201"/>
      <c r="AF484" s="207"/>
      <c r="AG484" s="208"/>
      <c r="AH484" s="209"/>
      <c r="AI484" s="210"/>
      <c r="AJ484" s="197"/>
      <c r="AK484" s="201"/>
      <c r="AL484" s="196"/>
      <c r="AM484" s="201"/>
      <c r="AN484" s="201"/>
      <c r="AO484" s="201"/>
      <c r="AP484" s="211"/>
      <c r="AQ484" s="212"/>
      <c r="AR484" s="201"/>
      <c r="AS484" s="201"/>
      <c r="AT484" s="201"/>
      <c r="AU484" s="201"/>
      <c r="AV484" s="202"/>
      <c r="AW484" s="194"/>
      <c r="AX484" s="201"/>
      <c r="AY484" s="213"/>
      <c r="AZ484" s="214"/>
      <c r="BA484" s="215"/>
      <c r="BB484" s="216"/>
      <c r="BC484" s="217" t="str">
        <f t="shared" si="91"/>
        <v/>
      </c>
      <c r="BD484" s="218"/>
      <c r="BE484" s="219"/>
      <c r="BF484" s="220"/>
      <c r="BG484" s="219"/>
      <c r="BH484" s="219"/>
      <c r="BI484" s="220"/>
      <c r="BJ484" s="218"/>
      <c r="BK484" s="219"/>
      <c r="BL484" s="197"/>
      <c r="BM484" s="215"/>
      <c r="BN484" s="221"/>
      <c r="BO484" s="222" t="str">
        <f t="shared" si="92"/>
        <v/>
      </c>
      <c r="BP484" s="217" t="str">
        <f t="shared" si="93"/>
        <v/>
      </c>
      <c r="BQ484" s="215"/>
      <c r="BR484" s="224"/>
      <c r="BS484" s="225"/>
      <c r="BT484" s="223"/>
      <c r="BU484" s="215"/>
      <c r="BV484" s="226"/>
      <c r="BW484" s="222" t="str">
        <f t="shared" si="94"/>
        <v/>
      </c>
      <c r="BX484" s="223" t="str">
        <f t="shared" si="95"/>
        <v/>
      </c>
      <c r="BY484" s="215"/>
      <c r="BZ484" s="227"/>
      <c r="CA484" s="227"/>
      <c r="CB484" s="228"/>
      <c r="CC484" s="229"/>
      <c r="CD484" s="230" t="str">
        <f t="shared" si="96"/>
        <v/>
      </c>
      <c r="CE484" s="231" t="str">
        <f t="shared" si="97"/>
        <v/>
      </c>
      <c r="CF484" s="232" t="str">
        <f t="shared" si="98"/>
        <v/>
      </c>
      <c r="CG484" s="233" t="str">
        <f t="shared" si="99"/>
        <v/>
      </c>
      <c r="CH484" s="207" t="str">
        <f>IF(OR(G484="",CC484= ""), "", IF(ISERROR(SMALL((CJ484,CN484,CV484), 1)-CC484), "",  SMALL((CJ484,CN484,CV484), 1)-CC484))</f>
        <v/>
      </c>
      <c r="CI484" s="234"/>
      <c r="CJ484" s="235"/>
      <c r="CK484" s="236"/>
      <c r="CL484" s="222" t="str">
        <f t="shared" si="100"/>
        <v/>
      </c>
      <c r="CM484" s="237" t="str">
        <f>IF(OR(G484="", CJ484="",CK484=""), "", IF(ISERROR(SMALL((CN484,CV484), 1)-CK484), "",  SMALL((CN484,CV484), 1)-CK484))</f>
        <v/>
      </c>
      <c r="CN484" s="235"/>
      <c r="CO484" s="236"/>
      <c r="CP484" s="224" t="str">
        <f t="shared" si="101"/>
        <v/>
      </c>
      <c r="CQ484" s="235"/>
      <c r="CR484" s="236"/>
      <c r="CS484" s="222" t="str">
        <f t="shared" si="102"/>
        <v/>
      </c>
      <c r="CT484" s="237" t="str">
        <f t="shared" si="103"/>
        <v/>
      </c>
      <c r="CU484" s="238"/>
      <c r="CV484" s="239"/>
      <c r="CW484" s="240"/>
    </row>
    <row r="485" spans="2:101" ht="16.5" customHeight="1">
      <c r="B485" s="122"/>
      <c r="E485" s="122"/>
      <c r="F485" s="194"/>
      <c r="G485" s="195"/>
      <c r="H485" s="195"/>
      <c r="I485" s="195"/>
      <c r="J485" s="196"/>
      <c r="K485" s="197"/>
      <c r="L485" s="198"/>
      <c r="M485" s="199"/>
      <c r="N485" s="200"/>
      <c r="O485" s="201"/>
      <c r="P485" s="201"/>
      <c r="Q485" s="201"/>
      <c r="R485" s="201"/>
      <c r="S485" s="201"/>
      <c r="T485" s="201"/>
      <c r="U485" s="201"/>
      <c r="V485" s="201"/>
      <c r="W485" s="201"/>
      <c r="X485" s="202"/>
      <c r="Y485" s="203"/>
      <c r="Z485" s="204"/>
      <c r="AA485" s="205"/>
      <c r="AB485" s="206"/>
      <c r="AC485" s="206"/>
      <c r="AD485" s="194"/>
      <c r="AE485" s="201"/>
      <c r="AF485" s="207"/>
      <c r="AG485" s="208"/>
      <c r="AH485" s="209"/>
      <c r="AI485" s="210"/>
      <c r="AJ485" s="197"/>
      <c r="AK485" s="201"/>
      <c r="AL485" s="196"/>
      <c r="AM485" s="201"/>
      <c r="AN485" s="201"/>
      <c r="AO485" s="201"/>
      <c r="AP485" s="211"/>
      <c r="AQ485" s="212"/>
      <c r="AR485" s="201"/>
      <c r="AS485" s="201"/>
      <c r="AT485" s="201"/>
      <c r="AU485" s="201"/>
      <c r="AV485" s="202"/>
      <c r="AW485" s="194"/>
      <c r="AX485" s="201"/>
      <c r="AY485" s="213"/>
      <c r="AZ485" s="214"/>
      <c r="BA485" s="215"/>
      <c r="BB485" s="216"/>
      <c r="BC485" s="217" t="str">
        <f t="shared" si="91"/>
        <v/>
      </c>
      <c r="BD485" s="218"/>
      <c r="BE485" s="219"/>
      <c r="BF485" s="220"/>
      <c r="BG485" s="219"/>
      <c r="BH485" s="219"/>
      <c r="BI485" s="220"/>
      <c r="BJ485" s="218"/>
      <c r="BK485" s="219"/>
      <c r="BL485" s="197"/>
      <c r="BM485" s="215"/>
      <c r="BN485" s="221"/>
      <c r="BO485" s="222" t="str">
        <f t="shared" si="92"/>
        <v/>
      </c>
      <c r="BP485" s="217" t="str">
        <f t="shared" si="93"/>
        <v/>
      </c>
      <c r="BQ485" s="215"/>
      <c r="BR485" s="224"/>
      <c r="BS485" s="225"/>
      <c r="BT485" s="223"/>
      <c r="BU485" s="215"/>
      <c r="BV485" s="226"/>
      <c r="BW485" s="222" t="str">
        <f t="shared" si="94"/>
        <v/>
      </c>
      <c r="BX485" s="223" t="str">
        <f t="shared" si="95"/>
        <v/>
      </c>
      <c r="BY485" s="215"/>
      <c r="BZ485" s="227"/>
      <c r="CA485" s="227"/>
      <c r="CB485" s="228"/>
      <c r="CC485" s="229"/>
      <c r="CD485" s="230" t="str">
        <f t="shared" si="96"/>
        <v/>
      </c>
      <c r="CE485" s="231" t="str">
        <f t="shared" si="97"/>
        <v/>
      </c>
      <c r="CF485" s="232" t="str">
        <f t="shared" si="98"/>
        <v/>
      </c>
      <c r="CG485" s="233" t="str">
        <f t="shared" si="99"/>
        <v/>
      </c>
      <c r="CH485" s="207" t="str">
        <f>IF(OR(G485="",CC485= ""), "", IF(ISERROR(SMALL((CJ485,CN485,CV485), 1)-CC485), "",  SMALL((CJ485,CN485,CV485), 1)-CC485))</f>
        <v/>
      </c>
      <c r="CI485" s="234"/>
      <c r="CJ485" s="235"/>
      <c r="CK485" s="236"/>
      <c r="CL485" s="222" t="str">
        <f t="shared" si="100"/>
        <v/>
      </c>
      <c r="CM485" s="237" t="str">
        <f>IF(OR(G485="", CJ485="",CK485=""), "", IF(ISERROR(SMALL((CN485,CV485), 1)-CK485), "",  SMALL((CN485,CV485), 1)-CK485))</f>
        <v/>
      </c>
      <c r="CN485" s="235"/>
      <c r="CO485" s="236"/>
      <c r="CP485" s="224" t="str">
        <f t="shared" si="101"/>
        <v/>
      </c>
      <c r="CQ485" s="235"/>
      <c r="CR485" s="236"/>
      <c r="CS485" s="222" t="str">
        <f t="shared" si="102"/>
        <v/>
      </c>
      <c r="CT485" s="237" t="str">
        <f t="shared" si="103"/>
        <v/>
      </c>
      <c r="CU485" s="238"/>
      <c r="CV485" s="239"/>
      <c r="CW485" s="240"/>
    </row>
    <row r="486" spans="2:101" ht="16.5" customHeight="1">
      <c r="B486" s="122"/>
      <c r="E486" s="122"/>
      <c r="F486" s="194"/>
      <c r="G486" s="195"/>
      <c r="H486" s="195"/>
      <c r="I486" s="195"/>
      <c r="J486" s="196"/>
      <c r="K486" s="197"/>
      <c r="L486" s="198"/>
      <c r="M486" s="199"/>
      <c r="N486" s="200"/>
      <c r="O486" s="201"/>
      <c r="P486" s="201"/>
      <c r="Q486" s="201"/>
      <c r="R486" s="201"/>
      <c r="S486" s="201"/>
      <c r="T486" s="201"/>
      <c r="U486" s="201"/>
      <c r="V486" s="201"/>
      <c r="W486" s="201"/>
      <c r="X486" s="202"/>
      <c r="Y486" s="203"/>
      <c r="Z486" s="204"/>
      <c r="AA486" s="205"/>
      <c r="AB486" s="206"/>
      <c r="AC486" s="206"/>
      <c r="AD486" s="194"/>
      <c r="AE486" s="201"/>
      <c r="AF486" s="207"/>
      <c r="AG486" s="208"/>
      <c r="AH486" s="209"/>
      <c r="AI486" s="210"/>
      <c r="AJ486" s="197"/>
      <c r="AK486" s="201"/>
      <c r="AL486" s="196"/>
      <c r="AM486" s="201"/>
      <c r="AN486" s="201"/>
      <c r="AO486" s="201"/>
      <c r="AP486" s="211"/>
      <c r="AQ486" s="212"/>
      <c r="AR486" s="201"/>
      <c r="AS486" s="201"/>
      <c r="AT486" s="201"/>
      <c r="AU486" s="201"/>
      <c r="AV486" s="202"/>
      <c r="AW486" s="194"/>
      <c r="AX486" s="201"/>
      <c r="AY486" s="213"/>
      <c r="AZ486" s="214"/>
      <c r="BA486" s="215"/>
      <c r="BB486" s="216"/>
      <c r="BC486" s="217" t="str">
        <f t="shared" si="91"/>
        <v/>
      </c>
      <c r="BD486" s="218"/>
      <c r="BE486" s="219"/>
      <c r="BF486" s="220"/>
      <c r="BG486" s="219"/>
      <c r="BH486" s="219"/>
      <c r="BI486" s="220"/>
      <c r="BJ486" s="218"/>
      <c r="BK486" s="219"/>
      <c r="BL486" s="197"/>
      <c r="BM486" s="215"/>
      <c r="BN486" s="221"/>
      <c r="BO486" s="222" t="str">
        <f t="shared" si="92"/>
        <v/>
      </c>
      <c r="BP486" s="217" t="str">
        <f t="shared" si="93"/>
        <v/>
      </c>
      <c r="BQ486" s="215"/>
      <c r="BR486" s="224"/>
      <c r="BS486" s="225"/>
      <c r="BT486" s="223"/>
      <c r="BU486" s="215"/>
      <c r="BV486" s="226"/>
      <c r="BW486" s="222" t="str">
        <f t="shared" si="94"/>
        <v/>
      </c>
      <c r="BX486" s="223" t="str">
        <f t="shared" si="95"/>
        <v/>
      </c>
      <c r="BY486" s="215"/>
      <c r="BZ486" s="227"/>
      <c r="CA486" s="227"/>
      <c r="CB486" s="228"/>
      <c r="CC486" s="229"/>
      <c r="CD486" s="230" t="str">
        <f t="shared" si="96"/>
        <v/>
      </c>
      <c r="CE486" s="231" t="str">
        <f t="shared" si="97"/>
        <v/>
      </c>
      <c r="CF486" s="232" t="str">
        <f t="shared" si="98"/>
        <v/>
      </c>
      <c r="CG486" s="233" t="str">
        <f t="shared" si="99"/>
        <v/>
      </c>
      <c r="CH486" s="207" t="str">
        <f>IF(OR(G486="",CC486= ""), "", IF(ISERROR(SMALL((CJ486,CN486,CV486), 1)-CC486), "",  SMALL((CJ486,CN486,CV486), 1)-CC486))</f>
        <v/>
      </c>
      <c r="CI486" s="234"/>
      <c r="CJ486" s="235"/>
      <c r="CK486" s="236"/>
      <c r="CL486" s="222" t="str">
        <f t="shared" si="100"/>
        <v/>
      </c>
      <c r="CM486" s="237" t="str">
        <f>IF(OR(G486="", CJ486="",CK486=""), "", IF(ISERROR(SMALL((CN486,CV486), 1)-CK486), "",  SMALL((CN486,CV486), 1)-CK486))</f>
        <v/>
      </c>
      <c r="CN486" s="235"/>
      <c r="CO486" s="236"/>
      <c r="CP486" s="224" t="str">
        <f t="shared" si="101"/>
        <v/>
      </c>
      <c r="CQ486" s="235"/>
      <c r="CR486" s="236"/>
      <c r="CS486" s="222" t="str">
        <f t="shared" si="102"/>
        <v/>
      </c>
      <c r="CT486" s="237" t="str">
        <f t="shared" si="103"/>
        <v/>
      </c>
      <c r="CU486" s="238"/>
      <c r="CV486" s="239"/>
      <c r="CW486" s="240"/>
    </row>
    <row r="487" spans="2:101" ht="16.5" customHeight="1">
      <c r="B487" s="122"/>
      <c r="E487" s="122"/>
      <c r="F487" s="194"/>
      <c r="G487" s="195"/>
      <c r="H487" s="195"/>
      <c r="I487" s="195"/>
      <c r="J487" s="196"/>
      <c r="K487" s="197"/>
      <c r="L487" s="198"/>
      <c r="M487" s="199"/>
      <c r="N487" s="200"/>
      <c r="O487" s="201"/>
      <c r="P487" s="201"/>
      <c r="Q487" s="201"/>
      <c r="R487" s="201"/>
      <c r="S487" s="201"/>
      <c r="T487" s="201"/>
      <c r="U487" s="201"/>
      <c r="V487" s="201"/>
      <c r="W487" s="201"/>
      <c r="X487" s="202"/>
      <c r="Y487" s="203"/>
      <c r="Z487" s="204"/>
      <c r="AA487" s="205"/>
      <c r="AB487" s="206"/>
      <c r="AC487" s="206"/>
      <c r="AD487" s="194"/>
      <c r="AE487" s="201"/>
      <c r="AF487" s="207"/>
      <c r="AG487" s="208"/>
      <c r="AH487" s="209"/>
      <c r="AI487" s="210"/>
      <c r="AJ487" s="197"/>
      <c r="AK487" s="201"/>
      <c r="AL487" s="196"/>
      <c r="AM487" s="201"/>
      <c r="AN487" s="201"/>
      <c r="AO487" s="201"/>
      <c r="AP487" s="211"/>
      <c r="AQ487" s="212"/>
      <c r="AR487" s="201"/>
      <c r="AS487" s="201"/>
      <c r="AT487" s="201"/>
      <c r="AU487" s="201"/>
      <c r="AV487" s="202"/>
      <c r="AW487" s="194"/>
      <c r="AX487" s="201"/>
      <c r="AY487" s="213"/>
      <c r="AZ487" s="214"/>
      <c r="BA487" s="215"/>
      <c r="BB487" s="216"/>
      <c r="BC487" s="217" t="str">
        <f t="shared" si="91"/>
        <v/>
      </c>
      <c r="BD487" s="218"/>
      <c r="BE487" s="219"/>
      <c r="BF487" s="220"/>
      <c r="BG487" s="219"/>
      <c r="BH487" s="219"/>
      <c r="BI487" s="220"/>
      <c r="BJ487" s="218"/>
      <c r="BK487" s="219"/>
      <c r="BL487" s="197"/>
      <c r="BM487" s="215"/>
      <c r="BN487" s="221"/>
      <c r="BO487" s="222" t="str">
        <f t="shared" si="92"/>
        <v/>
      </c>
      <c r="BP487" s="217" t="str">
        <f t="shared" si="93"/>
        <v/>
      </c>
      <c r="BQ487" s="215"/>
      <c r="BR487" s="224"/>
      <c r="BS487" s="225"/>
      <c r="BT487" s="223"/>
      <c r="BU487" s="215"/>
      <c r="BV487" s="226"/>
      <c r="BW487" s="222" t="str">
        <f t="shared" si="94"/>
        <v/>
      </c>
      <c r="BX487" s="223" t="str">
        <f t="shared" si="95"/>
        <v/>
      </c>
      <c r="BY487" s="215"/>
      <c r="BZ487" s="227"/>
      <c r="CA487" s="227"/>
      <c r="CB487" s="228"/>
      <c r="CC487" s="229"/>
      <c r="CD487" s="230" t="str">
        <f t="shared" si="96"/>
        <v/>
      </c>
      <c r="CE487" s="231" t="str">
        <f t="shared" si="97"/>
        <v/>
      </c>
      <c r="CF487" s="232" t="str">
        <f t="shared" si="98"/>
        <v/>
      </c>
      <c r="CG487" s="233" t="str">
        <f t="shared" si="99"/>
        <v/>
      </c>
      <c r="CH487" s="207" t="str">
        <f>IF(OR(G487="",CC487= ""), "", IF(ISERROR(SMALL((CJ487,CN487,CV487), 1)-CC487), "",  SMALL((CJ487,CN487,CV487), 1)-CC487))</f>
        <v/>
      </c>
      <c r="CI487" s="234"/>
      <c r="CJ487" s="235"/>
      <c r="CK487" s="236"/>
      <c r="CL487" s="222" t="str">
        <f t="shared" si="100"/>
        <v/>
      </c>
      <c r="CM487" s="237" t="str">
        <f>IF(OR(G487="", CJ487="",CK487=""), "", IF(ISERROR(SMALL((CN487,CV487), 1)-CK487), "",  SMALL((CN487,CV487), 1)-CK487))</f>
        <v/>
      </c>
      <c r="CN487" s="235"/>
      <c r="CO487" s="236"/>
      <c r="CP487" s="224" t="str">
        <f t="shared" si="101"/>
        <v/>
      </c>
      <c r="CQ487" s="235"/>
      <c r="CR487" s="236"/>
      <c r="CS487" s="222" t="str">
        <f t="shared" si="102"/>
        <v/>
      </c>
      <c r="CT487" s="237" t="str">
        <f t="shared" si="103"/>
        <v/>
      </c>
      <c r="CU487" s="238"/>
      <c r="CV487" s="239"/>
      <c r="CW487" s="240"/>
    </row>
    <row r="488" spans="2:101" ht="16.5" customHeight="1">
      <c r="B488" s="122"/>
      <c r="E488" s="122"/>
      <c r="F488" s="194"/>
      <c r="G488" s="195"/>
      <c r="H488" s="195"/>
      <c r="I488" s="195"/>
      <c r="J488" s="196"/>
      <c r="K488" s="197"/>
      <c r="L488" s="198"/>
      <c r="M488" s="199"/>
      <c r="N488" s="200"/>
      <c r="O488" s="201"/>
      <c r="P488" s="201"/>
      <c r="Q488" s="201"/>
      <c r="R488" s="201"/>
      <c r="S488" s="201"/>
      <c r="T488" s="201"/>
      <c r="U488" s="201"/>
      <c r="V488" s="201"/>
      <c r="W488" s="201"/>
      <c r="X488" s="202"/>
      <c r="Y488" s="203"/>
      <c r="Z488" s="204"/>
      <c r="AA488" s="205"/>
      <c r="AB488" s="206"/>
      <c r="AC488" s="206"/>
      <c r="AD488" s="194"/>
      <c r="AE488" s="201"/>
      <c r="AF488" s="207"/>
      <c r="AG488" s="208"/>
      <c r="AH488" s="209"/>
      <c r="AI488" s="210"/>
      <c r="AJ488" s="197"/>
      <c r="AK488" s="201"/>
      <c r="AL488" s="196"/>
      <c r="AM488" s="201"/>
      <c r="AN488" s="201"/>
      <c r="AO488" s="201"/>
      <c r="AP488" s="211"/>
      <c r="AQ488" s="212"/>
      <c r="AR488" s="201"/>
      <c r="AS488" s="201"/>
      <c r="AT488" s="201"/>
      <c r="AU488" s="201"/>
      <c r="AV488" s="202"/>
      <c r="AW488" s="194"/>
      <c r="AX488" s="201"/>
      <c r="AY488" s="213"/>
      <c r="AZ488" s="214"/>
      <c r="BA488" s="215"/>
      <c r="BB488" s="216"/>
      <c r="BC488" s="217" t="str">
        <f t="shared" si="91"/>
        <v/>
      </c>
      <c r="BD488" s="218"/>
      <c r="BE488" s="219"/>
      <c r="BF488" s="220"/>
      <c r="BG488" s="219"/>
      <c r="BH488" s="219"/>
      <c r="BI488" s="220"/>
      <c r="BJ488" s="218"/>
      <c r="BK488" s="219"/>
      <c r="BL488" s="197"/>
      <c r="BM488" s="215"/>
      <c r="BN488" s="221"/>
      <c r="BO488" s="222" t="str">
        <f t="shared" si="92"/>
        <v/>
      </c>
      <c r="BP488" s="217" t="str">
        <f t="shared" si="93"/>
        <v/>
      </c>
      <c r="BQ488" s="215"/>
      <c r="BR488" s="224"/>
      <c r="BS488" s="225"/>
      <c r="BT488" s="223"/>
      <c r="BU488" s="215"/>
      <c r="BV488" s="226"/>
      <c r="BW488" s="222" t="str">
        <f t="shared" si="94"/>
        <v/>
      </c>
      <c r="BX488" s="223" t="str">
        <f t="shared" si="95"/>
        <v/>
      </c>
      <c r="BY488" s="215"/>
      <c r="BZ488" s="227"/>
      <c r="CA488" s="227"/>
      <c r="CB488" s="228"/>
      <c r="CC488" s="229"/>
      <c r="CD488" s="230" t="str">
        <f t="shared" si="96"/>
        <v/>
      </c>
      <c r="CE488" s="231" t="str">
        <f t="shared" si="97"/>
        <v/>
      </c>
      <c r="CF488" s="232" t="str">
        <f t="shared" si="98"/>
        <v/>
      </c>
      <c r="CG488" s="233" t="str">
        <f t="shared" si="99"/>
        <v/>
      </c>
      <c r="CH488" s="207" t="str">
        <f>IF(OR(G488="",CC488= ""), "", IF(ISERROR(SMALL((CJ488,CN488,CV488), 1)-CC488), "",  SMALL((CJ488,CN488,CV488), 1)-CC488))</f>
        <v/>
      </c>
      <c r="CI488" s="234"/>
      <c r="CJ488" s="235"/>
      <c r="CK488" s="236"/>
      <c r="CL488" s="222" t="str">
        <f t="shared" si="100"/>
        <v/>
      </c>
      <c r="CM488" s="237" t="str">
        <f>IF(OR(G488="", CJ488="",CK488=""), "", IF(ISERROR(SMALL((CN488,CV488), 1)-CK488), "",  SMALL((CN488,CV488), 1)-CK488))</f>
        <v/>
      </c>
      <c r="CN488" s="235"/>
      <c r="CO488" s="236"/>
      <c r="CP488" s="224" t="str">
        <f t="shared" si="101"/>
        <v/>
      </c>
      <c r="CQ488" s="235"/>
      <c r="CR488" s="236"/>
      <c r="CS488" s="222" t="str">
        <f t="shared" si="102"/>
        <v/>
      </c>
      <c r="CT488" s="237" t="str">
        <f t="shared" si="103"/>
        <v/>
      </c>
      <c r="CU488" s="238"/>
      <c r="CV488" s="239"/>
      <c r="CW488" s="240"/>
    </row>
    <row r="489" spans="2:101" ht="16.5" customHeight="1">
      <c r="B489" s="122"/>
      <c r="E489" s="122"/>
      <c r="F489" s="194"/>
      <c r="G489" s="195"/>
      <c r="H489" s="195"/>
      <c r="I489" s="195"/>
      <c r="J489" s="196"/>
      <c r="K489" s="197"/>
      <c r="L489" s="198"/>
      <c r="M489" s="199"/>
      <c r="N489" s="200"/>
      <c r="O489" s="201"/>
      <c r="P489" s="201"/>
      <c r="Q489" s="201"/>
      <c r="R489" s="201"/>
      <c r="S489" s="201"/>
      <c r="T489" s="201"/>
      <c r="U489" s="201"/>
      <c r="V489" s="201"/>
      <c r="W489" s="201"/>
      <c r="X489" s="202"/>
      <c r="Y489" s="203"/>
      <c r="Z489" s="204"/>
      <c r="AA489" s="205"/>
      <c r="AB489" s="206"/>
      <c r="AC489" s="206"/>
      <c r="AD489" s="194"/>
      <c r="AE489" s="201"/>
      <c r="AF489" s="207"/>
      <c r="AG489" s="208"/>
      <c r="AH489" s="209"/>
      <c r="AI489" s="210"/>
      <c r="AJ489" s="197"/>
      <c r="AK489" s="201"/>
      <c r="AL489" s="196"/>
      <c r="AM489" s="201"/>
      <c r="AN489" s="201"/>
      <c r="AO489" s="201"/>
      <c r="AP489" s="211"/>
      <c r="AQ489" s="212"/>
      <c r="AR489" s="201"/>
      <c r="AS489" s="201"/>
      <c r="AT489" s="201"/>
      <c r="AU489" s="201"/>
      <c r="AV489" s="202"/>
      <c r="AW489" s="194"/>
      <c r="AX489" s="201"/>
      <c r="AY489" s="213"/>
      <c r="AZ489" s="214"/>
      <c r="BA489" s="215"/>
      <c r="BB489" s="216"/>
      <c r="BC489" s="217" t="str">
        <f t="shared" si="91"/>
        <v/>
      </c>
      <c r="BD489" s="218"/>
      <c r="BE489" s="219"/>
      <c r="BF489" s="220"/>
      <c r="BG489" s="219"/>
      <c r="BH489" s="219"/>
      <c r="BI489" s="220"/>
      <c r="BJ489" s="218"/>
      <c r="BK489" s="219"/>
      <c r="BL489" s="197"/>
      <c r="BM489" s="215"/>
      <c r="BN489" s="221"/>
      <c r="BO489" s="222" t="str">
        <f t="shared" si="92"/>
        <v/>
      </c>
      <c r="BP489" s="217" t="str">
        <f t="shared" si="93"/>
        <v/>
      </c>
      <c r="BQ489" s="215"/>
      <c r="BR489" s="224"/>
      <c r="BS489" s="225"/>
      <c r="BT489" s="223"/>
      <c r="BU489" s="215"/>
      <c r="BV489" s="226"/>
      <c r="BW489" s="222" t="str">
        <f t="shared" si="94"/>
        <v/>
      </c>
      <c r="BX489" s="223" t="str">
        <f t="shared" si="95"/>
        <v/>
      </c>
      <c r="BY489" s="215"/>
      <c r="BZ489" s="227"/>
      <c r="CA489" s="227"/>
      <c r="CB489" s="228"/>
      <c r="CC489" s="229"/>
      <c r="CD489" s="230" t="str">
        <f t="shared" si="96"/>
        <v/>
      </c>
      <c r="CE489" s="231" t="str">
        <f t="shared" si="97"/>
        <v/>
      </c>
      <c r="CF489" s="232" t="str">
        <f t="shared" si="98"/>
        <v/>
      </c>
      <c r="CG489" s="233" t="str">
        <f t="shared" si="99"/>
        <v/>
      </c>
      <c r="CH489" s="207" t="str">
        <f>IF(OR(G489="",CC489= ""), "", IF(ISERROR(SMALL((CJ489,CN489,CV489), 1)-CC489), "",  SMALL((CJ489,CN489,CV489), 1)-CC489))</f>
        <v/>
      </c>
      <c r="CI489" s="234"/>
      <c r="CJ489" s="235"/>
      <c r="CK489" s="236"/>
      <c r="CL489" s="222" t="str">
        <f t="shared" si="100"/>
        <v/>
      </c>
      <c r="CM489" s="237" t="str">
        <f>IF(OR(G489="", CJ489="",CK489=""), "", IF(ISERROR(SMALL((CN489,CV489), 1)-CK489), "",  SMALL((CN489,CV489), 1)-CK489))</f>
        <v/>
      </c>
      <c r="CN489" s="235"/>
      <c r="CO489" s="236"/>
      <c r="CP489" s="224" t="str">
        <f t="shared" si="101"/>
        <v/>
      </c>
      <c r="CQ489" s="235"/>
      <c r="CR489" s="236"/>
      <c r="CS489" s="222" t="str">
        <f t="shared" si="102"/>
        <v/>
      </c>
      <c r="CT489" s="237" t="str">
        <f t="shared" si="103"/>
        <v/>
      </c>
      <c r="CU489" s="238"/>
      <c r="CV489" s="239"/>
      <c r="CW489" s="240"/>
    </row>
    <row r="490" spans="2:101" ht="16.5" customHeight="1">
      <c r="B490" s="122"/>
      <c r="E490" s="122"/>
      <c r="F490" s="194"/>
      <c r="G490" s="195"/>
      <c r="H490" s="195"/>
      <c r="I490" s="195"/>
      <c r="J490" s="196"/>
      <c r="K490" s="197"/>
      <c r="L490" s="198"/>
      <c r="M490" s="199"/>
      <c r="N490" s="200"/>
      <c r="O490" s="201"/>
      <c r="P490" s="201"/>
      <c r="Q490" s="201"/>
      <c r="R490" s="201"/>
      <c r="S490" s="201"/>
      <c r="T490" s="201"/>
      <c r="U490" s="201"/>
      <c r="V490" s="201"/>
      <c r="W490" s="201"/>
      <c r="X490" s="202"/>
      <c r="Y490" s="203"/>
      <c r="Z490" s="204"/>
      <c r="AA490" s="205"/>
      <c r="AB490" s="206"/>
      <c r="AC490" s="206"/>
      <c r="AD490" s="194"/>
      <c r="AE490" s="201"/>
      <c r="AF490" s="207"/>
      <c r="AG490" s="208"/>
      <c r="AH490" s="209"/>
      <c r="AI490" s="210"/>
      <c r="AJ490" s="197"/>
      <c r="AK490" s="201"/>
      <c r="AL490" s="196"/>
      <c r="AM490" s="201"/>
      <c r="AN490" s="201"/>
      <c r="AO490" s="201"/>
      <c r="AP490" s="211"/>
      <c r="AQ490" s="212"/>
      <c r="AR490" s="201"/>
      <c r="AS490" s="201"/>
      <c r="AT490" s="201"/>
      <c r="AU490" s="201"/>
      <c r="AV490" s="202"/>
      <c r="AW490" s="194"/>
      <c r="AX490" s="201"/>
      <c r="AY490" s="213"/>
      <c r="AZ490" s="214"/>
      <c r="BA490" s="215"/>
      <c r="BB490" s="216"/>
      <c r="BC490" s="217" t="str">
        <f t="shared" si="91"/>
        <v/>
      </c>
      <c r="BD490" s="218"/>
      <c r="BE490" s="219"/>
      <c r="BF490" s="220"/>
      <c r="BG490" s="219"/>
      <c r="BH490" s="219"/>
      <c r="BI490" s="220"/>
      <c r="BJ490" s="218"/>
      <c r="BK490" s="219"/>
      <c r="BL490" s="197"/>
      <c r="BM490" s="215"/>
      <c r="BN490" s="221"/>
      <c r="BO490" s="222" t="str">
        <f t="shared" si="92"/>
        <v/>
      </c>
      <c r="BP490" s="217" t="str">
        <f t="shared" si="93"/>
        <v/>
      </c>
      <c r="BQ490" s="215"/>
      <c r="BR490" s="224"/>
      <c r="BS490" s="225"/>
      <c r="BT490" s="223"/>
      <c r="BU490" s="215"/>
      <c r="BV490" s="226"/>
      <c r="BW490" s="222" t="str">
        <f t="shared" si="94"/>
        <v/>
      </c>
      <c r="BX490" s="223" t="str">
        <f t="shared" si="95"/>
        <v/>
      </c>
      <c r="BY490" s="215"/>
      <c r="BZ490" s="227"/>
      <c r="CA490" s="227"/>
      <c r="CB490" s="228"/>
      <c r="CC490" s="229"/>
      <c r="CD490" s="230" t="str">
        <f t="shared" si="96"/>
        <v/>
      </c>
      <c r="CE490" s="231" t="str">
        <f t="shared" si="97"/>
        <v/>
      </c>
      <c r="CF490" s="232" t="str">
        <f t="shared" si="98"/>
        <v/>
      </c>
      <c r="CG490" s="233" t="str">
        <f t="shared" si="99"/>
        <v/>
      </c>
      <c r="CH490" s="207" t="str">
        <f>IF(OR(G490="",CC490= ""), "", IF(ISERROR(SMALL((CJ490,CN490,CV490), 1)-CC490), "",  SMALL((CJ490,CN490,CV490), 1)-CC490))</f>
        <v/>
      </c>
      <c r="CI490" s="234"/>
      <c r="CJ490" s="235"/>
      <c r="CK490" s="236"/>
      <c r="CL490" s="222" t="str">
        <f t="shared" si="100"/>
        <v/>
      </c>
      <c r="CM490" s="237" t="str">
        <f>IF(OR(G490="", CJ490="",CK490=""), "", IF(ISERROR(SMALL((CN490,CV490), 1)-CK490), "",  SMALL((CN490,CV490), 1)-CK490))</f>
        <v/>
      </c>
      <c r="CN490" s="235"/>
      <c r="CO490" s="236"/>
      <c r="CP490" s="224" t="str">
        <f t="shared" si="101"/>
        <v/>
      </c>
      <c r="CQ490" s="235"/>
      <c r="CR490" s="236"/>
      <c r="CS490" s="222" t="str">
        <f t="shared" si="102"/>
        <v/>
      </c>
      <c r="CT490" s="237" t="str">
        <f t="shared" si="103"/>
        <v/>
      </c>
      <c r="CU490" s="238"/>
      <c r="CV490" s="239"/>
      <c r="CW490" s="240"/>
    </row>
    <row r="491" spans="2:101" ht="16.5" customHeight="1">
      <c r="B491" s="122"/>
      <c r="E491" s="122"/>
      <c r="F491" s="194"/>
      <c r="G491" s="195"/>
      <c r="H491" s="195"/>
      <c r="I491" s="195"/>
      <c r="J491" s="196"/>
      <c r="K491" s="197"/>
      <c r="L491" s="198"/>
      <c r="M491" s="199"/>
      <c r="N491" s="200"/>
      <c r="O491" s="201"/>
      <c r="P491" s="201"/>
      <c r="Q491" s="201"/>
      <c r="R491" s="201"/>
      <c r="S491" s="201"/>
      <c r="T491" s="201"/>
      <c r="U491" s="201"/>
      <c r="V491" s="201"/>
      <c r="W491" s="201"/>
      <c r="X491" s="202"/>
      <c r="Y491" s="203"/>
      <c r="Z491" s="204"/>
      <c r="AA491" s="205"/>
      <c r="AB491" s="206"/>
      <c r="AC491" s="206"/>
      <c r="AD491" s="194"/>
      <c r="AE491" s="201"/>
      <c r="AF491" s="207"/>
      <c r="AG491" s="208"/>
      <c r="AH491" s="209"/>
      <c r="AI491" s="210"/>
      <c r="AJ491" s="197"/>
      <c r="AK491" s="201"/>
      <c r="AL491" s="196"/>
      <c r="AM491" s="201"/>
      <c r="AN491" s="201"/>
      <c r="AO491" s="201"/>
      <c r="AP491" s="211"/>
      <c r="AQ491" s="212"/>
      <c r="AR491" s="201"/>
      <c r="AS491" s="201"/>
      <c r="AT491" s="201"/>
      <c r="AU491" s="201"/>
      <c r="AV491" s="202"/>
      <c r="AW491" s="194"/>
      <c r="AX491" s="201"/>
      <c r="AY491" s="213"/>
      <c r="AZ491" s="214"/>
      <c r="BA491" s="215"/>
      <c r="BB491" s="216"/>
      <c r="BC491" s="217" t="str">
        <f t="shared" si="91"/>
        <v/>
      </c>
      <c r="BD491" s="218"/>
      <c r="BE491" s="219"/>
      <c r="BF491" s="220"/>
      <c r="BG491" s="219"/>
      <c r="BH491" s="219"/>
      <c r="BI491" s="220"/>
      <c r="BJ491" s="218"/>
      <c r="BK491" s="219"/>
      <c r="BL491" s="197"/>
      <c r="BM491" s="215"/>
      <c r="BN491" s="221"/>
      <c r="BO491" s="222" t="str">
        <f t="shared" si="92"/>
        <v/>
      </c>
      <c r="BP491" s="217" t="str">
        <f t="shared" si="93"/>
        <v/>
      </c>
      <c r="BQ491" s="215"/>
      <c r="BR491" s="224"/>
      <c r="BS491" s="225"/>
      <c r="BT491" s="223"/>
      <c r="BU491" s="215"/>
      <c r="BV491" s="226"/>
      <c r="BW491" s="222" t="str">
        <f t="shared" si="94"/>
        <v/>
      </c>
      <c r="BX491" s="223" t="str">
        <f t="shared" si="95"/>
        <v/>
      </c>
      <c r="BY491" s="215"/>
      <c r="BZ491" s="227"/>
      <c r="CA491" s="227"/>
      <c r="CB491" s="228"/>
      <c r="CC491" s="229"/>
      <c r="CD491" s="230" t="str">
        <f t="shared" si="96"/>
        <v/>
      </c>
      <c r="CE491" s="231" t="str">
        <f t="shared" si="97"/>
        <v/>
      </c>
      <c r="CF491" s="232" t="str">
        <f t="shared" si="98"/>
        <v/>
      </c>
      <c r="CG491" s="233" t="str">
        <f t="shared" si="99"/>
        <v/>
      </c>
      <c r="CH491" s="207" t="str">
        <f>IF(OR(G491="",CC491= ""), "", IF(ISERROR(SMALL((CJ491,CN491,CV491), 1)-CC491), "",  SMALL((CJ491,CN491,CV491), 1)-CC491))</f>
        <v/>
      </c>
      <c r="CI491" s="234"/>
      <c r="CJ491" s="235"/>
      <c r="CK491" s="236"/>
      <c r="CL491" s="222" t="str">
        <f t="shared" si="100"/>
        <v/>
      </c>
      <c r="CM491" s="237" t="str">
        <f>IF(OR(G491="", CJ491="",CK491=""), "", IF(ISERROR(SMALL((CN491,CV491), 1)-CK491), "",  SMALL((CN491,CV491), 1)-CK491))</f>
        <v/>
      </c>
      <c r="CN491" s="235"/>
      <c r="CO491" s="236"/>
      <c r="CP491" s="224" t="str">
        <f t="shared" si="101"/>
        <v/>
      </c>
      <c r="CQ491" s="235"/>
      <c r="CR491" s="236"/>
      <c r="CS491" s="222" t="str">
        <f t="shared" si="102"/>
        <v/>
      </c>
      <c r="CT491" s="237" t="str">
        <f t="shared" si="103"/>
        <v/>
      </c>
      <c r="CU491" s="238"/>
      <c r="CV491" s="239"/>
      <c r="CW491" s="240"/>
    </row>
    <row r="492" spans="2:101" ht="16.5" customHeight="1">
      <c r="B492" s="122"/>
      <c r="E492" s="122"/>
      <c r="F492" s="194"/>
      <c r="G492" s="195"/>
      <c r="H492" s="195"/>
      <c r="I492" s="195"/>
      <c r="J492" s="196"/>
      <c r="K492" s="197"/>
      <c r="L492" s="198"/>
      <c r="M492" s="199"/>
      <c r="N492" s="200"/>
      <c r="O492" s="201"/>
      <c r="P492" s="201"/>
      <c r="Q492" s="201"/>
      <c r="R492" s="201"/>
      <c r="S492" s="201"/>
      <c r="T492" s="201"/>
      <c r="U492" s="201"/>
      <c r="V492" s="201"/>
      <c r="W492" s="201"/>
      <c r="X492" s="202"/>
      <c r="Y492" s="203"/>
      <c r="Z492" s="204"/>
      <c r="AA492" s="205"/>
      <c r="AB492" s="206"/>
      <c r="AC492" s="206"/>
      <c r="AD492" s="194"/>
      <c r="AE492" s="201"/>
      <c r="AF492" s="207"/>
      <c r="AG492" s="208"/>
      <c r="AH492" s="209"/>
      <c r="AI492" s="210"/>
      <c r="AJ492" s="197"/>
      <c r="AK492" s="201"/>
      <c r="AL492" s="196"/>
      <c r="AM492" s="201"/>
      <c r="AN492" s="201"/>
      <c r="AO492" s="201"/>
      <c r="AP492" s="211"/>
      <c r="AQ492" s="212"/>
      <c r="AR492" s="201"/>
      <c r="AS492" s="201"/>
      <c r="AT492" s="201"/>
      <c r="AU492" s="201"/>
      <c r="AV492" s="202"/>
      <c r="AW492" s="194"/>
      <c r="AX492" s="201"/>
      <c r="AY492" s="213"/>
      <c r="AZ492" s="214"/>
      <c r="BA492" s="215"/>
      <c r="BB492" s="216"/>
      <c r="BC492" s="217" t="str">
        <f t="shared" si="91"/>
        <v/>
      </c>
      <c r="BD492" s="218"/>
      <c r="BE492" s="219"/>
      <c r="BF492" s="220"/>
      <c r="BG492" s="219"/>
      <c r="BH492" s="219"/>
      <c r="BI492" s="220"/>
      <c r="BJ492" s="218"/>
      <c r="BK492" s="219"/>
      <c r="BL492" s="197"/>
      <c r="BM492" s="215"/>
      <c r="BN492" s="221"/>
      <c r="BO492" s="222" t="str">
        <f t="shared" si="92"/>
        <v/>
      </c>
      <c r="BP492" s="217" t="str">
        <f t="shared" si="93"/>
        <v/>
      </c>
      <c r="BQ492" s="215"/>
      <c r="BR492" s="224"/>
      <c r="BS492" s="225"/>
      <c r="BT492" s="223"/>
      <c r="BU492" s="215"/>
      <c r="BV492" s="226"/>
      <c r="BW492" s="222" t="str">
        <f t="shared" si="94"/>
        <v/>
      </c>
      <c r="BX492" s="223" t="str">
        <f t="shared" si="95"/>
        <v/>
      </c>
      <c r="BY492" s="215"/>
      <c r="BZ492" s="227"/>
      <c r="CA492" s="227"/>
      <c r="CB492" s="228"/>
      <c r="CC492" s="229"/>
      <c r="CD492" s="230" t="str">
        <f t="shared" si="96"/>
        <v/>
      </c>
      <c r="CE492" s="231" t="str">
        <f t="shared" si="97"/>
        <v/>
      </c>
      <c r="CF492" s="232" t="str">
        <f t="shared" si="98"/>
        <v/>
      </c>
      <c r="CG492" s="233" t="str">
        <f t="shared" si="99"/>
        <v/>
      </c>
      <c r="CH492" s="207" t="str">
        <f>IF(OR(G492="",CC492= ""), "", IF(ISERROR(SMALL((CJ492,CN492,CV492), 1)-CC492), "",  SMALL((CJ492,CN492,CV492), 1)-CC492))</f>
        <v/>
      </c>
      <c r="CI492" s="234"/>
      <c r="CJ492" s="235"/>
      <c r="CK492" s="236"/>
      <c r="CL492" s="222" t="str">
        <f t="shared" si="100"/>
        <v/>
      </c>
      <c r="CM492" s="237" t="str">
        <f>IF(OR(G492="", CJ492="",CK492=""), "", IF(ISERROR(SMALL((CN492,CV492), 1)-CK492), "",  SMALL((CN492,CV492), 1)-CK492))</f>
        <v/>
      </c>
      <c r="CN492" s="235"/>
      <c r="CO492" s="236"/>
      <c r="CP492" s="224" t="str">
        <f t="shared" si="101"/>
        <v/>
      </c>
      <c r="CQ492" s="235"/>
      <c r="CR492" s="236"/>
      <c r="CS492" s="222" t="str">
        <f t="shared" si="102"/>
        <v/>
      </c>
      <c r="CT492" s="237" t="str">
        <f t="shared" si="103"/>
        <v/>
      </c>
      <c r="CU492" s="238"/>
      <c r="CV492" s="239"/>
      <c r="CW492" s="240"/>
    </row>
    <row r="493" spans="2:101" ht="16.5" customHeight="1">
      <c r="B493" s="122"/>
      <c r="E493" s="122"/>
      <c r="F493" s="194"/>
      <c r="G493" s="195"/>
      <c r="H493" s="195"/>
      <c r="I493" s="195"/>
      <c r="J493" s="196"/>
      <c r="K493" s="197"/>
      <c r="L493" s="198"/>
      <c r="M493" s="199"/>
      <c r="N493" s="200"/>
      <c r="O493" s="201"/>
      <c r="P493" s="201"/>
      <c r="Q493" s="201"/>
      <c r="R493" s="201"/>
      <c r="S493" s="201"/>
      <c r="T493" s="201"/>
      <c r="U493" s="201"/>
      <c r="V493" s="201"/>
      <c r="W493" s="201"/>
      <c r="X493" s="202"/>
      <c r="Y493" s="203"/>
      <c r="Z493" s="204"/>
      <c r="AA493" s="205"/>
      <c r="AB493" s="206"/>
      <c r="AC493" s="206"/>
      <c r="AD493" s="194"/>
      <c r="AE493" s="201"/>
      <c r="AF493" s="207"/>
      <c r="AG493" s="208"/>
      <c r="AH493" s="209"/>
      <c r="AI493" s="210"/>
      <c r="AJ493" s="197"/>
      <c r="AK493" s="201"/>
      <c r="AL493" s="196"/>
      <c r="AM493" s="201"/>
      <c r="AN493" s="201"/>
      <c r="AO493" s="201"/>
      <c r="AP493" s="211"/>
      <c r="AQ493" s="212"/>
      <c r="AR493" s="201"/>
      <c r="AS493" s="201"/>
      <c r="AT493" s="201"/>
      <c r="AU493" s="201"/>
      <c r="AV493" s="202"/>
      <c r="AW493" s="194"/>
      <c r="AX493" s="201"/>
      <c r="AY493" s="213"/>
      <c r="AZ493" s="214"/>
      <c r="BA493" s="215"/>
      <c r="BB493" s="216"/>
      <c r="BC493" s="217" t="str">
        <f t="shared" si="91"/>
        <v/>
      </c>
      <c r="BD493" s="218"/>
      <c r="BE493" s="219"/>
      <c r="BF493" s="220"/>
      <c r="BG493" s="219"/>
      <c r="BH493" s="219"/>
      <c r="BI493" s="220"/>
      <c r="BJ493" s="218"/>
      <c r="BK493" s="219"/>
      <c r="BL493" s="197"/>
      <c r="BM493" s="215"/>
      <c r="BN493" s="221"/>
      <c r="BO493" s="222" t="str">
        <f t="shared" si="92"/>
        <v/>
      </c>
      <c r="BP493" s="217" t="str">
        <f t="shared" si="93"/>
        <v/>
      </c>
      <c r="BQ493" s="215"/>
      <c r="BR493" s="224"/>
      <c r="BS493" s="225"/>
      <c r="BT493" s="223"/>
      <c r="BU493" s="215"/>
      <c r="BV493" s="226"/>
      <c r="BW493" s="222" t="str">
        <f t="shared" si="94"/>
        <v/>
      </c>
      <c r="BX493" s="223" t="str">
        <f t="shared" si="95"/>
        <v/>
      </c>
      <c r="BY493" s="215"/>
      <c r="BZ493" s="227"/>
      <c r="CA493" s="227"/>
      <c r="CB493" s="228"/>
      <c r="CC493" s="229"/>
      <c r="CD493" s="230" t="str">
        <f t="shared" si="96"/>
        <v/>
      </c>
      <c r="CE493" s="231" t="str">
        <f t="shared" si="97"/>
        <v/>
      </c>
      <c r="CF493" s="232" t="str">
        <f t="shared" si="98"/>
        <v/>
      </c>
      <c r="CG493" s="233" t="str">
        <f t="shared" si="99"/>
        <v/>
      </c>
      <c r="CH493" s="207" t="str">
        <f>IF(OR(G493="",CC493= ""), "", IF(ISERROR(SMALL((CJ493,CN493,CV493), 1)-CC493), "",  SMALL((CJ493,CN493,CV493), 1)-CC493))</f>
        <v/>
      </c>
      <c r="CI493" s="234"/>
      <c r="CJ493" s="235"/>
      <c r="CK493" s="236"/>
      <c r="CL493" s="222" t="str">
        <f t="shared" si="100"/>
        <v/>
      </c>
      <c r="CM493" s="237" t="str">
        <f>IF(OR(G493="", CJ493="",CK493=""), "", IF(ISERROR(SMALL((CN493,CV493), 1)-CK493), "",  SMALL((CN493,CV493), 1)-CK493))</f>
        <v/>
      </c>
      <c r="CN493" s="235"/>
      <c r="CO493" s="236"/>
      <c r="CP493" s="224" t="str">
        <f t="shared" si="101"/>
        <v/>
      </c>
      <c r="CQ493" s="235"/>
      <c r="CR493" s="236"/>
      <c r="CS493" s="222" t="str">
        <f t="shared" si="102"/>
        <v/>
      </c>
      <c r="CT493" s="237" t="str">
        <f t="shared" si="103"/>
        <v/>
      </c>
      <c r="CU493" s="238"/>
      <c r="CV493" s="239"/>
      <c r="CW493" s="240"/>
    </row>
    <row r="494" spans="2:101" ht="16.5" customHeight="1">
      <c r="B494" s="122"/>
      <c r="E494" s="122"/>
      <c r="F494" s="194"/>
      <c r="G494" s="195"/>
      <c r="H494" s="195"/>
      <c r="I494" s="195"/>
      <c r="J494" s="196"/>
      <c r="K494" s="197"/>
      <c r="L494" s="198"/>
      <c r="M494" s="199"/>
      <c r="N494" s="200"/>
      <c r="O494" s="201"/>
      <c r="P494" s="201"/>
      <c r="Q494" s="201"/>
      <c r="R494" s="201"/>
      <c r="S494" s="201"/>
      <c r="T494" s="201"/>
      <c r="U494" s="201"/>
      <c r="V494" s="201"/>
      <c r="W494" s="201"/>
      <c r="X494" s="202"/>
      <c r="Y494" s="203"/>
      <c r="Z494" s="204"/>
      <c r="AA494" s="205"/>
      <c r="AB494" s="206"/>
      <c r="AC494" s="206"/>
      <c r="AD494" s="194"/>
      <c r="AE494" s="201"/>
      <c r="AF494" s="207"/>
      <c r="AG494" s="208"/>
      <c r="AH494" s="209"/>
      <c r="AI494" s="210"/>
      <c r="AJ494" s="197"/>
      <c r="AK494" s="201"/>
      <c r="AL494" s="196"/>
      <c r="AM494" s="201"/>
      <c r="AN494" s="201"/>
      <c r="AO494" s="201"/>
      <c r="AP494" s="211"/>
      <c r="AQ494" s="212"/>
      <c r="AR494" s="201"/>
      <c r="AS494" s="201"/>
      <c r="AT494" s="201"/>
      <c r="AU494" s="201"/>
      <c r="AV494" s="202"/>
      <c r="AW494" s="194"/>
      <c r="AX494" s="201"/>
      <c r="AY494" s="213"/>
      <c r="AZ494" s="214"/>
      <c r="BA494" s="215"/>
      <c r="BB494" s="216"/>
      <c r="BC494" s="217" t="str">
        <f t="shared" si="91"/>
        <v/>
      </c>
      <c r="BD494" s="218"/>
      <c r="BE494" s="219"/>
      <c r="BF494" s="220"/>
      <c r="BG494" s="219"/>
      <c r="BH494" s="219"/>
      <c r="BI494" s="220"/>
      <c r="BJ494" s="218"/>
      <c r="BK494" s="219"/>
      <c r="BL494" s="197"/>
      <c r="BM494" s="215"/>
      <c r="BN494" s="221"/>
      <c r="BO494" s="222" t="str">
        <f t="shared" si="92"/>
        <v/>
      </c>
      <c r="BP494" s="217" t="str">
        <f t="shared" si="93"/>
        <v/>
      </c>
      <c r="BQ494" s="215"/>
      <c r="BR494" s="224"/>
      <c r="BS494" s="225"/>
      <c r="BT494" s="223"/>
      <c r="BU494" s="215"/>
      <c r="BV494" s="226"/>
      <c r="BW494" s="222" t="str">
        <f t="shared" si="94"/>
        <v/>
      </c>
      <c r="BX494" s="223" t="str">
        <f t="shared" si="95"/>
        <v/>
      </c>
      <c r="BY494" s="215"/>
      <c r="BZ494" s="227"/>
      <c r="CA494" s="227"/>
      <c r="CB494" s="228"/>
      <c r="CC494" s="229"/>
      <c r="CD494" s="230" t="str">
        <f t="shared" si="96"/>
        <v/>
      </c>
      <c r="CE494" s="231" t="str">
        <f t="shared" si="97"/>
        <v/>
      </c>
      <c r="CF494" s="232" t="str">
        <f t="shared" si="98"/>
        <v/>
      </c>
      <c r="CG494" s="233" t="str">
        <f t="shared" si="99"/>
        <v/>
      </c>
      <c r="CH494" s="207" t="str">
        <f>IF(OR(G494="",CC494= ""), "", IF(ISERROR(SMALL((CJ494,CN494,CV494), 1)-CC494), "",  SMALL((CJ494,CN494,CV494), 1)-CC494))</f>
        <v/>
      </c>
      <c r="CI494" s="234"/>
      <c r="CJ494" s="235"/>
      <c r="CK494" s="236"/>
      <c r="CL494" s="222" t="str">
        <f t="shared" si="100"/>
        <v/>
      </c>
      <c r="CM494" s="237" t="str">
        <f>IF(OR(G494="", CJ494="",CK494=""), "", IF(ISERROR(SMALL((CN494,CV494), 1)-CK494), "",  SMALL((CN494,CV494), 1)-CK494))</f>
        <v/>
      </c>
      <c r="CN494" s="235"/>
      <c r="CO494" s="236"/>
      <c r="CP494" s="224" t="str">
        <f t="shared" si="101"/>
        <v/>
      </c>
      <c r="CQ494" s="235"/>
      <c r="CR494" s="236"/>
      <c r="CS494" s="222" t="str">
        <f t="shared" si="102"/>
        <v/>
      </c>
      <c r="CT494" s="237" t="str">
        <f t="shared" si="103"/>
        <v/>
      </c>
      <c r="CU494" s="238"/>
      <c r="CV494" s="239"/>
      <c r="CW494" s="240"/>
    </row>
    <row r="495" spans="2:101" ht="16.5" customHeight="1">
      <c r="B495" s="122"/>
      <c r="E495" s="122"/>
      <c r="F495" s="194"/>
      <c r="G495" s="195"/>
      <c r="H495" s="195"/>
      <c r="I495" s="195"/>
      <c r="J495" s="196"/>
      <c r="K495" s="197"/>
      <c r="L495" s="198"/>
      <c r="M495" s="199"/>
      <c r="N495" s="200"/>
      <c r="O495" s="201"/>
      <c r="P495" s="201"/>
      <c r="Q495" s="201"/>
      <c r="R495" s="201"/>
      <c r="S495" s="201"/>
      <c r="T495" s="201"/>
      <c r="U495" s="201"/>
      <c r="V495" s="201"/>
      <c r="W495" s="201"/>
      <c r="X495" s="202"/>
      <c r="Y495" s="203"/>
      <c r="Z495" s="204"/>
      <c r="AA495" s="205"/>
      <c r="AB495" s="206"/>
      <c r="AC495" s="206"/>
      <c r="AD495" s="194"/>
      <c r="AE495" s="201"/>
      <c r="AF495" s="207"/>
      <c r="AG495" s="208"/>
      <c r="AH495" s="209"/>
      <c r="AI495" s="210"/>
      <c r="AJ495" s="197"/>
      <c r="AK495" s="201"/>
      <c r="AL495" s="196"/>
      <c r="AM495" s="201"/>
      <c r="AN495" s="201"/>
      <c r="AO495" s="201"/>
      <c r="AP495" s="211"/>
      <c r="AQ495" s="212"/>
      <c r="AR495" s="201"/>
      <c r="AS495" s="201"/>
      <c r="AT495" s="201"/>
      <c r="AU495" s="201"/>
      <c r="AV495" s="202"/>
      <c r="AW495" s="194"/>
      <c r="AX495" s="201"/>
      <c r="AY495" s="213"/>
      <c r="AZ495" s="214"/>
      <c r="BA495" s="215"/>
      <c r="BB495" s="216"/>
      <c r="BC495" s="217" t="str">
        <f t="shared" si="91"/>
        <v/>
      </c>
      <c r="BD495" s="218"/>
      <c r="BE495" s="219"/>
      <c r="BF495" s="220"/>
      <c r="BG495" s="219"/>
      <c r="BH495" s="219"/>
      <c r="BI495" s="220"/>
      <c r="BJ495" s="218"/>
      <c r="BK495" s="219"/>
      <c r="BL495" s="197"/>
      <c r="BM495" s="215"/>
      <c r="BN495" s="221"/>
      <c r="BO495" s="222" t="str">
        <f t="shared" si="92"/>
        <v/>
      </c>
      <c r="BP495" s="217" t="str">
        <f t="shared" si="93"/>
        <v/>
      </c>
      <c r="BQ495" s="215"/>
      <c r="BR495" s="224"/>
      <c r="BS495" s="225"/>
      <c r="BT495" s="223"/>
      <c r="BU495" s="215"/>
      <c r="BV495" s="226"/>
      <c r="BW495" s="222" t="str">
        <f t="shared" si="94"/>
        <v/>
      </c>
      <c r="BX495" s="223" t="str">
        <f t="shared" si="95"/>
        <v/>
      </c>
      <c r="BY495" s="215"/>
      <c r="BZ495" s="227"/>
      <c r="CA495" s="227"/>
      <c r="CB495" s="228"/>
      <c r="CC495" s="229"/>
      <c r="CD495" s="230" t="str">
        <f t="shared" si="96"/>
        <v/>
      </c>
      <c r="CE495" s="231" t="str">
        <f t="shared" si="97"/>
        <v/>
      </c>
      <c r="CF495" s="232" t="str">
        <f t="shared" si="98"/>
        <v/>
      </c>
      <c r="CG495" s="233" t="str">
        <f t="shared" si="99"/>
        <v/>
      </c>
      <c r="CH495" s="207" t="str">
        <f>IF(OR(G495="",CC495= ""), "", IF(ISERROR(SMALL((CJ495,CN495,CV495), 1)-CC495), "",  SMALL((CJ495,CN495,CV495), 1)-CC495))</f>
        <v/>
      </c>
      <c r="CI495" s="234"/>
      <c r="CJ495" s="235"/>
      <c r="CK495" s="236"/>
      <c r="CL495" s="222" t="str">
        <f t="shared" si="100"/>
        <v/>
      </c>
      <c r="CM495" s="237" t="str">
        <f>IF(OR(G495="", CJ495="",CK495=""), "", IF(ISERROR(SMALL((CN495,CV495), 1)-CK495), "",  SMALL((CN495,CV495), 1)-CK495))</f>
        <v/>
      </c>
      <c r="CN495" s="235"/>
      <c r="CO495" s="236"/>
      <c r="CP495" s="224" t="str">
        <f t="shared" si="101"/>
        <v/>
      </c>
      <c r="CQ495" s="235"/>
      <c r="CR495" s="236"/>
      <c r="CS495" s="222" t="str">
        <f t="shared" si="102"/>
        <v/>
      </c>
      <c r="CT495" s="237" t="str">
        <f t="shared" si="103"/>
        <v/>
      </c>
      <c r="CU495" s="238"/>
      <c r="CV495" s="239"/>
      <c r="CW495" s="240"/>
    </row>
    <row r="496" spans="2:101" ht="16.5" customHeight="1">
      <c r="B496" s="122"/>
      <c r="E496" s="122"/>
      <c r="F496" s="194"/>
      <c r="G496" s="195"/>
      <c r="H496" s="195"/>
      <c r="I496" s="195"/>
      <c r="J496" s="196"/>
      <c r="K496" s="197"/>
      <c r="L496" s="198"/>
      <c r="M496" s="199"/>
      <c r="N496" s="200"/>
      <c r="O496" s="201"/>
      <c r="P496" s="201"/>
      <c r="Q496" s="201"/>
      <c r="R496" s="201"/>
      <c r="S496" s="201"/>
      <c r="T496" s="201"/>
      <c r="U496" s="201"/>
      <c r="V496" s="201"/>
      <c r="W496" s="201"/>
      <c r="X496" s="202"/>
      <c r="Y496" s="203"/>
      <c r="Z496" s="204"/>
      <c r="AA496" s="205"/>
      <c r="AB496" s="206"/>
      <c r="AC496" s="206"/>
      <c r="AD496" s="194"/>
      <c r="AE496" s="201"/>
      <c r="AF496" s="207"/>
      <c r="AG496" s="208"/>
      <c r="AH496" s="209"/>
      <c r="AI496" s="210"/>
      <c r="AJ496" s="197"/>
      <c r="AK496" s="201"/>
      <c r="AL496" s="196"/>
      <c r="AM496" s="201"/>
      <c r="AN496" s="201"/>
      <c r="AO496" s="201"/>
      <c r="AP496" s="211"/>
      <c r="AQ496" s="212"/>
      <c r="AR496" s="201"/>
      <c r="AS496" s="201"/>
      <c r="AT496" s="201"/>
      <c r="AU496" s="201"/>
      <c r="AV496" s="202"/>
      <c r="AW496" s="194"/>
      <c r="AX496" s="201"/>
      <c r="AY496" s="213"/>
      <c r="AZ496" s="214"/>
      <c r="BA496" s="215"/>
      <c r="BB496" s="216"/>
      <c r="BC496" s="217" t="str">
        <f t="shared" si="91"/>
        <v/>
      </c>
      <c r="BD496" s="218"/>
      <c r="BE496" s="219"/>
      <c r="BF496" s="220"/>
      <c r="BG496" s="219"/>
      <c r="BH496" s="219"/>
      <c r="BI496" s="220"/>
      <c r="BJ496" s="218"/>
      <c r="BK496" s="219"/>
      <c r="BL496" s="197"/>
      <c r="BM496" s="215"/>
      <c r="BN496" s="221"/>
      <c r="BO496" s="222" t="str">
        <f t="shared" si="92"/>
        <v/>
      </c>
      <c r="BP496" s="217" t="str">
        <f t="shared" si="93"/>
        <v/>
      </c>
      <c r="BQ496" s="215"/>
      <c r="BR496" s="224"/>
      <c r="BS496" s="225"/>
      <c r="BT496" s="223"/>
      <c r="BU496" s="215"/>
      <c r="BV496" s="226"/>
      <c r="BW496" s="222" t="str">
        <f t="shared" si="94"/>
        <v/>
      </c>
      <c r="BX496" s="223" t="str">
        <f t="shared" si="95"/>
        <v/>
      </c>
      <c r="BY496" s="215"/>
      <c r="BZ496" s="227"/>
      <c r="CA496" s="227"/>
      <c r="CB496" s="228"/>
      <c r="CC496" s="229"/>
      <c r="CD496" s="230" t="str">
        <f t="shared" si="96"/>
        <v/>
      </c>
      <c r="CE496" s="231" t="str">
        <f t="shared" si="97"/>
        <v/>
      </c>
      <c r="CF496" s="232" t="str">
        <f t="shared" si="98"/>
        <v/>
      </c>
      <c r="CG496" s="233" t="str">
        <f t="shared" si="99"/>
        <v/>
      </c>
      <c r="CH496" s="207" t="str">
        <f>IF(OR(G496="",CC496= ""), "", IF(ISERROR(SMALL((CJ496,CN496,CV496), 1)-CC496), "",  SMALL((CJ496,CN496,CV496), 1)-CC496))</f>
        <v/>
      </c>
      <c r="CI496" s="234"/>
      <c r="CJ496" s="235"/>
      <c r="CK496" s="236"/>
      <c r="CL496" s="222" t="str">
        <f t="shared" si="100"/>
        <v/>
      </c>
      <c r="CM496" s="237" t="str">
        <f>IF(OR(G496="", CJ496="",CK496=""), "", IF(ISERROR(SMALL((CN496,CV496), 1)-CK496), "",  SMALL((CN496,CV496), 1)-CK496))</f>
        <v/>
      </c>
      <c r="CN496" s="235"/>
      <c r="CO496" s="236"/>
      <c r="CP496" s="224" t="str">
        <f t="shared" si="101"/>
        <v/>
      </c>
      <c r="CQ496" s="235"/>
      <c r="CR496" s="236"/>
      <c r="CS496" s="222" t="str">
        <f t="shared" si="102"/>
        <v/>
      </c>
      <c r="CT496" s="237" t="str">
        <f t="shared" si="103"/>
        <v/>
      </c>
      <c r="CU496" s="238"/>
      <c r="CV496" s="239"/>
      <c r="CW496" s="240"/>
    </row>
    <row r="497" spans="2:101" ht="16.5" customHeight="1">
      <c r="B497" s="122"/>
      <c r="E497" s="122"/>
      <c r="F497" s="194"/>
      <c r="G497" s="195"/>
      <c r="H497" s="195"/>
      <c r="I497" s="195"/>
      <c r="J497" s="196"/>
      <c r="K497" s="197"/>
      <c r="L497" s="198"/>
      <c r="M497" s="199"/>
      <c r="N497" s="200"/>
      <c r="O497" s="201"/>
      <c r="P497" s="201"/>
      <c r="Q497" s="201"/>
      <c r="R497" s="201"/>
      <c r="S497" s="201"/>
      <c r="T497" s="201"/>
      <c r="U497" s="201"/>
      <c r="V497" s="201"/>
      <c r="W497" s="201"/>
      <c r="X497" s="202"/>
      <c r="Y497" s="203"/>
      <c r="Z497" s="204"/>
      <c r="AA497" s="205"/>
      <c r="AB497" s="206"/>
      <c r="AC497" s="206"/>
      <c r="AD497" s="194"/>
      <c r="AE497" s="201"/>
      <c r="AF497" s="207"/>
      <c r="AG497" s="208"/>
      <c r="AH497" s="209"/>
      <c r="AI497" s="210"/>
      <c r="AJ497" s="197"/>
      <c r="AK497" s="201"/>
      <c r="AL497" s="196"/>
      <c r="AM497" s="201"/>
      <c r="AN497" s="201"/>
      <c r="AO497" s="201"/>
      <c r="AP497" s="211"/>
      <c r="AQ497" s="212"/>
      <c r="AR497" s="201"/>
      <c r="AS497" s="201"/>
      <c r="AT497" s="201"/>
      <c r="AU497" s="201"/>
      <c r="AV497" s="202"/>
      <c r="AW497" s="194"/>
      <c r="AX497" s="201"/>
      <c r="AY497" s="213"/>
      <c r="AZ497" s="214"/>
      <c r="BA497" s="215"/>
      <c r="BB497" s="216"/>
      <c r="BC497" s="217" t="str">
        <f t="shared" si="91"/>
        <v/>
      </c>
      <c r="BD497" s="218"/>
      <c r="BE497" s="219"/>
      <c r="BF497" s="220"/>
      <c r="BG497" s="219"/>
      <c r="BH497" s="219"/>
      <c r="BI497" s="220"/>
      <c r="BJ497" s="218"/>
      <c r="BK497" s="219"/>
      <c r="BL497" s="197"/>
      <c r="BM497" s="215"/>
      <c r="BN497" s="221"/>
      <c r="BO497" s="222" t="str">
        <f t="shared" si="92"/>
        <v/>
      </c>
      <c r="BP497" s="217" t="str">
        <f t="shared" si="93"/>
        <v/>
      </c>
      <c r="BQ497" s="215"/>
      <c r="BR497" s="224"/>
      <c r="BS497" s="225"/>
      <c r="BT497" s="223"/>
      <c r="BU497" s="215"/>
      <c r="BV497" s="226"/>
      <c r="BW497" s="222" t="str">
        <f t="shared" si="94"/>
        <v/>
      </c>
      <c r="BX497" s="223" t="str">
        <f t="shared" si="95"/>
        <v/>
      </c>
      <c r="BY497" s="215"/>
      <c r="BZ497" s="227"/>
      <c r="CA497" s="227"/>
      <c r="CB497" s="228"/>
      <c r="CC497" s="229"/>
      <c r="CD497" s="230" t="str">
        <f t="shared" si="96"/>
        <v/>
      </c>
      <c r="CE497" s="231" t="str">
        <f t="shared" si="97"/>
        <v/>
      </c>
      <c r="CF497" s="232" t="str">
        <f t="shared" si="98"/>
        <v/>
      </c>
      <c r="CG497" s="233" t="str">
        <f t="shared" si="99"/>
        <v/>
      </c>
      <c r="CH497" s="207" t="str">
        <f>IF(OR(G497="",CC497= ""), "", IF(ISERROR(SMALL((CJ497,CN497,CV497), 1)-CC497), "",  SMALL((CJ497,CN497,CV497), 1)-CC497))</f>
        <v/>
      </c>
      <c r="CI497" s="234"/>
      <c r="CJ497" s="235"/>
      <c r="CK497" s="236"/>
      <c r="CL497" s="222" t="str">
        <f t="shared" si="100"/>
        <v/>
      </c>
      <c r="CM497" s="237" t="str">
        <f>IF(OR(G497="", CJ497="",CK497=""), "", IF(ISERROR(SMALL((CN497,CV497), 1)-CK497), "",  SMALL((CN497,CV497), 1)-CK497))</f>
        <v/>
      </c>
      <c r="CN497" s="235"/>
      <c r="CO497" s="236"/>
      <c r="CP497" s="224" t="str">
        <f t="shared" si="101"/>
        <v/>
      </c>
      <c r="CQ497" s="235"/>
      <c r="CR497" s="236"/>
      <c r="CS497" s="222" t="str">
        <f t="shared" si="102"/>
        <v/>
      </c>
      <c r="CT497" s="237" t="str">
        <f t="shared" si="103"/>
        <v/>
      </c>
      <c r="CU497" s="238"/>
      <c r="CV497" s="239"/>
      <c r="CW497" s="240"/>
    </row>
    <row r="498" spans="2:101" ht="16.5" customHeight="1">
      <c r="B498" s="122"/>
      <c r="E498" s="122"/>
      <c r="F498" s="194"/>
      <c r="G498" s="195"/>
      <c r="H498" s="195"/>
      <c r="I498" s="195"/>
      <c r="J498" s="196"/>
      <c r="K498" s="197"/>
      <c r="L498" s="198"/>
      <c r="M498" s="199"/>
      <c r="N498" s="200"/>
      <c r="O498" s="201"/>
      <c r="P498" s="201"/>
      <c r="Q498" s="201"/>
      <c r="R498" s="201"/>
      <c r="S498" s="201"/>
      <c r="T498" s="201"/>
      <c r="U498" s="201"/>
      <c r="V498" s="201"/>
      <c r="W498" s="201"/>
      <c r="X498" s="202"/>
      <c r="Y498" s="203"/>
      <c r="Z498" s="204"/>
      <c r="AA498" s="205"/>
      <c r="AB498" s="206"/>
      <c r="AC498" s="206"/>
      <c r="AD498" s="194"/>
      <c r="AE498" s="201"/>
      <c r="AF498" s="207"/>
      <c r="AG498" s="208"/>
      <c r="AH498" s="209"/>
      <c r="AI498" s="210"/>
      <c r="AJ498" s="197"/>
      <c r="AK498" s="201"/>
      <c r="AL498" s="196"/>
      <c r="AM498" s="201"/>
      <c r="AN498" s="201"/>
      <c r="AO498" s="201"/>
      <c r="AP498" s="211"/>
      <c r="AQ498" s="212"/>
      <c r="AR498" s="201"/>
      <c r="AS498" s="201"/>
      <c r="AT498" s="201"/>
      <c r="AU498" s="201"/>
      <c r="AV498" s="202"/>
      <c r="AW498" s="194"/>
      <c r="AX498" s="201"/>
      <c r="AY498" s="213"/>
      <c r="AZ498" s="214"/>
      <c r="BA498" s="215"/>
      <c r="BB498" s="216"/>
      <c r="BC498" s="217" t="str">
        <f t="shared" si="91"/>
        <v/>
      </c>
      <c r="BD498" s="218"/>
      <c r="BE498" s="219"/>
      <c r="BF498" s="220"/>
      <c r="BG498" s="219"/>
      <c r="BH498" s="219"/>
      <c r="BI498" s="220"/>
      <c r="BJ498" s="218"/>
      <c r="BK498" s="219"/>
      <c r="BL498" s="197"/>
      <c r="BM498" s="215"/>
      <c r="BN498" s="221"/>
      <c r="BO498" s="222" t="str">
        <f t="shared" si="92"/>
        <v/>
      </c>
      <c r="BP498" s="217" t="str">
        <f t="shared" si="93"/>
        <v/>
      </c>
      <c r="BQ498" s="215"/>
      <c r="BR498" s="224"/>
      <c r="BS498" s="225"/>
      <c r="BT498" s="223"/>
      <c r="BU498" s="215"/>
      <c r="BV498" s="226"/>
      <c r="BW498" s="222" t="str">
        <f t="shared" si="94"/>
        <v/>
      </c>
      <c r="BX498" s="223" t="str">
        <f t="shared" si="95"/>
        <v/>
      </c>
      <c r="BY498" s="215"/>
      <c r="BZ498" s="227"/>
      <c r="CA498" s="227"/>
      <c r="CB498" s="228"/>
      <c r="CC498" s="229"/>
      <c r="CD498" s="230" t="str">
        <f t="shared" si="96"/>
        <v/>
      </c>
      <c r="CE498" s="231" t="str">
        <f t="shared" si="97"/>
        <v/>
      </c>
      <c r="CF498" s="232" t="str">
        <f t="shared" si="98"/>
        <v/>
      </c>
      <c r="CG498" s="233" t="str">
        <f t="shared" si="99"/>
        <v/>
      </c>
      <c r="CH498" s="207" t="str">
        <f>IF(OR(G498="",CC498= ""), "", IF(ISERROR(SMALL((CJ498,CN498,CV498), 1)-CC498), "",  SMALL((CJ498,CN498,CV498), 1)-CC498))</f>
        <v/>
      </c>
      <c r="CI498" s="234"/>
      <c r="CJ498" s="235"/>
      <c r="CK498" s="236"/>
      <c r="CL498" s="222" t="str">
        <f t="shared" si="100"/>
        <v/>
      </c>
      <c r="CM498" s="237" t="str">
        <f>IF(OR(G498="", CJ498="",CK498=""), "", IF(ISERROR(SMALL((CN498,CV498), 1)-CK498), "",  SMALL((CN498,CV498), 1)-CK498))</f>
        <v/>
      </c>
      <c r="CN498" s="235"/>
      <c r="CO498" s="236"/>
      <c r="CP498" s="224" t="str">
        <f t="shared" si="101"/>
        <v/>
      </c>
      <c r="CQ498" s="235"/>
      <c r="CR498" s="236"/>
      <c r="CS498" s="222" t="str">
        <f t="shared" si="102"/>
        <v/>
      </c>
      <c r="CT498" s="237" t="str">
        <f t="shared" si="103"/>
        <v/>
      </c>
      <c r="CU498" s="238"/>
      <c r="CV498" s="239"/>
      <c r="CW498" s="240"/>
    </row>
    <row r="499" spans="2:101" ht="16.5" customHeight="1">
      <c r="B499" s="122"/>
      <c r="E499" s="122"/>
      <c r="F499" s="194"/>
      <c r="G499" s="195"/>
      <c r="H499" s="195"/>
      <c r="I499" s="195"/>
      <c r="J499" s="196"/>
      <c r="K499" s="197"/>
      <c r="L499" s="198"/>
      <c r="M499" s="199"/>
      <c r="N499" s="200"/>
      <c r="O499" s="201"/>
      <c r="P499" s="201"/>
      <c r="Q499" s="201"/>
      <c r="R499" s="201"/>
      <c r="S499" s="201"/>
      <c r="T499" s="201"/>
      <c r="U499" s="201"/>
      <c r="V499" s="201"/>
      <c r="W499" s="201"/>
      <c r="X499" s="202"/>
      <c r="Y499" s="203"/>
      <c r="Z499" s="204"/>
      <c r="AA499" s="205"/>
      <c r="AB499" s="206"/>
      <c r="AC499" s="206"/>
      <c r="AD499" s="194"/>
      <c r="AE499" s="201"/>
      <c r="AF499" s="207"/>
      <c r="AG499" s="208"/>
      <c r="AH499" s="209"/>
      <c r="AI499" s="210"/>
      <c r="AJ499" s="197"/>
      <c r="AK499" s="201"/>
      <c r="AL499" s="196"/>
      <c r="AM499" s="201"/>
      <c r="AN499" s="201"/>
      <c r="AO499" s="201"/>
      <c r="AP499" s="211"/>
      <c r="AQ499" s="212"/>
      <c r="AR499" s="201"/>
      <c r="AS499" s="201"/>
      <c r="AT499" s="201"/>
      <c r="AU499" s="201"/>
      <c r="AV499" s="202"/>
      <c r="AW499" s="194"/>
      <c r="AX499" s="201"/>
      <c r="AY499" s="213"/>
      <c r="AZ499" s="214"/>
      <c r="BA499" s="215"/>
      <c r="BB499" s="216"/>
      <c r="BC499" s="217" t="str">
        <f t="shared" si="91"/>
        <v/>
      </c>
      <c r="BD499" s="218"/>
      <c r="BE499" s="219"/>
      <c r="BF499" s="220"/>
      <c r="BG499" s="219"/>
      <c r="BH499" s="219"/>
      <c r="BI499" s="220"/>
      <c r="BJ499" s="218"/>
      <c r="BK499" s="219"/>
      <c r="BL499" s="197"/>
      <c r="BM499" s="215"/>
      <c r="BN499" s="221"/>
      <c r="BO499" s="222" t="str">
        <f t="shared" si="92"/>
        <v/>
      </c>
      <c r="BP499" s="217" t="str">
        <f t="shared" si="93"/>
        <v/>
      </c>
      <c r="BQ499" s="215"/>
      <c r="BR499" s="224"/>
      <c r="BS499" s="225"/>
      <c r="BT499" s="223"/>
      <c r="BU499" s="215"/>
      <c r="BV499" s="226"/>
      <c r="BW499" s="222" t="str">
        <f t="shared" si="94"/>
        <v/>
      </c>
      <c r="BX499" s="223" t="str">
        <f t="shared" si="95"/>
        <v/>
      </c>
      <c r="BY499" s="215"/>
      <c r="BZ499" s="227"/>
      <c r="CA499" s="227"/>
      <c r="CB499" s="228"/>
      <c r="CC499" s="229"/>
      <c r="CD499" s="230" t="str">
        <f t="shared" si="96"/>
        <v/>
      </c>
      <c r="CE499" s="231" t="str">
        <f t="shared" si="97"/>
        <v/>
      </c>
      <c r="CF499" s="232" t="str">
        <f t="shared" si="98"/>
        <v/>
      </c>
      <c r="CG499" s="233" t="str">
        <f t="shared" si="99"/>
        <v/>
      </c>
      <c r="CH499" s="207" t="str">
        <f>IF(OR(G499="",CC499= ""), "", IF(ISERROR(SMALL((CJ499,CN499,CV499), 1)-CC499), "",  SMALL((CJ499,CN499,CV499), 1)-CC499))</f>
        <v/>
      </c>
      <c r="CI499" s="234"/>
      <c r="CJ499" s="235"/>
      <c r="CK499" s="236"/>
      <c r="CL499" s="222" t="str">
        <f t="shared" si="100"/>
        <v/>
      </c>
      <c r="CM499" s="237" t="str">
        <f>IF(OR(G499="", CJ499="",CK499=""), "", IF(ISERROR(SMALL((CN499,CV499), 1)-CK499), "",  SMALL((CN499,CV499), 1)-CK499))</f>
        <v/>
      </c>
      <c r="CN499" s="235"/>
      <c r="CO499" s="236"/>
      <c r="CP499" s="224" t="str">
        <f t="shared" si="101"/>
        <v/>
      </c>
      <c r="CQ499" s="235"/>
      <c r="CR499" s="236"/>
      <c r="CS499" s="222" t="str">
        <f t="shared" si="102"/>
        <v/>
      </c>
      <c r="CT499" s="237" t="str">
        <f t="shared" si="103"/>
        <v/>
      </c>
      <c r="CU499" s="238"/>
      <c r="CV499" s="239"/>
      <c r="CW499" s="240"/>
    </row>
    <row r="500" spans="2:101" ht="16.5" customHeight="1">
      <c r="B500" s="122"/>
      <c r="E500" s="122"/>
      <c r="F500" s="194"/>
      <c r="G500" s="195"/>
      <c r="H500" s="195"/>
      <c r="I500" s="195"/>
      <c r="J500" s="196"/>
      <c r="K500" s="197"/>
      <c r="L500" s="198"/>
      <c r="M500" s="199"/>
      <c r="N500" s="200"/>
      <c r="O500" s="201"/>
      <c r="P500" s="201"/>
      <c r="Q500" s="201"/>
      <c r="R500" s="201"/>
      <c r="S500" s="201"/>
      <c r="T500" s="201"/>
      <c r="U500" s="201"/>
      <c r="V500" s="201"/>
      <c r="W500" s="201"/>
      <c r="X500" s="202"/>
      <c r="Y500" s="203"/>
      <c r="Z500" s="204"/>
      <c r="AA500" s="205"/>
      <c r="AB500" s="206"/>
      <c r="AC500" s="206"/>
      <c r="AD500" s="194"/>
      <c r="AE500" s="201"/>
      <c r="AF500" s="207"/>
      <c r="AG500" s="208"/>
      <c r="AH500" s="209"/>
      <c r="AI500" s="210"/>
      <c r="AJ500" s="197"/>
      <c r="AK500" s="201"/>
      <c r="AL500" s="196"/>
      <c r="AM500" s="201"/>
      <c r="AN500" s="201"/>
      <c r="AO500" s="201"/>
      <c r="AP500" s="211"/>
      <c r="AQ500" s="212"/>
      <c r="AR500" s="201"/>
      <c r="AS500" s="201"/>
      <c r="AT500" s="201"/>
      <c r="AU500" s="201"/>
      <c r="AV500" s="202"/>
      <c r="AW500" s="194"/>
      <c r="AX500" s="201"/>
      <c r="AY500" s="213"/>
      <c r="AZ500" s="214"/>
      <c r="BA500" s="215"/>
      <c r="BB500" s="216"/>
      <c r="BC500" s="217" t="str">
        <f t="shared" si="91"/>
        <v/>
      </c>
      <c r="BD500" s="218"/>
      <c r="BE500" s="219"/>
      <c r="BF500" s="220"/>
      <c r="BG500" s="219"/>
      <c r="BH500" s="219"/>
      <c r="BI500" s="220"/>
      <c r="BJ500" s="218"/>
      <c r="BK500" s="219"/>
      <c r="BL500" s="197"/>
      <c r="BM500" s="215"/>
      <c r="BN500" s="221"/>
      <c r="BO500" s="222" t="str">
        <f t="shared" si="92"/>
        <v/>
      </c>
      <c r="BP500" s="217" t="str">
        <f t="shared" si="93"/>
        <v/>
      </c>
      <c r="BQ500" s="215"/>
      <c r="BR500" s="224"/>
      <c r="BS500" s="225"/>
      <c r="BT500" s="223"/>
      <c r="BU500" s="215"/>
      <c r="BV500" s="226"/>
      <c r="BW500" s="222" t="str">
        <f t="shared" si="94"/>
        <v/>
      </c>
      <c r="BX500" s="223" t="str">
        <f t="shared" si="95"/>
        <v/>
      </c>
      <c r="BY500" s="215"/>
      <c r="BZ500" s="227"/>
      <c r="CA500" s="227"/>
      <c r="CB500" s="228"/>
      <c r="CC500" s="229"/>
      <c r="CD500" s="230" t="str">
        <f t="shared" si="96"/>
        <v/>
      </c>
      <c r="CE500" s="231" t="str">
        <f t="shared" si="97"/>
        <v/>
      </c>
      <c r="CF500" s="232" t="str">
        <f t="shared" si="98"/>
        <v/>
      </c>
      <c r="CG500" s="233" t="str">
        <f t="shared" si="99"/>
        <v/>
      </c>
      <c r="CH500" s="207" t="str">
        <f>IF(OR(G500="",CC500= ""), "", IF(ISERROR(SMALL((CJ500,CN500,CV500), 1)-CC500), "",  SMALL((CJ500,CN500,CV500), 1)-CC500))</f>
        <v/>
      </c>
      <c r="CI500" s="234"/>
      <c r="CJ500" s="235"/>
      <c r="CK500" s="236"/>
      <c r="CL500" s="222" t="str">
        <f t="shared" si="100"/>
        <v/>
      </c>
      <c r="CM500" s="237" t="str">
        <f>IF(OR(G500="", CJ500="",CK500=""), "", IF(ISERROR(SMALL((CN500,CV500), 1)-CK500), "",  SMALL((CN500,CV500), 1)-CK500))</f>
        <v/>
      </c>
      <c r="CN500" s="235"/>
      <c r="CO500" s="236"/>
      <c r="CP500" s="224" t="str">
        <f t="shared" si="101"/>
        <v/>
      </c>
      <c r="CQ500" s="235"/>
      <c r="CR500" s="236"/>
      <c r="CS500" s="222" t="str">
        <f t="shared" si="102"/>
        <v/>
      </c>
      <c r="CT500" s="237" t="str">
        <f t="shared" si="103"/>
        <v/>
      </c>
      <c r="CU500" s="238"/>
      <c r="CV500" s="239"/>
      <c r="CW500" s="240"/>
    </row>
    <row r="501" spans="2:101" ht="16.5" customHeight="1">
      <c r="B501" s="122"/>
      <c r="E501" s="122"/>
      <c r="F501" s="194"/>
      <c r="G501" s="195"/>
      <c r="H501" s="195"/>
      <c r="I501" s="195"/>
      <c r="J501" s="196"/>
      <c r="K501" s="197"/>
      <c r="L501" s="198"/>
      <c r="M501" s="199"/>
      <c r="N501" s="200"/>
      <c r="O501" s="201"/>
      <c r="P501" s="201"/>
      <c r="Q501" s="201"/>
      <c r="R501" s="201"/>
      <c r="S501" s="201"/>
      <c r="T501" s="201"/>
      <c r="U501" s="201"/>
      <c r="V501" s="201"/>
      <c r="W501" s="201"/>
      <c r="X501" s="202"/>
      <c r="Y501" s="203"/>
      <c r="Z501" s="204"/>
      <c r="AA501" s="205"/>
      <c r="AB501" s="206"/>
      <c r="AC501" s="206"/>
      <c r="AD501" s="194"/>
      <c r="AE501" s="201"/>
      <c r="AF501" s="207"/>
      <c r="AG501" s="208"/>
      <c r="AH501" s="209"/>
      <c r="AI501" s="210"/>
      <c r="AJ501" s="197"/>
      <c r="AK501" s="201"/>
      <c r="AL501" s="196"/>
      <c r="AM501" s="201"/>
      <c r="AN501" s="201"/>
      <c r="AO501" s="201"/>
      <c r="AP501" s="211"/>
      <c r="AQ501" s="212"/>
      <c r="AR501" s="201"/>
      <c r="AS501" s="201"/>
      <c r="AT501" s="201"/>
      <c r="AU501" s="201"/>
      <c r="AV501" s="202"/>
      <c r="AW501" s="194"/>
      <c r="AX501" s="201"/>
      <c r="AY501" s="213"/>
      <c r="AZ501" s="214"/>
      <c r="BA501" s="215"/>
      <c r="BB501" s="216"/>
      <c r="BC501" s="217" t="str">
        <f t="shared" si="91"/>
        <v/>
      </c>
      <c r="BD501" s="218"/>
      <c r="BE501" s="219"/>
      <c r="BF501" s="220"/>
      <c r="BG501" s="219"/>
      <c r="BH501" s="219"/>
      <c r="BI501" s="220"/>
      <c r="BJ501" s="218"/>
      <c r="BK501" s="219"/>
      <c r="BL501" s="197"/>
      <c r="BM501" s="215"/>
      <c r="BN501" s="221"/>
      <c r="BO501" s="222" t="str">
        <f t="shared" si="92"/>
        <v/>
      </c>
      <c r="BP501" s="217" t="str">
        <f t="shared" si="93"/>
        <v/>
      </c>
      <c r="BQ501" s="215"/>
      <c r="BR501" s="224"/>
      <c r="BS501" s="225"/>
      <c r="BT501" s="223"/>
      <c r="BU501" s="215"/>
      <c r="BV501" s="226"/>
      <c r="BW501" s="222" t="str">
        <f t="shared" si="94"/>
        <v/>
      </c>
      <c r="BX501" s="223" t="str">
        <f t="shared" si="95"/>
        <v/>
      </c>
      <c r="BY501" s="215"/>
      <c r="BZ501" s="227"/>
      <c r="CA501" s="227"/>
      <c r="CB501" s="228"/>
      <c r="CC501" s="229"/>
      <c r="CD501" s="230" t="str">
        <f t="shared" si="96"/>
        <v/>
      </c>
      <c r="CE501" s="231" t="str">
        <f t="shared" si="97"/>
        <v/>
      </c>
      <c r="CF501" s="232" t="str">
        <f t="shared" si="98"/>
        <v/>
      </c>
      <c r="CG501" s="233" t="str">
        <f t="shared" si="99"/>
        <v/>
      </c>
      <c r="CH501" s="207" t="str">
        <f>IF(OR(G501="",CC501= ""), "", IF(ISERROR(SMALL((CJ501,CN501,CV501), 1)-CC501), "",  SMALL((CJ501,CN501,CV501), 1)-CC501))</f>
        <v/>
      </c>
      <c r="CI501" s="234"/>
      <c r="CJ501" s="235"/>
      <c r="CK501" s="236"/>
      <c r="CL501" s="222" t="str">
        <f t="shared" si="100"/>
        <v/>
      </c>
      <c r="CM501" s="237" t="str">
        <f>IF(OR(G501="", CJ501="",CK501=""), "", IF(ISERROR(SMALL((CN501,CV501), 1)-CK501), "",  SMALL((CN501,CV501), 1)-CK501))</f>
        <v/>
      </c>
      <c r="CN501" s="235"/>
      <c r="CO501" s="236"/>
      <c r="CP501" s="224" t="str">
        <f t="shared" si="101"/>
        <v/>
      </c>
      <c r="CQ501" s="235"/>
      <c r="CR501" s="236"/>
      <c r="CS501" s="222" t="str">
        <f t="shared" si="102"/>
        <v/>
      </c>
      <c r="CT501" s="237" t="str">
        <f t="shared" si="103"/>
        <v/>
      </c>
      <c r="CU501" s="238"/>
      <c r="CV501" s="239"/>
      <c r="CW501" s="240"/>
    </row>
    <row r="502" spans="2:101" ht="16.5" customHeight="1">
      <c r="B502" s="122"/>
      <c r="E502" s="122"/>
      <c r="F502" s="194"/>
      <c r="G502" s="195"/>
      <c r="H502" s="195"/>
      <c r="I502" s="195"/>
      <c r="J502" s="196"/>
      <c r="K502" s="197"/>
      <c r="L502" s="198"/>
      <c r="M502" s="199"/>
      <c r="N502" s="200"/>
      <c r="O502" s="201"/>
      <c r="P502" s="201"/>
      <c r="Q502" s="201"/>
      <c r="R502" s="201"/>
      <c r="S502" s="201"/>
      <c r="T502" s="201"/>
      <c r="U502" s="201"/>
      <c r="V502" s="201"/>
      <c r="W502" s="201"/>
      <c r="X502" s="202"/>
      <c r="Y502" s="203"/>
      <c r="Z502" s="204"/>
      <c r="AA502" s="205"/>
      <c r="AB502" s="206"/>
      <c r="AC502" s="206"/>
      <c r="AD502" s="194"/>
      <c r="AE502" s="201"/>
      <c r="AF502" s="207"/>
      <c r="AG502" s="208"/>
      <c r="AH502" s="209"/>
      <c r="AI502" s="210"/>
      <c r="AJ502" s="197"/>
      <c r="AK502" s="201"/>
      <c r="AL502" s="196"/>
      <c r="AM502" s="201"/>
      <c r="AN502" s="201"/>
      <c r="AO502" s="201"/>
      <c r="AP502" s="211"/>
      <c r="AQ502" s="212"/>
      <c r="AR502" s="201"/>
      <c r="AS502" s="201"/>
      <c r="AT502" s="201"/>
      <c r="AU502" s="201"/>
      <c r="AV502" s="202"/>
      <c r="AW502" s="194"/>
      <c r="AX502" s="201"/>
      <c r="AY502" s="213"/>
      <c r="AZ502" s="214"/>
      <c r="BA502" s="215"/>
      <c r="BB502" s="216"/>
      <c r="BC502" s="217" t="str">
        <f t="shared" si="91"/>
        <v/>
      </c>
      <c r="BD502" s="218"/>
      <c r="BE502" s="219"/>
      <c r="BF502" s="220"/>
      <c r="BG502" s="219"/>
      <c r="BH502" s="219"/>
      <c r="BI502" s="220"/>
      <c r="BJ502" s="218"/>
      <c r="BK502" s="219"/>
      <c r="BL502" s="197"/>
      <c r="BM502" s="215"/>
      <c r="BN502" s="221"/>
      <c r="BO502" s="222" t="str">
        <f t="shared" si="92"/>
        <v/>
      </c>
      <c r="BP502" s="217" t="str">
        <f t="shared" si="93"/>
        <v/>
      </c>
      <c r="BQ502" s="215"/>
      <c r="BR502" s="224"/>
      <c r="BS502" s="225"/>
      <c r="BT502" s="223"/>
      <c r="BU502" s="215"/>
      <c r="BV502" s="226"/>
      <c r="BW502" s="222" t="str">
        <f t="shared" si="94"/>
        <v/>
      </c>
      <c r="BX502" s="223" t="str">
        <f t="shared" si="95"/>
        <v/>
      </c>
      <c r="BY502" s="215"/>
      <c r="BZ502" s="227"/>
      <c r="CA502" s="227"/>
      <c r="CB502" s="228"/>
      <c r="CC502" s="229"/>
      <c r="CD502" s="230" t="str">
        <f t="shared" si="96"/>
        <v/>
      </c>
      <c r="CE502" s="231" t="str">
        <f t="shared" si="97"/>
        <v/>
      </c>
      <c r="CF502" s="232" t="str">
        <f t="shared" si="98"/>
        <v/>
      </c>
      <c r="CG502" s="233" t="str">
        <f t="shared" si="99"/>
        <v/>
      </c>
      <c r="CH502" s="207" t="str">
        <f>IF(OR(G502="",CC502= ""), "", IF(ISERROR(SMALL((CJ502,CN502,CV502), 1)-CC502), "",  SMALL((CJ502,CN502,CV502), 1)-CC502))</f>
        <v/>
      </c>
      <c r="CI502" s="234"/>
      <c r="CJ502" s="235"/>
      <c r="CK502" s="236"/>
      <c r="CL502" s="222" t="str">
        <f t="shared" si="100"/>
        <v/>
      </c>
      <c r="CM502" s="237" t="str">
        <f>IF(OR(G502="", CJ502="",CK502=""), "", IF(ISERROR(SMALL((CN502,CV502), 1)-CK502), "",  SMALL((CN502,CV502), 1)-CK502))</f>
        <v/>
      </c>
      <c r="CN502" s="235"/>
      <c r="CO502" s="236"/>
      <c r="CP502" s="224" t="str">
        <f t="shared" si="101"/>
        <v/>
      </c>
      <c r="CQ502" s="235"/>
      <c r="CR502" s="236"/>
      <c r="CS502" s="222" t="str">
        <f t="shared" si="102"/>
        <v/>
      </c>
      <c r="CT502" s="237" t="str">
        <f t="shared" si="103"/>
        <v/>
      </c>
      <c r="CU502" s="238"/>
      <c r="CV502" s="239"/>
      <c r="CW502" s="240"/>
    </row>
    <row r="503" spans="2:101" ht="16.5" customHeight="1">
      <c r="B503" s="122"/>
      <c r="E503" s="122"/>
      <c r="F503" s="194"/>
      <c r="G503" s="195"/>
      <c r="H503" s="195"/>
      <c r="I503" s="195"/>
      <c r="J503" s="196"/>
      <c r="K503" s="197"/>
      <c r="L503" s="198"/>
      <c r="M503" s="199"/>
      <c r="N503" s="200"/>
      <c r="O503" s="201"/>
      <c r="P503" s="201"/>
      <c r="Q503" s="201"/>
      <c r="R503" s="201"/>
      <c r="S503" s="201"/>
      <c r="T503" s="201"/>
      <c r="U503" s="201"/>
      <c r="V503" s="201"/>
      <c r="W503" s="201"/>
      <c r="X503" s="202"/>
      <c r="Y503" s="203"/>
      <c r="Z503" s="204"/>
      <c r="AA503" s="205"/>
      <c r="AB503" s="206"/>
      <c r="AC503" s="206"/>
      <c r="AD503" s="194"/>
      <c r="AE503" s="201"/>
      <c r="AF503" s="207"/>
      <c r="AG503" s="208"/>
      <c r="AH503" s="209"/>
      <c r="AI503" s="210"/>
      <c r="AJ503" s="197"/>
      <c r="AK503" s="201"/>
      <c r="AL503" s="196"/>
      <c r="AM503" s="201"/>
      <c r="AN503" s="201"/>
      <c r="AO503" s="201"/>
      <c r="AP503" s="211"/>
      <c r="AQ503" s="212"/>
      <c r="AR503" s="201"/>
      <c r="AS503" s="201"/>
      <c r="AT503" s="201"/>
      <c r="AU503" s="201"/>
      <c r="AV503" s="202"/>
      <c r="AW503" s="194"/>
      <c r="AX503" s="201"/>
      <c r="AY503" s="213"/>
      <c r="AZ503" s="214"/>
      <c r="BA503" s="215"/>
      <c r="BB503" s="216"/>
      <c r="BC503" s="217" t="str">
        <f t="shared" si="91"/>
        <v/>
      </c>
      <c r="BD503" s="218"/>
      <c r="BE503" s="219"/>
      <c r="BF503" s="220"/>
      <c r="BG503" s="219"/>
      <c r="BH503" s="219"/>
      <c r="BI503" s="220"/>
      <c r="BJ503" s="218"/>
      <c r="BK503" s="219"/>
      <c r="BL503" s="197"/>
      <c r="BM503" s="215"/>
      <c r="BN503" s="221"/>
      <c r="BO503" s="222" t="str">
        <f t="shared" si="92"/>
        <v/>
      </c>
      <c r="BP503" s="217" t="str">
        <f t="shared" si="93"/>
        <v/>
      </c>
      <c r="BQ503" s="215"/>
      <c r="BR503" s="224"/>
      <c r="BS503" s="225"/>
      <c r="BT503" s="223"/>
      <c r="BU503" s="215"/>
      <c r="BV503" s="226"/>
      <c r="BW503" s="222" t="str">
        <f t="shared" si="94"/>
        <v/>
      </c>
      <c r="BX503" s="223" t="str">
        <f t="shared" si="95"/>
        <v/>
      </c>
      <c r="BY503" s="215"/>
      <c r="BZ503" s="227"/>
      <c r="CA503" s="227"/>
      <c r="CB503" s="228"/>
      <c r="CC503" s="229"/>
      <c r="CD503" s="230" t="str">
        <f t="shared" si="96"/>
        <v/>
      </c>
      <c r="CE503" s="231" t="str">
        <f t="shared" si="97"/>
        <v/>
      </c>
      <c r="CF503" s="232" t="str">
        <f t="shared" si="98"/>
        <v/>
      </c>
      <c r="CG503" s="233" t="str">
        <f t="shared" si="99"/>
        <v/>
      </c>
      <c r="CH503" s="207" t="str">
        <f>IF(OR(G503="",CC503= ""), "", IF(ISERROR(SMALL((CJ503,CN503,CV503), 1)-CC503), "",  SMALL((CJ503,CN503,CV503), 1)-CC503))</f>
        <v/>
      </c>
      <c r="CI503" s="234"/>
      <c r="CJ503" s="235"/>
      <c r="CK503" s="236"/>
      <c r="CL503" s="222" t="str">
        <f t="shared" si="100"/>
        <v/>
      </c>
      <c r="CM503" s="237" t="str">
        <f>IF(OR(G503="", CJ503="",CK503=""), "", IF(ISERROR(SMALL((CN503,CV503), 1)-CK503), "",  SMALL((CN503,CV503), 1)-CK503))</f>
        <v/>
      </c>
      <c r="CN503" s="235"/>
      <c r="CO503" s="236"/>
      <c r="CP503" s="224" t="str">
        <f t="shared" si="101"/>
        <v/>
      </c>
      <c r="CQ503" s="235"/>
      <c r="CR503" s="236"/>
      <c r="CS503" s="222" t="str">
        <f t="shared" si="102"/>
        <v/>
      </c>
      <c r="CT503" s="237" t="str">
        <f t="shared" si="103"/>
        <v/>
      </c>
      <c r="CU503" s="238"/>
      <c r="CV503" s="239"/>
      <c r="CW503" s="240"/>
    </row>
    <row r="504" spans="2:101" ht="16.5" customHeight="1">
      <c r="B504" s="122"/>
      <c r="E504" s="122"/>
      <c r="F504" s="194"/>
      <c r="G504" s="195"/>
      <c r="H504" s="195"/>
      <c r="I504" s="195"/>
      <c r="J504" s="196"/>
      <c r="K504" s="197"/>
      <c r="L504" s="198"/>
      <c r="M504" s="199"/>
      <c r="N504" s="200"/>
      <c r="O504" s="201"/>
      <c r="P504" s="201"/>
      <c r="Q504" s="201"/>
      <c r="R504" s="201"/>
      <c r="S504" s="201"/>
      <c r="T504" s="201"/>
      <c r="U504" s="201"/>
      <c r="V504" s="201"/>
      <c r="W504" s="201"/>
      <c r="X504" s="202"/>
      <c r="Y504" s="203"/>
      <c r="Z504" s="204"/>
      <c r="AA504" s="205"/>
      <c r="AB504" s="206"/>
      <c r="AC504" s="206"/>
      <c r="AD504" s="194"/>
      <c r="AE504" s="201"/>
      <c r="AF504" s="207"/>
      <c r="AG504" s="208"/>
      <c r="AH504" s="209"/>
      <c r="AI504" s="210"/>
      <c r="AJ504" s="197"/>
      <c r="AK504" s="201"/>
      <c r="AL504" s="196"/>
      <c r="AM504" s="201"/>
      <c r="AN504" s="201"/>
      <c r="AO504" s="201"/>
      <c r="AP504" s="211"/>
      <c r="AQ504" s="212"/>
      <c r="AR504" s="201"/>
      <c r="AS504" s="201"/>
      <c r="AT504" s="201"/>
      <c r="AU504" s="201"/>
      <c r="AV504" s="202"/>
      <c r="AW504" s="194"/>
      <c r="AX504" s="201"/>
      <c r="AY504" s="213"/>
      <c r="AZ504" s="214"/>
      <c r="BA504" s="215"/>
      <c r="BB504" s="216"/>
      <c r="BC504" s="217" t="str">
        <f t="shared" si="91"/>
        <v/>
      </c>
      <c r="BD504" s="218"/>
      <c r="BE504" s="219"/>
      <c r="BF504" s="220"/>
      <c r="BG504" s="219"/>
      <c r="BH504" s="219"/>
      <c r="BI504" s="220"/>
      <c r="BJ504" s="218"/>
      <c r="BK504" s="219"/>
      <c r="BL504" s="197"/>
      <c r="BM504" s="215"/>
      <c r="BN504" s="221"/>
      <c r="BO504" s="222" t="str">
        <f t="shared" si="92"/>
        <v/>
      </c>
      <c r="BP504" s="217" t="str">
        <f t="shared" si="93"/>
        <v/>
      </c>
      <c r="BQ504" s="215"/>
      <c r="BR504" s="224"/>
      <c r="BS504" s="225"/>
      <c r="BT504" s="223"/>
      <c r="BU504" s="215"/>
      <c r="BV504" s="226"/>
      <c r="BW504" s="222" t="str">
        <f t="shared" si="94"/>
        <v/>
      </c>
      <c r="BX504" s="223" t="str">
        <f t="shared" si="95"/>
        <v/>
      </c>
      <c r="BY504" s="215"/>
      <c r="BZ504" s="227"/>
      <c r="CA504" s="227"/>
      <c r="CB504" s="228"/>
      <c r="CC504" s="229"/>
      <c r="CD504" s="230" t="str">
        <f t="shared" si="96"/>
        <v/>
      </c>
      <c r="CE504" s="231" t="str">
        <f t="shared" si="97"/>
        <v/>
      </c>
      <c r="CF504" s="232" t="str">
        <f t="shared" si="98"/>
        <v/>
      </c>
      <c r="CG504" s="233" t="str">
        <f t="shared" si="99"/>
        <v/>
      </c>
      <c r="CH504" s="207" t="str">
        <f>IF(OR(G504="",CC504= ""), "", IF(ISERROR(SMALL((CJ504,CN504,CV504), 1)-CC504), "",  SMALL((CJ504,CN504,CV504), 1)-CC504))</f>
        <v/>
      </c>
      <c r="CI504" s="234"/>
      <c r="CJ504" s="235"/>
      <c r="CK504" s="236"/>
      <c r="CL504" s="222" t="str">
        <f t="shared" si="100"/>
        <v/>
      </c>
      <c r="CM504" s="237" t="str">
        <f>IF(OR(G504="", CJ504="",CK504=""), "", IF(ISERROR(SMALL((CN504,CV504), 1)-CK504), "",  SMALL((CN504,CV504), 1)-CK504))</f>
        <v/>
      </c>
      <c r="CN504" s="235"/>
      <c r="CO504" s="236"/>
      <c r="CP504" s="224" t="str">
        <f t="shared" si="101"/>
        <v/>
      </c>
      <c r="CQ504" s="235"/>
      <c r="CR504" s="236"/>
      <c r="CS504" s="222" t="str">
        <f t="shared" si="102"/>
        <v/>
      </c>
      <c r="CT504" s="237" t="str">
        <f t="shared" si="103"/>
        <v/>
      </c>
      <c r="CU504" s="238"/>
      <c r="CV504" s="239"/>
      <c r="CW504" s="240"/>
    </row>
    <row r="505" spans="2:101" ht="16.5" customHeight="1">
      <c r="B505" s="122"/>
      <c r="E505" s="122"/>
      <c r="F505" s="194"/>
      <c r="G505" s="195"/>
      <c r="H505" s="195"/>
      <c r="I505" s="195"/>
      <c r="J505" s="196"/>
      <c r="K505" s="197"/>
      <c r="L505" s="198"/>
      <c r="M505" s="199"/>
      <c r="N505" s="200"/>
      <c r="O505" s="201"/>
      <c r="P505" s="201"/>
      <c r="Q505" s="201"/>
      <c r="R505" s="201"/>
      <c r="S505" s="201"/>
      <c r="T505" s="201"/>
      <c r="U505" s="201"/>
      <c r="V505" s="201"/>
      <c r="W505" s="201"/>
      <c r="X505" s="202"/>
      <c r="Y505" s="203"/>
      <c r="Z505" s="204"/>
      <c r="AA505" s="205"/>
      <c r="AB505" s="206"/>
      <c r="AC505" s="206"/>
      <c r="AD505" s="194"/>
      <c r="AE505" s="201"/>
      <c r="AF505" s="207"/>
      <c r="AG505" s="208"/>
      <c r="AH505" s="209"/>
      <c r="AI505" s="210"/>
      <c r="AJ505" s="197"/>
      <c r="AK505" s="201"/>
      <c r="AL505" s="196"/>
      <c r="AM505" s="201"/>
      <c r="AN505" s="201"/>
      <c r="AO505" s="201"/>
      <c r="AP505" s="211"/>
      <c r="AQ505" s="212"/>
      <c r="AR505" s="201"/>
      <c r="AS505" s="201"/>
      <c r="AT505" s="201"/>
      <c r="AU505" s="201"/>
      <c r="AV505" s="202"/>
      <c r="AW505" s="194"/>
      <c r="AX505" s="201"/>
      <c r="AY505" s="213"/>
      <c r="AZ505" s="214"/>
      <c r="BA505" s="215"/>
      <c r="BB505" s="216"/>
      <c r="BC505" s="217" t="str">
        <f t="shared" si="91"/>
        <v/>
      </c>
      <c r="BD505" s="218"/>
      <c r="BE505" s="219"/>
      <c r="BF505" s="220"/>
      <c r="BG505" s="219"/>
      <c r="BH505" s="219"/>
      <c r="BI505" s="220"/>
      <c r="BJ505" s="218"/>
      <c r="BK505" s="219"/>
      <c r="BL505" s="197"/>
      <c r="BM505" s="215"/>
      <c r="BN505" s="221"/>
      <c r="BO505" s="222" t="str">
        <f t="shared" si="92"/>
        <v/>
      </c>
      <c r="BP505" s="217" t="str">
        <f t="shared" si="93"/>
        <v/>
      </c>
      <c r="BQ505" s="215"/>
      <c r="BR505" s="224"/>
      <c r="BS505" s="225"/>
      <c r="BT505" s="223"/>
      <c r="BU505" s="215"/>
      <c r="BV505" s="226"/>
      <c r="BW505" s="222" t="str">
        <f t="shared" si="94"/>
        <v/>
      </c>
      <c r="BX505" s="223" t="str">
        <f t="shared" si="95"/>
        <v/>
      </c>
      <c r="BY505" s="215"/>
      <c r="BZ505" s="227"/>
      <c r="CA505" s="227"/>
      <c r="CB505" s="228"/>
      <c r="CC505" s="229"/>
      <c r="CD505" s="230" t="str">
        <f t="shared" si="96"/>
        <v/>
      </c>
      <c r="CE505" s="231" t="str">
        <f t="shared" si="97"/>
        <v/>
      </c>
      <c r="CF505" s="232" t="str">
        <f t="shared" si="98"/>
        <v/>
      </c>
      <c r="CG505" s="233" t="str">
        <f t="shared" si="99"/>
        <v/>
      </c>
      <c r="CH505" s="207" t="str">
        <f>IF(OR(G505="",CC505= ""), "", IF(ISERROR(SMALL((CJ505,CN505,CV505), 1)-CC505), "",  SMALL((CJ505,CN505,CV505), 1)-CC505))</f>
        <v/>
      </c>
      <c r="CI505" s="234"/>
      <c r="CJ505" s="235"/>
      <c r="CK505" s="236"/>
      <c r="CL505" s="222" t="str">
        <f t="shared" si="100"/>
        <v/>
      </c>
      <c r="CM505" s="237" t="str">
        <f>IF(OR(G505="", CJ505="",CK505=""), "", IF(ISERROR(SMALL((CN505,CV505), 1)-CK505), "",  SMALL((CN505,CV505), 1)-CK505))</f>
        <v/>
      </c>
      <c r="CN505" s="235"/>
      <c r="CO505" s="236"/>
      <c r="CP505" s="224" t="str">
        <f t="shared" si="101"/>
        <v/>
      </c>
      <c r="CQ505" s="235"/>
      <c r="CR505" s="236"/>
      <c r="CS505" s="222" t="str">
        <f t="shared" si="102"/>
        <v/>
      </c>
      <c r="CT505" s="237" t="str">
        <f t="shared" si="103"/>
        <v/>
      </c>
      <c r="CU505" s="238"/>
      <c r="CV505" s="239"/>
      <c r="CW505" s="240"/>
    </row>
    <row r="506" spans="2:101" ht="16.5" customHeight="1">
      <c r="B506" s="122"/>
      <c r="E506" s="122"/>
      <c r="F506" s="194"/>
      <c r="G506" s="195"/>
      <c r="H506" s="195"/>
      <c r="I506" s="195"/>
      <c r="J506" s="196"/>
      <c r="K506" s="197"/>
      <c r="L506" s="198"/>
      <c r="M506" s="199"/>
      <c r="N506" s="200"/>
      <c r="O506" s="201"/>
      <c r="P506" s="201"/>
      <c r="Q506" s="201"/>
      <c r="R506" s="201"/>
      <c r="S506" s="201"/>
      <c r="T506" s="201"/>
      <c r="U506" s="201"/>
      <c r="V506" s="201"/>
      <c r="W506" s="201"/>
      <c r="X506" s="202"/>
      <c r="Y506" s="203"/>
      <c r="Z506" s="204"/>
      <c r="AA506" s="205"/>
      <c r="AB506" s="206"/>
      <c r="AC506" s="206"/>
      <c r="AD506" s="194"/>
      <c r="AE506" s="201"/>
      <c r="AF506" s="207"/>
      <c r="AG506" s="208"/>
      <c r="AH506" s="209"/>
      <c r="AI506" s="210"/>
      <c r="AJ506" s="197"/>
      <c r="AK506" s="201"/>
      <c r="AL506" s="196"/>
      <c r="AM506" s="201"/>
      <c r="AN506" s="201"/>
      <c r="AO506" s="201"/>
      <c r="AP506" s="211"/>
      <c r="AQ506" s="212"/>
      <c r="AR506" s="201"/>
      <c r="AS506" s="201"/>
      <c r="AT506" s="201"/>
      <c r="AU506" s="201"/>
      <c r="AV506" s="202"/>
      <c r="AW506" s="194"/>
      <c r="AX506" s="201"/>
      <c r="AY506" s="213"/>
      <c r="AZ506" s="214"/>
      <c r="BA506" s="215"/>
      <c r="BB506" s="216"/>
      <c r="BC506" s="217" t="str">
        <f t="shared" si="91"/>
        <v/>
      </c>
      <c r="BD506" s="218"/>
      <c r="BE506" s="219"/>
      <c r="BF506" s="220"/>
      <c r="BG506" s="219"/>
      <c r="BH506" s="219"/>
      <c r="BI506" s="220"/>
      <c r="BJ506" s="218"/>
      <c r="BK506" s="219"/>
      <c r="BL506" s="197"/>
      <c r="BM506" s="215"/>
      <c r="BN506" s="221"/>
      <c r="BO506" s="222" t="str">
        <f t="shared" si="92"/>
        <v/>
      </c>
      <c r="BP506" s="217" t="str">
        <f t="shared" si="93"/>
        <v/>
      </c>
      <c r="BQ506" s="215"/>
      <c r="BR506" s="224"/>
      <c r="BS506" s="225"/>
      <c r="BT506" s="223"/>
      <c r="BU506" s="215"/>
      <c r="BV506" s="226"/>
      <c r="BW506" s="222" t="str">
        <f t="shared" si="94"/>
        <v/>
      </c>
      <c r="BX506" s="223" t="str">
        <f t="shared" si="95"/>
        <v/>
      </c>
      <c r="BY506" s="215"/>
      <c r="BZ506" s="227"/>
      <c r="CA506" s="227"/>
      <c r="CB506" s="228"/>
      <c r="CC506" s="229"/>
      <c r="CD506" s="230" t="str">
        <f t="shared" si="96"/>
        <v/>
      </c>
      <c r="CE506" s="231" t="str">
        <f t="shared" si="97"/>
        <v/>
      </c>
      <c r="CF506" s="232" t="str">
        <f t="shared" si="98"/>
        <v/>
      </c>
      <c r="CG506" s="233" t="str">
        <f t="shared" si="99"/>
        <v/>
      </c>
      <c r="CH506" s="207" t="str">
        <f>IF(OR(G506="",CC506= ""), "", IF(ISERROR(SMALL((CJ506,CN506,CV506), 1)-CC506), "",  SMALL((CJ506,CN506,CV506), 1)-CC506))</f>
        <v/>
      </c>
      <c r="CI506" s="234"/>
      <c r="CJ506" s="235"/>
      <c r="CK506" s="236"/>
      <c r="CL506" s="222" t="str">
        <f t="shared" si="100"/>
        <v/>
      </c>
      <c r="CM506" s="237" t="str">
        <f>IF(OR(G506="", CJ506="",CK506=""), "", IF(ISERROR(SMALL((CN506,CV506), 1)-CK506), "",  SMALL((CN506,CV506), 1)-CK506))</f>
        <v/>
      </c>
      <c r="CN506" s="235"/>
      <c r="CO506" s="236"/>
      <c r="CP506" s="224" t="str">
        <f t="shared" si="101"/>
        <v/>
      </c>
      <c r="CQ506" s="235"/>
      <c r="CR506" s="236"/>
      <c r="CS506" s="222" t="str">
        <f t="shared" si="102"/>
        <v/>
      </c>
      <c r="CT506" s="237" t="str">
        <f t="shared" si="103"/>
        <v/>
      </c>
      <c r="CU506" s="238"/>
      <c r="CV506" s="239"/>
      <c r="CW506" s="240"/>
    </row>
    <row r="507" spans="2:101" ht="16.5" customHeight="1">
      <c r="B507" s="122"/>
      <c r="E507" s="122"/>
      <c r="F507" s="194"/>
      <c r="G507" s="195"/>
      <c r="H507" s="195"/>
      <c r="I507" s="195"/>
      <c r="J507" s="196"/>
      <c r="K507" s="197"/>
      <c r="L507" s="198"/>
      <c r="M507" s="199"/>
      <c r="N507" s="200"/>
      <c r="O507" s="201"/>
      <c r="P507" s="201"/>
      <c r="Q507" s="201"/>
      <c r="R507" s="201"/>
      <c r="S507" s="201"/>
      <c r="T507" s="201"/>
      <c r="U507" s="201"/>
      <c r="V507" s="201"/>
      <c r="W507" s="201"/>
      <c r="X507" s="202"/>
      <c r="Y507" s="203"/>
      <c r="Z507" s="204"/>
      <c r="AA507" s="205"/>
      <c r="AB507" s="206"/>
      <c r="AC507" s="206"/>
      <c r="AD507" s="194"/>
      <c r="AE507" s="201"/>
      <c r="AF507" s="207"/>
      <c r="AG507" s="208"/>
      <c r="AH507" s="209"/>
      <c r="AI507" s="210"/>
      <c r="AJ507" s="197"/>
      <c r="AK507" s="201"/>
      <c r="AL507" s="196"/>
      <c r="AM507" s="201"/>
      <c r="AN507" s="201"/>
      <c r="AO507" s="201"/>
      <c r="AP507" s="211"/>
      <c r="AQ507" s="212"/>
      <c r="AR507" s="201"/>
      <c r="AS507" s="201"/>
      <c r="AT507" s="201"/>
      <c r="AU507" s="201"/>
      <c r="AV507" s="202"/>
      <c r="AW507" s="194"/>
      <c r="AX507" s="201"/>
      <c r="AY507" s="213"/>
      <c r="AZ507" s="214"/>
      <c r="BA507" s="215"/>
      <c r="BB507" s="216"/>
      <c r="BC507" s="217" t="str">
        <f t="shared" si="91"/>
        <v/>
      </c>
      <c r="BD507" s="218"/>
      <c r="BE507" s="219"/>
      <c r="BF507" s="220"/>
      <c r="BG507" s="219"/>
      <c r="BH507" s="219"/>
      <c r="BI507" s="220"/>
      <c r="BJ507" s="218"/>
      <c r="BK507" s="219"/>
      <c r="BL507" s="197"/>
      <c r="BM507" s="215"/>
      <c r="BN507" s="221"/>
      <c r="BO507" s="222" t="str">
        <f t="shared" si="92"/>
        <v/>
      </c>
      <c r="BP507" s="217" t="str">
        <f t="shared" si="93"/>
        <v/>
      </c>
      <c r="BQ507" s="215"/>
      <c r="BR507" s="224"/>
      <c r="BS507" s="225"/>
      <c r="BT507" s="223"/>
      <c r="BU507" s="215"/>
      <c r="BV507" s="226"/>
      <c r="BW507" s="222" t="str">
        <f t="shared" si="94"/>
        <v/>
      </c>
      <c r="BX507" s="223" t="str">
        <f t="shared" si="95"/>
        <v/>
      </c>
      <c r="BY507" s="215"/>
      <c r="BZ507" s="227"/>
      <c r="CA507" s="227"/>
      <c r="CB507" s="228"/>
      <c r="CC507" s="229"/>
      <c r="CD507" s="230" t="str">
        <f t="shared" si="96"/>
        <v/>
      </c>
      <c r="CE507" s="231" t="str">
        <f t="shared" si="97"/>
        <v/>
      </c>
      <c r="CF507" s="232" t="str">
        <f t="shared" si="98"/>
        <v/>
      </c>
      <c r="CG507" s="233" t="str">
        <f t="shared" si="99"/>
        <v/>
      </c>
      <c r="CH507" s="207" t="str">
        <f>IF(OR(G507="",CC507= ""), "", IF(ISERROR(SMALL((CJ507,CN507,CV507), 1)-CC507), "",  SMALL((CJ507,CN507,CV507), 1)-CC507))</f>
        <v/>
      </c>
      <c r="CI507" s="234"/>
      <c r="CJ507" s="235"/>
      <c r="CK507" s="236"/>
      <c r="CL507" s="222" t="str">
        <f t="shared" si="100"/>
        <v/>
      </c>
      <c r="CM507" s="237" t="str">
        <f>IF(OR(G507="", CJ507="",CK507=""), "", IF(ISERROR(SMALL((CN507,CV507), 1)-CK507), "",  SMALL((CN507,CV507), 1)-CK507))</f>
        <v/>
      </c>
      <c r="CN507" s="235"/>
      <c r="CO507" s="236"/>
      <c r="CP507" s="224" t="str">
        <f t="shared" si="101"/>
        <v/>
      </c>
      <c r="CQ507" s="235"/>
      <c r="CR507" s="236"/>
      <c r="CS507" s="222" t="str">
        <f t="shared" si="102"/>
        <v/>
      </c>
      <c r="CT507" s="237" t="str">
        <f t="shared" si="103"/>
        <v/>
      </c>
      <c r="CU507" s="238"/>
      <c r="CV507" s="239"/>
      <c r="CW507" s="240"/>
    </row>
    <row r="508" spans="2:101" ht="16.5" customHeight="1">
      <c r="B508" s="122"/>
      <c r="E508" s="122"/>
      <c r="F508" s="194"/>
      <c r="G508" s="195"/>
      <c r="H508" s="195"/>
      <c r="I508" s="195"/>
      <c r="J508" s="196"/>
      <c r="K508" s="197"/>
      <c r="L508" s="198"/>
      <c r="M508" s="199"/>
      <c r="N508" s="200"/>
      <c r="O508" s="201"/>
      <c r="P508" s="201"/>
      <c r="Q508" s="201"/>
      <c r="R508" s="201"/>
      <c r="S508" s="201"/>
      <c r="T508" s="201"/>
      <c r="U508" s="201"/>
      <c r="V508" s="201"/>
      <c r="W508" s="201"/>
      <c r="X508" s="202"/>
      <c r="Y508" s="203"/>
      <c r="Z508" s="204"/>
      <c r="AA508" s="205"/>
      <c r="AB508" s="206"/>
      <c r="AC508" s="206"/>
      <c r="AD508" s="194"/>
      <c r="AE508" s="201"/>
      <c r="AF508" s="207"/>
      <c r="AG508" s="208"/>
      <c r="AH508" s="209"/>
      <c r="AI508" s="210"/>
      <c r="AJ508" s="197"/>
      <c r="AK508" s="201"/>
      <c r="AL508" s="196"/>
      <c r="AM508" s="201"/>
      <c r="AN508" s="201"/>
      <c r="AO508" s="201"/>
      <c r="AP508" s="211"/>
      <c r="AQ508" s="212"/>
      <c r="AR508" s="201"/>
      <c r="AS508" s="201"/>
      <c r="AT508" s="201"/>
      <c r="AU508" s="201"/>
      <c r="AV508" s="202"/>
      <c r="AW508" s="194"/>
      <c r="AX508" s="201"/>
      <c r="AY508" s="213"/>
      <c r="AZ508" s="214"/>
      <c r="BA508" s="215"/>
      <c r="BB508" s="216"/>
      <c r="BC508" s="217" t="str">
        <f t="shared" si="91"/>
        <v/>
      </c>
      <c r="BD508" s="218"/>
      <c r="BE508" s="219"/>
      <c r="BF508" s="220"/>
      <c r="BG508" s="219"/>
      <c r="BH508" s="219"/>
      <c r="BI508" s="220"/>
      <c r="BJ508" s="218"/>
      <c r="BK508" s="219"/>
      <c r="BL508" s="197"/>
      <c r="BM508" s="215"/>
      <c r="BN508" s="221"/>
      <c r="BO508" s="222" t="str">
        <f t="shared" si="92"/>
        <v/>
      </c>
      <c r="BP508" s="217" t="str">
        <f t="shared" si="93"/>
        <v/>
      </c>
      <c r="BQ508" s="215"/>
      <c r="BR508" s="224"/>
      <c r="BS508" s="225"/>
      <c r="BT508" s="223"/>
      <c r="BU508" s="215"/>
      <c r="BV508" s="226"/>
      <c r="BW508" s="222" t="str">
        <f t="shared" si="94"/>
        <v/>
      </c>
      <c r="BX508" s="223" t="str">
        <f t="shared" si="95"/>
        <v/>
      </c>
      <c r="BY508" s="215"/>
      <c r="BZ508" s="227"/>
      <c r="CA508" s="227"/>
      <c r="CB508" s="228"/>
      <c r="CC508" s="229"/>
      <c r="CD508" s="230" t="str">
        <f t="shared" si="96"/>
        <v/>
      </c>
      <c r="CE508" s="231" t="str">
        <f t="shared" si="97"/>
        <v/>
      </c>
      <c r="CF508" s="232" t="str">
        <f t="shared" si="98"/>
        <v/>
      </c>
      <c r="CG508" s="233" t="str">
        <f t="shared" si="99"/>
        <v/>
      </c>
      <c r="CH508" s="207" t="str">
        <f>IF(OR(G508="",CC508= ""), "", IF(ISERROR(SMALL((CJ508,CN508,CV508), 1)-CC508), "",  SMALL((CJ508,CN508,CV508), 1)-CC508))</f>
        <v/>
      </c>
      <c r="CI508" s="234"/>
      <c r="CJ508" s="235"/>
      <c r="CK508" s="236"/>
      <c r="CL508" s="222" t="str">
        <f t="shared" si="100"/>
        <v/>
      </c>
      <c r="CM508" s="237" t="str">
        <f>IF(OR(G508="", CJ508="",CK508=""), "", IF(ISERROR(SMALL((CN508,CV508), 1)-CK508), "",  SMALL((CN508,CV508), 1)-CK508))</f>
        <v/>
      </c>
      <c r="CN508" s="235"/>
      <c r="CO508" s="236"/>
      <c r="CP508" s="224" t="str">
        <f t="shared" si="101"/>
        <v/>
      </c>
      <c r="CQ508" s="235"/>
      <c r="CR508" s="236"/>
      <c r="CS508" s="222" t="str">
        <f t="shared" si="102"/>
        <v/>
      </c>
      <c r="CT508" s="237" t="str">
        <f t="shared" si="103"/>
        <v/>
      </c>
      <c r="CU508" s="238"/>
      <c r="CV508" s="239"/>
      <c r="CW508" s="240"/>
    </row>
    <row r="509" spans="2:101" ht="16.5" customHeight="1">
      <c r="B509" s="122"/>
      <c r="E509" s="122"/>
      <c r="F509" s="194"/>
      <c r="G509" s="195"/>
      <c r="H509" s="195"/>
      <c r="I509" s="195"/>
      <c r="J509" s="196"/>
      <c r="K509" s="197"/>
      <c r="L509" s="198"/>
      <c r="M509" s="199"/>
      <c r="N509" s="200"/>
      <c r="O509" s="201"/>
      <c r="P509" s="201"/>
      <c r="Q509" s="201"/>
      <c r="R509" s="201"/>
      <c r="S509" s="201"/>
      <c r="T509" s="201"/>
      <c r="U509" s="201"/>
      <c r="V509" s="201"/>
      <c r="W509" s="201"/>
      <c r="X509" s="202"/>
      <c r="Y509" s="203"/>
      <c r="Z509" s="204"/>
      <c r="AA509" s="205"/>
      <c r="AB509" s="206"/>
      <c r="AC509" s="206"/>
      <c r="AD509" s="194"/>
      <c r="AE509" s="201"/>
      <c r="AF509" s="207"/>
      <c r="AG509" s="208"/>
      <c r="AH509" s="209"/>
      <c r="AI509" s="210"/>
      <c r="AJ509" s="197"/>
      <c r="AK509" s="201"/>
      <c r="AL509" s="196"/>
      <c r="AM509" s="201"/>
      <c r="AN509" s="201"/>
      <c r="AO509" s="201"/>
      <c r="AP509" s="211"/>
      <c r="AQ509" s="212"/>
      <c r="AR509" s="201"/>
      <c r="AS509" s="201"/>
      <c r="AT509" s="201"/>
      <c r="AU509" s="201"/>
      <c r="AV509" s="202"/>
      <c r="AW509" s="194"/>
      <c r="AX509" s="201"/>
      <c r="AY509" s="213"/>
      <c r="AZ509" s="214"/>
      <c r="BA509" s="215"/>
      <c r="BB509" s="216"/>
      <c r="BC509" s="217" t="str">
        <f t="shared" si="91"/>
        <v/>
      </c>
      <c r="BD509" s="218"/>
      <c r="BE509" s="219"/>
      <c r="BF509" s="220"/>
      <c r="BG509" s="219"/>
      <c r="BH509" s="219"/>
      <c r="BI509" s="220"/>
      <c r="BJ509" s="218"/>
      <c r="BK509" s="219"/>
      <c r="BL509" s="197"/>
      <c r="BM509" s="215"/>
      <c r="BN509" s="221"/>
      <c r="BO509" s="222" t="str">
        <f t="shared" si="92"/>
        <v/>
      </c>
      <c r="BP509" s="217" t="str">
        <f t="shared" si="93"/>
        <v/>
      </c>
      <c r="BQ509" s="215"/>
      <c r="BR509" s="224"/>
      <c r="BS509" s="225"/>
      <c r="BT509" s="223"/>
      <c r="BU509" s="215"/>
      <c r="BV509" s="226"/>
      <c r="BW509" s="222" t="str">
        <f t="shared" si="94"/>
        <v/>
      </c>
      <c r="BX509" s="223" t="str">
        <f t="shared" si="95"/>
        <v/>
      </c>
      <c r="BY509" s="215"/>
      <c r="BZ509" s="227"/>
      <c r="CA509" s="227"/>
      <c r="CB509" s="228"/>
      <c r="CC509" s="229"/>
      <c r="CD509" s="230" t="str">
        <f t="shared" si="96"/>
        <v/>
      </c>
      <c r="CE509" s="231" t="str">
        <f t="shared" si="97"/>
        <v/>
      </c>
      <c r="CF509" s="232" t="str">
        <f t="shared" si="98"/>
        <v/>
      </c>
      <c r="CG509" s="233" t="str">
        <f t="shared" si="99"/>
        <v/>
      </c>
      <c r="CH509" s="207" t="str">
        <f>IF(OR(G509="",CC509= ""), "", IF(ISERROR(SMALL((CJ509,CN509,CV509), 1)-CC509), "",  SMALL((CJ509,CN509,CV509), 1)-CC509))</f>
        <v/>
      </c>
      <c r="CI509" s="234"/>
      <c r="CJ509" s="235"/>
      <c r="CK509" s="236"/>
      <c r="CL509" s="222" t="str">
        <f t="shared" si="100"/>
        <v/>
      </c>
      <c r="CM509" s="237" t="str">
        <f>IF(OR(G509="", CJ509="",CK509=""), "", IF(ISERROR(SMALL((CN509,CV509), 1)-CK509), "",  SMALL((CN509,CV509), 1)-CK509))</f>
        <v/>
      </c>
      <c r="CN509" s="235"/>
      <c r="CO509" s="236"/>
      <c r="CP509" s="224" t="str">
        <f t="shared" si="101"/>
        <v/>
      </c>
      <c r="CQ509" s="235"/>
      <c r="CR509" s="236"/>
      <c r="CS509" s="222" t="str">
        <f t="shared" si="102"/>
        <v/>
      </c>
      <c r="CT509" s="237" t="str">
        <f t="shared" si="103"/>
        <v/>
      </c>
      <c r="CU509" s="238"/>
      <c r="CV509" s="239"/>
      <c r="CW509" s="240"/>
    </row>
    <row r="510" spans="2:101" ht="16.5" customHeight="1">
      <c r="B510" s="122"/>
      <c r="E510" s="122"/>
      <c r="F510" s="194"/>
      <c r="G510" s="195"/>
      <c r="H510" s="195"/>
      <c r="I510" s="195"/>
      <c r="J510" s="196"/>
      <c r="K510" s="197"/>
      <c r="L510" s="198"/>
      <c r="M510" s="199"/>
      <c r="N510" s="200"/>
      <c r="O510" s="201"/>
      <c r="P510" s="201"/>
      <c r="Q510" s="201"/>
      <c r="R510" s="201"/>
      <c r="S510" s="201"/>
      <c r="T510" s="201"/>
      <c r="U510" s="201"/>
      <c r="V510" s="201"/>
      <c r="W510" s="201"/>
      <c r="X510" s="202"/>
      <c r="Y510" s="203"/>
      <c r="Z510" s="204"/>
      <c r="AA510" s="205"/>
      <c r="AB510" s="206"/>
      <c r="AC510" s="206"/>
      <c r="AD510" s="194"/>
      <c r="AE510" s="201"/>
      <c r="AF510" s="207"/>
      <c r="AG510" s="208"/>
      <c r="AH510" s="209"/>
      <c r="AI510" s="210"/>
      <c r="AJ510" s="197"/>
      <c r="AK510" s="201"/>
      <c r="AL510" s="196"/>
      <c r="AM510" s="201"/>
      <c r="AN510" s="201"/>
      <c r="AO510" s="201"/>
      <c r="AP510" s="211"/>
      <c r="AQ510" s="212"/>
      <c r="AR510" s="201"/>
      <c r="AS510" s="201"/>
      <c r="AT510" s="201"/>
      <c r="AU510" s="201"/>
      <c r="AV510" s="202"/>
      <c r="AW510" s="194"/>
      <c r="AX510" s="201"/>
      <c r="AY510" s="213"/>
      <c r="AZ510" s="214"/>
      <c r="BA510" s="215"/>
      <c r="BB510" s="216"/>
      <c r="BC510" s="217" t="str">
        <f t="shared" si="91"/>
        <v/>
      </c>
      <c r="BD510" s="218"/>
      <c r="BE510" s="219"/>
      <c r="BF510" s="220"/>
      <c r="BG510" s="219"/>
      <c r="BH510" s="219"/>
      <c r="BI510" s="220"/>
      <c r="BJ510" s="218"/>
      <c r="BK510" s="219"/>
      <c r="BL510" s="197"/>
      <c r="BM510" s="215"/>
      <c r="BN510" s="221"/>
      <c r="BO510" s="222" t="str">
        <f t="shared" si="92"/>
        <v/>
      </c>
      <c r="BP510" s="217" t="str">
        <f t="shared" si="93"/>
        <v/>
      </c>
      <c r="BQ510" s="215"/>
      <c r="BR510" s="224"/>
      <c r="BS510" s="225"/>
      <c r="BT510" s="223"/>
      <c r="BU510" s="215"/>
      <c r="BV510" s="226"/>
      <c r="BW510" s="222" t="str">
        <f t="shared" si="94"/>
        <v/>
      </c>
      <c r="BX510" s="223" t="str">
        <f t="shared" si="95"/>
        <v/>
      </c>
      <c r="BY510" s="215"/>
      <c r="BZ510" s="227"/>
      <c r="CA510" s="227"/>
      <c r="CB510" s="228"/>
      <c r="CC510" s="229"/>
      <c r="CD510" s="230" t="str">
        <f t="shared" si="96"/>
        <v/>
      </c>
      <c r="CE510" s="231" t="str">
        <f t="shared" si="97"/>
        <v/>
      </c>
      <c r="CF510" s="232" t="str">
        <f t="shared" si="98"/>
        <v/>
      </c>
      <c r="CG510" s="233" t="str">
        <f t="shared" si="99"/>
        <v/>
      </c>
      <c r="CH510" s="207" t="str">
        <f>IF(OR(G510="",CC510= ""), "", IF(ISERROR(SMALL((CJ510,CN510,CV510), 1)-CC510), "",  SMALL((CJ510,CN510,CV510), 1)-CC510))</f>
        <v/>
      </c>
      <c r="CI510" s="234"/>
      <c r="CJ510" s="235"/>
      <c r="CK510" s="236"/>
      <c r="CL510" s="222" t="str">
        <f t="shared" si="100"/>
        <v/>
      </c>
      <c r="CM510" s="237" t="str">
        <f>IF(OR(G510="", CJ510="",CK510=""), "", IF(ISERROR(SMALL((CN510,CV510), 1)-CK510), "",  SMALL((CN510,CV510), 1)-CK510))</f>
        <v/>
      </c>
      <c r="CN510" s="235"/>
      <c r="CO510" s="236"/>
      <c r="CP510" s="224" t="str">
        <f t="shared" si="101"/>
        <v/>
      </c>
      <c r="CQ510" s="235"/>
      <c r="CR510" s="236"/>
      <c r="CS510" s="222" t="str">
        <f t="shared" si="102"/>
        <v/>
      </c>
      <c r="CT510" s="237" t="str">
        <f t="shared" si="103"/>
        <v/>
      </c>
      <c r="CU510" s="238"/>
      <c r="CV510" s="239"/>
      <c r="CW510" s="240"/>
    </row>
    <row r="511" spans="2:101" ht="16.5" customHeight="1">
      <c r="B511" s="122"/>
      <c r="E511" s="122"/>
      <c r="F511" s="194"/>
      <c r="G511" s="195"/>
      <c r="H511" s="195"/>
      <c r="I511" s="195"/>
      <c r="J511" s="196"/>
      <c r="K511" s="197"/>
      <c r="L511" s="198"/>
      <c r="M511" s="199"/>
      <c r="N511" s="200"/>
      <c r="O511" s="201"/>
      <c r="P511" s="201"/>
      <c r="Q511" s="201"/>
      <c r="R511" s="201"/>
      <c r="S511" s="201"/>
      <c r="T511" s="201"/>
      <c r="U511" s="201"/>
      <c r="V511" s="201"/>
      <c r="W511" s="201"/>
      <c r="X511" s="202"/>
      <c r="Y511" s="203"/>
      <c r="Z511" s="204"/>
      <c r="AA511" s="205"/>
      <c r="AB511" s="206"/>
      <c r="AC511" s="206"/>
      <c r="AD511" s="194"/>
      <c r="AE511" s="201"/>
      <c r="AF511" s="207"/>
      <c r="AG511" s="208"/>
      <c r="AH511" s="209"/>
      <c r="AI511" s="210"/>
      <c r="AJ511" s="197"/>
      <c r="AK511" s="201"/>
      <c r="AL511" s="196"/>
      <c r="AM511" s="201"/>
      <c r="AN511" s="201"/>
      <c r="AO511" s="201"/>
      <c r="AP511" s="211"/>
      <c r="AQ511" s="212"/>
      <c r="AR511" s="201"/>
      <c r="AS511" s="201"/>
      <c r="AT511" s="201"/>
      <c r="AU511" s="201"/>
      <c r="AV511" s="202"/>
      <c r="AW511" s="194"/>
      <c r="AX511" s="201"/>
      <c r="AY511" s="213"/>
      <c r="AZ511" s="214"/>
      <c r="BA511" s="215"/>
      <c r="BB511" s="216"/>
      <c r="BC511" s="217" t="str">
        <f t="shared" si="91"/>
        <v/>
      </c>
      <c r="BD511" s="218"/>
      <c r="BE511" s="219"/>
      <c r="BF511" s="220"/>
      <c r="BG511" s="219"/>
      <c r="BH511" s="219"/>
      <c r="BI511" s="220"/>
      <c r="BJ511" s="218"/>
      <c r="BK511" s="219"/>
      <c r="BL511" s="197"/>
      <c r="BM511" s="215"/>
      <c r="BN511" s="221"/>
      <c r="BO511" s="222" t="str">
        <f t="shared" si="92"/>
        <v/>
      </c>
      <c r="BP511" s="217" t="str">
        <f t="shared" si="93"/>
        <v/>
      </c>
      <c r="BQ511" s="215"/>
      <c r="BR511" s="224"/>
      <c r="BS511" s="225"/>
      <c r="BT511" s="223"/>
      <c r="BU511" s="215"/>
      <c r="BV511" s="226"/>
      <c r="BW511" s="222" t="str">
        <f t="shared" si="94"/>
        <v/>
      </c>
      <c r="BX511" s="223" t="str">
        <f t="shared" si="95"/>
        <v/>
      </c>
      <c r="BY511" s="215"/>
      <c r="BZ511" s="227"/>
      <c r="CA511" s="227"/>
      <c r="CB511" s="228"/>
      <c r="CC511" s="229"/>
      <c r="CD511" s="230" t="str">
        <f t="shared" si="96"/>
        <v/>
      </c>
      <c r="CE511" s="231" t="str">
        <f t="shared" si="97"/>
        <v/>
      </c>
      <c r="CF511" s="232" t="str">
        <f t="shared" si="98"/>
        <v/>
      </c>
      <c r="CG511" s="233" t="str">
        <f t="shared" si="99"/>
        <v/>
      </c>
      <c r="CH511" s="207" t="str">
        <f>IF(OR(G511="",CC511= ""), "", IF(ISERROR(SMALL((CJ511,CN511,CV511), 1)-CC511), "",  SMALL((CJ511,CN511,CV511), 1)-CC511))</f>
        <v/>
      </c>
      <c r="CI511" s="234"/>
      <c r="CJ511" s="235"/>
      <c r="CK511" s="236"/>
      <c r="CL511" s="222" t="str">
        <f t="shared" si="100"/>
        <v/>
      </c>
      <c r="CM511" s="237" t="str">
        <f>IF(OR(G511="", CJ511="",CK511=""), "", IF(ISERROR(SMALL((CN511,CV511), 1)-CK511), "",  SMALL((CN511,CV511), 1)-CK511))</f>
        <v/>
      </c>
      <c r="CN511" s="235"/>
      <c r="CO511" s="236"/>
      <c r="CP511" s="224" t="str">
        <f t="shared" si="101"/>
        <v/>
      </c>
      <c r="CQ511" s="235"/>
      <c r="CR511" s="236"/>
      <c r="CS511" s="222" t="str">
        <f t="shared" si="102"/>
        <v/>
      </c>
      <c r="CT511" s="237" t="str">
        <f t="shared" si="103"/>
        <v/>
      </c>
      <c r="CU511" s="238"/>
      <c r="CV511" s="239"/>
      <c r="CW511" s="240"/>
    </row>
    <row r="512" spans="2:101" ht="16.5" customHeight="1">
      <c r="B512" s="122"/>
      <c r="E512" s="122"/>
      <c r="F512" s="194"/>
      <c r="G512" s="195"/>
      <c r="H512" s="195"/>
      <c r="I512" s="195"/>
      <c r="J512" s="196"/>
      <c r="K512" s="197"/>
      <c r="L512" s="198"/>
      <c r="M512" s="199"/>
      <c r="N512" s="200"/>
      <c r="O512" s="201"/>
      <c r="P512" s="201"/>
      <c r="Q512" s="201"/>
      <c r="R512" s="201"/>
      <c r="S512" s="201"/>
      <c r="T512" s="201"/>
      <c r="U512" s="201"/>
      <c r="V512" s="201"/>
      <c r="W512" s="201"/>
      <c r="X512" s="202"/>
      <c r="Y512" s="203"/>
      <c r="Z512" s="204"/>
      <c r="AA512" s="205"/>
      <c r="AB512" s="206"/>
      <c r="AC512" s="206"/>
      <c r="AD512" s="194"/>
      <c r="AE512" s="201"/>
      <c r="AF512" s="207"/>
      <c r="AG512" s="208"/>
      <c r="AH512" s="209"/>
      <c r="AI512" s="210"/>
      <c r="AJ512" s="197"/>
      <c r="AK512" s="201"/>
      <c r="AL512" s="196"/>
      <c r="AM512" s="201"/>
      <c r="AN512" s="201"/>
      <c r="AO512" s="201"/>
      <c r="AP512" s="211"/>
      <c r="AQ512" s="212"/>
      <c r="AR512" s="201"/>
      <c r="AS512" s="201"/>
      <c r="AT512" s="201"/>
      <c r="AU512" s="201"/>
      <c r="AV512" s="202"/>
      <c r="AW512" s="194"/>
      <c r="AX512" s="201"/>
      <c r="AY512" s="213"/>
      <c r="AZ512" s="214"/>
      <c r="BA512" s="215"/>
      <c r="BB512" s="216"/>
      <c r="BC512" s="217" t="str">
        <f t="shared" si="91"/>
        <v/>
      </c>
      <c r="BD512" s="218"/>
      <c r="BE512" s="219"/>
      <c r="BF512" s="220"/>
      <c r="BG512" s="219"/>
      <c r="BH512" s="219"/>
      <c r="BI512" s="220"/>
      <c r="BJ512" s="218"/>
      <c r="BK512" s="219"/>
      <c r="BL512" s="197"/>
      <c r="BM512" s="215"/>
      <c r="BN512" s="221"/>
      <c r="BO512" s="222" t="str">
        <f t="shared" si="92"/>
        <v/>
      </c>
      <c r="BP512" s="217" t="str">
        <f t="shared" si="93"/>
        <v/>
      </c>
      <c r="BQ512" s="215"/>
      <c r="BR512" s="224"/>
      <c r="BS512" s="225"/>
      <c r="BT512" s="223"/>
      <c r="BU512" s="215"/>
      <c r="BV512" s="226"/>
      <c r="BW512" s="222" t="str">
        <f t="shared" si="94"/>
        <v/>
      </c>
      <c r="BX512" s="223" t="str">
        <f t="shared" si="95"/>
        <v/>
      </c>
      <c r="BY512" s="215"/>
      <c r="BZ512" s="227"/>
      <c r="CA512" s="227"/>
      <c r="CB512" s="228"/>
      <c r="CC512" s="229"/>
      <c r="CD512" s="230" t="str">
        <f t="shared" si="96"/>
        <v/>
      </c>
      <c r="CE512" s="231" t="str">
        <f t="shared" si="97"/>
        <v/>
      </c>
      <c r="CF512" s="232" t="str">
        <f t="shared" si="98"/>
        <v/>
      </c>
      <c r="CG512" s="233" t="str">
        <f t="shared" si="99"/>
        <v/>
      </c>
      <c r="CH512" s="207" t="str">
        <f>IF(OR(G512="",CC512= ""), "", IF(ISERROR(SMALL((CJ512,CN512,CV512), 1)-CC512), "",  SMALL((CJ512,CN512,CV512), 1)-CC512))</f>
        <v/>
      </c>
      <c r="CI512" s="234"/>
      <c r="CJ512" s="235"/>
      <c r="CK512" s="236"/>
      <c r="CL512" s="222" t="str">
        <f t="shared" si="100"/>
        <v/>
      </c>
      <c r="CM512" s="237" t="str">
        <f>IF(OR(G512="", CJ512="",CK512=""), "", IF(ISERROR(SMALL((CN512,CV512), 1)-CK512), "",  SMALL((CN512,CV512), 1)-CK512))</f>
        <v/>
      </c>
      <c r="CN512" s="235"/>
      <c r="CO512" s="236"/>
      <c r="CP512" s="224" t="str">
        <f t="shared" si="101"/>
        <v/>
      </c>
      <c r="CQ512" s="235"/>
      <c r="CR512" s="236"/>
      <c r="CS512" s="222" t="str">
        <f t="shared" si="102"/>
        <v/>
      </c>
      <c r="CT512" s="237" t="str">
        <f t="shared" si="103"/>
        <v/>
      </c>
      <c r="CU512" s="238"/>
      <c r="CV512" s="239"/>
      <c r="CW512" s="240"/>
    </row>
    <row r="513" spans="2:101" ht="16.5" customHeight="1">
      <c r="B513" s="122"/>
      <c r="E513" s="122"/>
      <c r="F513" s="194"/>
      <c r="G513" s="195"/>
      <c r="H513" s="195"/>
      <c r="I513" s="195"/>
      <c r="J513" s="196"/>
      <c r="K513" s="197"/>
      <c r="L513" s="198"/>
      <c r="M513" s="199"/>
      <c r="N513" s="200"/>
      <c r="O513" s="201"/>
      <c r="P513" s="201"/>
      <c r="Q513" s="201"/>
      <c r="R513" s="201"/>
      <c r="S513" s="201"/>
      <c r="T513" s="201"/>
      <c r="U513" s="201"/>
      <c r="V513" s="201"/>
      <c r="W513" s="201"/>
      <c r="X513" s="202"/>
      <c r="Y513" s="203"/>
      <c r="Z513" s="204"/>
      <c r="AA513" s="205"/>
      <c r="AB513" s="206"/>
      <c r="AC513" s="206"/>
      <c r="AD513" s="194"/>
      <c r="AE513" s="201"/>
      <c r="AF513" s="207"/>
      <c r="AG513" s="208"/>
      <c r="AH513" s="209"/>
      <c r="AI513" s="210"/>
      <c r="AJ513" s="197"/>
      <c r="AK513" s="201"/>
      <c r="AL513" s="196"/>
      <c r="AM513" s="201"/>
      <c r="AN513" s="201"/>
      <c r="AO513" s="201"/>
      <c r="AP513" s="211"/>
      <c r="AQ513" s="212"/>
      <c r="AR513" s="201"/>
      <c r="AS513" s="201"/>
      <c r="AT513" s="201"/>
      <c r="AU513" s="201"/>
      <c r="AV513" s="202"/>
      <c r="AW513" s="194"/>
      <c r="AX513" s="201"/>
      <c r="AY513" s="213"/>
      <c r="AZ513" s="214"/>
      <c r="BA513" s="215"/>
      <c r="BB513" s="216"/>
      <c r="BC513" s="217" t="str">
        <f t="shared" si="91"/>
        <v/>
      </c>
      <c r="BD513" s="218"/>
      <c r="BE513" s="219"/>
      <c r="BF513" s="220"/>
      <c r="BG513" s="219"/>
      <c r="BH513" s="219"/>
      <c r="BI513" s="220"/>
      <c r="BJ513" s="218"/>
      <c r="BK513" s="219"/>
      <c r="BL513" s="197"/>
      <c r="BM513" s="215"/>
      <c r="BN513" s="221"/>
      <c r="BO513" s="222" t="str">
        <f t="shared" si="92"/>
        <v/>
      </c>
      <c r="BP513" s="217" t="str">
        <f t="shared" si="93"/>
        <v/>
      </c>
      <c r="BQ513" s="215"/>
      <c r="BR513" s="224"/>
      <c r="BS513" s="225"/>
      <c r="BT513" s="223"/>
      <c r="BU513" s="215"/>
      <c r="BV513" s="226"/>
      <c r="BW513" s="222" t="str">
        <f t="shared" si="94"/>
        <v/>
      </c>
      <c r="BX513" s="223" t="str">
        <f t="shared" si="95"/>
        <v/>
      </c>
      <c r="BY513" s="215"/>
      <c r="BZ513" s="227"/>
      <c r="CA513" s="227"/>
      <c r="CB513" s="228"/>
      <c r="CC513" s="229"/>
      <c r="CD513" s="230" t="str">
        <f t="shared" si="96"/>
        <v/>
      </c>
      <c r="CE513" s="231" t="str">
        <f t="shared" si="97"/>
        <v/>
      </c>
      <c r="CF513" s="232" t="str">
        <f t="shared" si="98"/>
        <v/>
      </c>
      <c r="CG513" s="233" t="str">
        <f t="shared" si="99"/>
        <v/>
      </c>
      <c r="CH513" s="207" t="str">
        <f>IF(OR(G513="",CC513= ""), "", IF(ISERROR(SMALL((CJ513,CN513,CV513), 1)-CC513), "",  SMALL((CJ513,CN513,CV513), 1)-CC513))</f>
        <v/>
      </c>
      <c r="CI513" s="234"/>
      <c r="CJ513" s="235"/>
      <c r="CK513" s="236"/>
      <c r="CL513" s="222" t="str">
        <f t="shared" si="100"/>
        <v/>
      </c>
      <c r="CM513" s="237" t="str">
        <f>IF(OR(G513="", CJ513="",CK513=""), "", IF(ISERROR(SMALL((CN513,CV513), 1)-CK513), "",  SMALL((CN513,CV513), 1)-CK513))</f>
        <v/>
      </c>
      <c r="CN513" s="235"/>
      <c r="CO513" s="236"/>
      <c r="CP513" s="224" t="str">
        <f t="shared" si="101"/>
        <v/>
      </c>
      <c r="CQ513" s="235"/>
      <c r="CR513" s="236"/>
      <c r="CS513" s="222" t="str">
        <f t="shared" si="102"/>
        <v/>
      </c>
      <c r="CT513" s="237" t="str">
        <f t="shared" si="103"/>
        <v/>
      </c>
      <c r="CU513" s="238"/>
      <c r="CV513" s="239"/>
      <c r="CW513" s="240"/>
    </row>
    <row r="514" spans="2:101" ht="16.5" customHeight="1">
      <c r="B514" s="122"/>
      <c r="E514" s="122"/>
      <c r="F514" s="194"/>
      <c r="G514" s="195"/>
      <c r="H514" s="195"/>
      <c r="I514" s="195"/>
      <c r="J514" s="196"/>
      <c r="K514" s="197"/>
      <c r="L514" s="198"/>
      <c r="M514" s="199"/>
      <c r="N514" s="200"/>
      <c r="O514" s="201"/>
      <c r="P514" s="201"/>
      <c r="Q514" s="201"/>
      <c r="R514" s="201"/>
      <c r="S514" s="201"/>
      <c r="T514" s="201"/>
      <c r="U514" s="201"/>
      <c r="V514" s="201"/>
      <c r="W514" s="201"/>
      <c r="X514" s="202"/>
      <c r="Y514" s="203"/>
      <c r="Z514" s="204"/>
      <c r="AA514" s="205"/>
      <c r="AB514" s="206"/>
      <c r="AC514" s="206"/>
      <c r="AD514" s="194"/>
      <c r="AE514" s="201"/>
      <c r="AF514" s="207"/>
      <c r="AG514" s="208"/>
      <c r="AH514" s="209"/>
      <c r="AI514" s="210"/>
      <c r="AJ514" s="197"/>
      <c r="AK514" s="201"/>
      <c r="AL514" s="196"/>
      <c r="AM514" s="201"/>
      <c r="AN514" s="201"/>
      <c r="AO514" s="201"/>
      <c r="AP514" s="211"/>
      <c r="AQ514" s="212"/>
      <c r="AR514" s="201"/>
      <c r="AS514" s="201"/>
      <c r="AT514" s="201"/>
      <c r="AU514" s="201"/>
      <c r="AV514" s="202"/>
      <c r="AW514" s="194"/>
      <c r="AX514" s="201"/>
      <c r="AY514" s="213"/>
      <c r="AZ514" s="214"/>
      <c r="BA514" s="215"/>
      <c r="BB514" s="216"/>
      <c r="BC514" s="217" t="str">
        <f t="shared" si="91"/>
        <v/>
      </c>
      <c r="BD514" s="218"/>
      <c r="BE514" s="219"/>
      <c r="BF514" s="220"/>
      <c r="BG514" s="219"/>
      <c r="BH514" s="219"/>
      <c r="BI514" s="220"/>
      <c r="BJ514" s="218"/>
      <c r="BK514" s="219"/>
      <c r="BL514" s="197"/>
      <c r="BM514" s="215"/>
      <c r="BN514" s="221"/>
      <c r="BO514" s="222" t="str">
        <f t="shared" si="92"/>
        <v/>
      </c>
      <c r="BP514" s="217" t="str">
        <f t="shared" si="93"/>
        <v/>
      </c>
      <c r="BQ514" s="215"/>
      <c r="BR514" s="224"/>
      <c r="BS514" s="225"/>
      <c r="BT514" s="223"/>
      <c r="BU514" s="215"/>
      <c r="BV514" s="226"/>
      <c r="BW514" s="222" t="str">
        <f t="shared" si="94"/>
        <v/>
      </c>
      <c r="BX514" s="223" t="str">
        <f t="shared" si="95"/>
        <v/>
      </c>
      <c r="BY514" s="215"/>
      <c r="BZ514" s="227"/>
      <c r="CA514" s="227"/>
      <c r="CB514" s="228"/>
      <c r="CC514" s="229"/>
      <c r="CD514" s="230" t="str">
        <f t="shared" si="96"/>
        <v/>
      </c>
      <c r="CE514" s="231" t="str">
        <f t="shared" si="97"/>
        <v/>
      </c>
      <c r="CF514" s="232" t="str">
        <f t="shared" si="98"/>
        <v/>
      </c>
      <c r="CG514" s="233" t="str">
        <f t="shared" si="99"/>
        <v/>
      </c>
      <c r="CH514" s="207" t="str">
        <f>IF(OR(G514="",CC514= ""), "", IF(ISERROR(SMALL((CJ514,CN514,CV514), 1)-CC514), "",  SMALL((CJ514,CN514,CV514), 1)-CC514))</f>
        <v/>
      </c>
      <c r="CI514" s="234"/>
      <c r="CJ514" s="235"/>
      <c r="CK514" s="236"/>
      <c r="CL514" s="222" t="str">
        <f t="shared" si="100"/>
        <v/>
      </c>
      <c r="CM514" s="237" t="str">
        <f>IF(OR(G514="", CJ514="",CK514=""), "", IF(ISERROR(SMALL((CN514,CV514), 1)-CK514), "",  SMALL((CN514,CV514), 1)-CK514))</f>
        <v/>
      </c>
      <c r="CN514" s="235"/>
      <c r="CO514" s="236"/>
      <c r="CP514" s="224" t="str">
        <f t="shared" si="101"/>
        <v/>
      </c>
      <c r="CQ514" s="235"/>
      <c r="CR514" s="236"/>
      <c r="CS514" s="222" t="str">
        <f t="shared" si="102"/>
        <v/>
      </c>
      <c r="CT514" s="237" t="str">
        <f t="shared" si="103"/>
        <v/>
      </c>
      <c r="CU514" s="238"/>
      <c r="CV514" s="239"/>
      <c r="CW514" s="240"/>
    </row>
    <row r="515" spans="2:101" ht="16.5" customHeight="1">
      <c r="B515" s="122"/>
      <c r="E515" s="122"/>
      <c r="F515" s="194"/>
      <c r="G515" s="195"/>
      <c r="H515" s="195"/>
      <c r="I515" s="195"/>
      <c r="J515" s="196"/>
      <c r="K515" s="197"/>
      <c r="L515" s="198"/>
      <c r="M515" s="199"/>
      <c r="N515" s="200"/>
      <c r="O515" s="201"/>
      <c r="P515" s="201"/>
      <c r="Q515" s="201"/>
      <c r="R515" s="201"/>
      <c r="S515" s="201"/>
      <c r="T515" s="201"/>
      <c r="U515" s="201"/>
      <c r="V515" s="201"/>
      <c r="W515" s="201"/>
      <c r="X515" s="202"/>
      <c r="Y515" s="203"/>
      <c r="Z515" s="204"/>
      <c r="AA515" s="205"/>
      <c r="AB515" s="206"/>
      <c r="AC515" s="206"/>
      <c r="AD515" s="194"/>
      <c r="AE515" s="201"/>
      <c r="AF515" s="207"/>
      <c r="AG515" s="208"/>
      <c r="AH515" s="209"/>
      <c r="AI515" s="210"/>
      <c r="AJ515" s="197"/>
      <c r="AK515" s="201"/>
      <c r="AL515" s="196"/>
      <c r="AM515" s="201"/>
      <c r="AN515" s="201"/>
      <c r="AO515" s="201"/>
      <c r="AP515" s="211"/>
      <c r="AQ515" s="212"/>
      <c r="AR515" s="201"/>
      <c r="AS515" s="201"/>
      <c r="AT515" s="201"/>
      <c r="AU515" s="201"/>
      <c r="AV515" s="202"/>
      <c r="AW515" s="194"/>
      <c r="AX515" s="201"/>
      <c r="AY515" s="213"/>
      <c r="AZ515" s="214"/>
      <c r="BA515" s="215"/>
      <c r="BB515" s="216"/>
      <c r="BC515" s="217" t="str">
        <f t="shared" si="91"/>
        <v/>
      </c>
      <c r="BD515" s="218"/>
      <c r="BE515" s="219"/>
      <c r="BF515" s="220"/>
      <c r="BG515" s="219"/>
      <c r="BH515" s="219"/>
      <c r="BI515" s="220"/>
      <c r="BJ515" s="218"/>
      <c r="BK515" s="219"/>
      <c r="BL515" s="197"/>
      <c r="BM515" s="215"/>
      <c r="BN515" s="221"/>
      <c r="BO515" s="222" t="str">
        <f t="shared" si="92"/>
        <v/>
      </c>
      <c r="BP515" s="217" t="str">
        <f t="shared" si="93"/>
        <v/>
      </c>
      <c r="BQ515" s="215"/>
      <c r="BR515" s="224"/>
      <c r="BS515" s="225"/>
      <c r="BT515" s="223"/>
      <c r="BU515" s="215"/>
      <c r="BV515" s="226"/>
      <c r="BW515" s="222" t="str">
        <f t="shared" si="94"/>
        <v/>
      </c>
      <c r="BX515" s="223" t="str">
        <f t="shared" si="95"/>
        <v/>
      </c>
      <c r="BY515" s="215"/>
      <c r="BZ515" s="227"/>
      <c r="CA515" s="227"/>
      <c r="CB515" s="228"/>
      <c r="CC515" s="229"/>
      <c r="CD515" s="230" t="str">
        <f t="shared" si="96"/>
        <v/>
      </c>
      <c r="CE515" s="231" t="str">
        <f t="shared" si="97"/>
        <v/>
      </c>
      <c r="CF515" s="232" t="str">
        <f t="shared" si="98"/>
        <v/>
      </c>
      <c r="CG515" s="233" t="str">
        <f t="shared" si="99"/>
        <v/>
      </c>
      <c r="CH515" s="207" t="str">
        <f>IF(OR(G515="",CC515= ""), "", IF(ISERROR(SMALL((CJ515,CN515,CV515), 1)-CC515), "",  SMALL((CJ515,CN515,CV515), 1)-CC515))</f>
        <v/>
      </c>
      <c r="CI515" s="234"/>
      <c r="CJ515" s="235"/>
      <c r="CK515" s="236"/>
      <c r="CL515" s="222" t="str">
        <f t="shared" si="100"/>
        <v/>
      </c>
      <c r="CM515" s="237" t="str">
        <f>IF(OR(G515="", CJ515="",CK515=""), "", IF(ISERROR(SMALL((CN515,CV515), 1)-CK515), "",  SMALL((CN515,CV515), 1)-CK515))</f>
        <v/>
      </c>
      <c r="CN515" s="235"/>
      <c r="CO515" s="236"/>
      <c r="CP515" s="224" t="str">
        <f t="shared" si="101"/>
        <v/>
      </c>
      <c r="CQ515" s="235"/>
      <c r="CR515" s="236"/>
      <c r="CS515" s="222" t="str">
        <f t="shared" si="102"/>
        <v/>
      </c>
      <c r="CT515" s="237" t="str">
        <f t="shared" si="103"/>
        <v/>
      </c>
      <c r="CU515" s="238"/>
      <c r="CV515" s="239"/>
      <c r="CW515" s="240"/>
    </row>
    <row r="516" spans="2:101" ht="16.5" customHeight="1">
      <c r="B516" s="122"/>
      <c r="E516" s="122"/>
      <c r="F516" s="194"/>
      <c r="G516" s="195"/>
      <c r="H516" s="195"/>
      <c r="I516" s="195"/>
      <c r="J516" s="196"/>
      <c r="K516" s="197"/>
      <c r="L516" s="198"/>
      <c r="M516" s="199"/>
      <c r="N516" s="200"/>
      <c r="O516" s="201"/>
      <c r="P516" s="201"/>
      <c r="Q516" s="201"/>
      <c r="R516" s="201"/>
      <c r="S516" s="201"/>
      <c r="T516" s="201"/>
      <c r="U516" s="201"/>
      <c r="V516" s="201"/>
      <c r="W516" s="201"/>
      <c r="X516" s="202"/>
      <c r="Y516" s="203"/>
      <c r="Z516" s="204"/>
      <c r="AA516" s="205"/>
      <c r="AB516" s="206"/>
      <c r="AC516" s="206"/>
      <c r="AD516" s="194"/>
      <c r="AE516" s="201"/>
      <c r="AF516" s="207"/>
      <c r="AG516" s="208"/>
      <c r="AH516" s="209"/>
      <c r="AI516" s="210"/>
      <c r="AJ516" s="197"/>
      <c r="AK516" s="201"/>
      <c r="AL516" s="196"/>
      <c r="AM516" s="201"/>
      <c r="AN516" s="201"/>
      <c r="AO516" s="201"/>
      <c r="AP516" s="211"/>
      <c r="AQ516" s="212"/>
      <c r="AR516" s="201"/>
      <c r="AS516" s="201"/>
      <c r="AT516" s="201"/>
      <c r="AU516" s="201"/>
      <c r="AV516" s="202"/>
      <c r="AW516" s="194"/>
      <c r="AX516" s="201"/>
      <c r="AY516" s="213"/>
      <c r="AZ516" s="214"/>
      <c r="BA516" s="215"/>
      <c r="BB516" s="216"/>
      <c r="BC516" s="217" t="str">
        <f t="shared" si="91"/>
        <v/>
      </c>
      <c r="BD516" s="218"/>
      <c r="BE516" s="219"/>
      <c r="BF516" s="220"/>
      <c r="BG516" s="219"/>
      <c r="BH516" s="219"/>
      <c r="BI516" s="220"/>
      <c r="BJ516" s="218"/>
      <c r="BK516" s="219"/>
      <c r="BL516" s="197"/>
      <c r="BM516" s="215"/>
      <c r="BN516" s="221"/>
      <c r="BO516" s="222" t="str">
        <f t="shared" si="92"/>
        <v/>
      </c>
      <c r="BP516" s="217" t="str">
        <f t="shared" si="93"/>
        <v/>
      </c>
      <c r="BQ516" s="215"/>
      <c r="BR516" s="224"/>
      <c r="BS516" s="225"/>
      <c r="BT516" s="223"/>
      <c r="BU516" s="215"/>
      <c r="BV516" s="226"/>
      <c r="BW516" s="222" t="str">
        <f t="shared" si="94"/>
        <v/>
      </c>
      <c r="BX516" s="223" t="str">
        <f t="shared" si="95"/>
        <v/>
      </c>
      <c r="BY516" s="215"/>
      <c r="BZ516" s="227"/>
      <c r="CA516" s="227"/>
      <c r="CB516" s="228"/>
      <c r="CC516" s="229"/>
      <c r="CD516" s="230" t="str">
        <f t="shared" si="96"/>
        <v/>
      </c>
      <c r="CE516" s="231" t="str">
        <f t="shared" si="97"/>
        <v/>
      </c>
      <c r="CF516" s="232" t="str">
        <f t="shared" si="98"/>
        <v/>
      </c>
      <c r="CG516" s="233" t="str">
        <f t="shared" si="99"/>
        <v/>
      </c>
      <c r="CH516" s="207" t="str">
        <f>IF(OR(G516="",CC516= ""), "", IF(ISERROR(SMALL((CJ516,CN516,CV516), 1)-CC516), "",  SMALL((CJ516,CN516,CV516), 1)-CC516))</f>
        <v/>
      </c>
      <c r="CI516" s="234"/>
      <c r="CJ516" s="235"/>
      <c r="CK516" s="236"/>
      <c r="CL516" s="222" t="str">
        <f t="shared" si="100"/>
        <v/>
      </c>
      <c r="CM516" s="237" t="str">
        <f>IF(OR(G516="", CJ516="",CK516=""), "", IF(ISERROR(SMALL((CN516,CV516), 1)-CK516), "",  SMALL((CN516,CV516), 1)-CK516))</f>
        <v/>
      </c>
      <c r="CN516" s="235"/>
      <c r="CO516" s="236"/>
      <c r="CP516" s="224" t="str">
        <f t="shared" si="101"/>
        <v/>
      </c>
      <c r="CQ516" s="235"/>
      <c r="CR516" s="236"/>
      <c r="CS516" s="222" t="str">
        <f t="shared" si="102"/>
        <v/>
      </c>
      <c r="CT516" s="237" t="str">
        <f t="shared" si="103"/>
        <v/>
      </c>
      <c r="CU516" s="238"/>
      <c r="CV516" s="239"/>
      <c r="CW516" s="240"/>
    </row>
    <row r="517" spans="2:101" ht="16.5" customHeight="1">
      <c r="B517" s="122"/>
      <c r="E517" s="122"/>
      <c r="F517" s="194"/>
      <c r="G517" s="195"/>
      <c r="H517" s="195"/>
      <c r="I517" s="195"/>
      <c r="J517" s="196"/>
      <c r="K517" s="197"/>
      <c r="L517" s="198"/>
      <c r="M517" s="199"/>
      <c r="N517" s="200"/>
      <c r="O517" s="201"/>
      <c r="P517" s="201"/>
      <c r="Q517" s="201"/>
      <c r="R517" s="201"/>
      <c r="S517" s="201"/>
      <c r="T517" s="201"/>
      <c r="U517" s="201"/>
      <c r="V517" s="201"/>
      <c r="W517" s="201"/>
      <c r="X517" s="202"/>
      <c r="Y517" s="203"/>
      <c r="Z517" s="204"/>
      <c r="AA517" s="205"/>
      <c r="AB517" s="206"/>
      <c r="AC517" s="206"/>
      <c r="AD517" s="194"/>
      <c r="AE517" s="201"/>
      <c r="AF517" s="207"/>
      <c r="AG517" s="208"/>
      <c r="AH517" s="209"/>
      <c r="AI517" s="210"/>
      <c r="AJ517" s="197"/>
      <c r="AK517" s="201"/>
      <c r="AL517" s="196"/>
      <c r="AM517" s="201"/>
      <c r="AN517" s="201"/>
      <c r="AO517" s="201"/>
      <c r="AP517" s="211"/>
      <c r="AQ517" s="212"/>
      <c r="AR517" s="201"/>
      <c r="AS517" s="201"/>
      <c r="AT517" s="201"/>
      <c r="AU517" s="201"/>
      <c r="AV517" s="202"/>
      <c r="AW517" s="194"/>
      <c r="AX517" s="201"/>
      <c r="AY517" s="213"/>
      <c r="AZ517" s="214"/>
      <c r="BA517" s="215"/>
      <c r="BB517" s="216"/>
      <c r="BC517" s="217" t="str">
        <f t="shared" si="91"/>
        <v/>
      </c>
      <c r="BD517" s="218"/>
      <c r="BE517" s="219"/>
      <c r="BF517" s="220"/>
      <c r="BG517" s="219"/>
      <c r="BH517" s="219"/>
      <c r="BI517" s="220"/>
      <c r="BJ517" s="218"/>
      <c r="BK517" s="219"/>
      <c r="BL517" s="197"/>
      <c r="BM517" s="215"/>
      <c r="BN517" s="221"/>
      <c r="BO517" s="222" t="str">
        <f t="shared" si="92"/>
        <v/>
      </c>
      <c r="BP517" s="217" t="str">
        <f t="shared" si="93"/>
        <v/>
      </c>
      <c r="BQ517" s="215"/>
      <c r="BR517" s="224"/>
      <c r="BS517" s="225"/>
      <c r="BT517" s="223"/>
      <c r="BU517" s="215"/>
      <c r="BV517" s="226"/>
      <c r="BW517" s="222" t="str">
        <f t="shared" si="94"/>
        <v/>
      </c>
      <c r="BX517" s="223" t="str">
        <f t="shared" si="95"/>
        <v/>
      </c>
      <c r="BY517" s="215"/>
      <c r="BZ517" s="227"/>
      <c r="CA517" s="227"/>
      <c r="CB517" s="228"/>
      <c r="CC517" s="229"/>
      <c r="CD517" s="230" t="str">
        <f t="shared" si="96"/>
        <v/>
      </c>
      <c r="CE517" s="231" t="str">
        <f t="shared" si="97"/>
        <v/>
      </c>
      <c r="CF517" s="232" t="str">
        <f t="shared" si="98"/>
        <v/>
      </c>
      <c r="CG517" s="233" t="str">
        <f t="shared" si="99"/>
        <v/>
      </c>
      <c r="CH517" s="207" t="str">
        <f>IF(OR(G517="",CC517= ""), "", IF(ISERROR(SMALL((CJ517,CN517,CV517), 1)-CC517), "",  SMALL((CJ517,CN517,CV517), 1)-CC517))</f>
        <v/>
      </c>
      <c r="CI517" s="234"/>
      <c r="CJ517" s="235"/>
      <c r="CK517" s="236"/>
      <c r="CL517" s="222" t="str">
        <f t="shared" si="100"/>
        <v/>
      </c>
      <c r="CM517" s="237" t="str">
        <f>IF(OR(G517="", CJ517="",CK517=""), "", IF(ISERROR(SMALL((CN517,CV517), 1)-CK517), "",  SMALL((CN517,CV517), 1)-CK517))</f>
        <v/>
      </c>
      <c r="CN517" s="235"/>
      <c r="CO517" s="236"/>
      <c r="CP517" s="224" t="str">
        <f t="shared" si="101"/>
        <v/>
      </c>
      <c r="CQ517" s="235"/>
      <c r="CR517" s="236"/>
      <c r="CS517" s="222" t="str">
        <f t="shared" si="102"/>
        <v/>
      </c>
      <c r="CT517" s="237" t="str">
        <f t="shared" si="103"/>
        <v/>
      </c>
      <c r="CU517" s="238"/>
      <c r="CV517" s="239"/>
      <c r="CW517" s="240"/>
    </row>
    <row r="518" spans="2:101" ht="16.5" customHeight="1">
      <c r="B518" s="122"/>
      <c r="E518" s="122"/>
      <c r="F518" s="194"/>
      <c r="G518" s="195"/>
      <c r="H518" s="195"/>
      <c r="I518" s="195"/>
      <c r="J518" s="196"/>
      <c r="K518" s="197"/>
      <c r="L518" s="198"/>
      <c r="M518" s="199"/>
      <c r="N518" s="200"/>
      <c r="O518" s="201"/>
      <c r="P518" s="201"/>
      <c r="Q518" s="201"/>
      <c r="R518" s="201"/>
      <c r="S518" s="201"/>
      <c r="T518" s="201"/>
      <c r="U518" s="201"/>
      <c r="V518" s="201"/>
      <c r="W518" s="201"/>
      <c r="X518" s="202"/>
      <c r="Y518" s="203"/>
      <c r="Z518" s="204"/>
      <c r="AA518" s="205"/>
      <c r="AB518" s="206"/>
      <c r="AC518" s="206"/>
      <c r="AD518" s="194"/>
      <c r="AE518" s="201"/>
      <c r="AF518" s="207"/>
      <c r="AG518" s="208"/>
      <c r="AH518" s="209"/>
      <c r="AI518" s="210"/>
      <c r="AJ518" s="197"/>
      <c r="AK518" s="201"/>
      <c r="AL518" s="196"/>
      <c r="AM518" s="201"/>
      <c r="AN518" s="201"/>
      <c r="AO518" s="201"/>
      <c r="AP518" s="211"/>
      <c r="AQ518" s="212"/>
      <c r="AR518" s="201"/>
      <c r="AS518" s="201"/>
      <c r="AT518" s="201"/>
      <c r="AU518" s="201"/>
      <c r="AV518" s="202"/>
      <c r="AW518" s="194"/>
      <c r="AX518" s="201"/>
      <c r="AY518" s="213"/>
      <c r="AZ518" s="214"/>
      <c r="BA518" s="215"/>
      <c r="BB518" s="216"/>
      <c r="BC518" s="217" t="str">
        <f t="shared" si="91"/>
        <v/>
      </c>
      <c r="BD518" s="218"/>
      <c r="BE518" s="219"/>
      <c r="BF518" s="220"/>
      <c r="BG518" s="219"/>
      <c r="BH518" s="219"/>
      <c r="BI518" s="220"/>
      <c r="BJ518" s="218"/>
      <c r="BK518" s="219"/>
      <c r="BL518" s="197"/>
      <c r="BM518" s="215"/>
      <c r="BN518" s="221"/>
      <c r="BO518" s="222" t="str">
        <f t="shared" si="92"/>
        <v/>
      </c>
      <c r="BP518" s="217" t="str">
        <f t="shared" si="93"/>
        <v/>
      </c>
      <c r="BQ518" s="215"/>
      <c r="BR518" s="224"/>
      <c r="BS518" s="225"/>
      <c r="BT518" s="223"/>
      <c r="BU518" s="215"/>
      <c r="BV518" s="226"/>
      <c r="BW518" s="222" t="str">
        <f t="shared" si="94"/>
        <v/>
      </c>
      <c r="BX518" s="223" t="str">
        <f t="shared" si="95"/>
        <v/>
      </c>
      <c r="BY518" s="215"/>
      <c r="BZ518" s="227"/>
      <c r="CA518" s="227"/>
      <c r="CB518" s="228"/>
      <c r="CC518" s="229"/>
      <c r="CD518" s="230" t="str">
        <f t="shared" si="96"/>
        <v/>
      </c>
      <c r="CE518" s="231" t="str">
        <f t="shared" si="97"/>
        <v/>
      </c>
      <c r="CF518" s="232" t="str">
        <f t="shared" si="98"/>
        <v/>
      </c>
      <c r="CG518" s="233" t="str">
        <f t="shared" si="99"/>
        <v/>
      </c>
      <c r="CH518" s="207" t="str">
        <f>IF(OR(G518="",CC518= ""), "", IF(ISERROR(SMALL((CJ518,CN518,CV518), 1)-CC518), "",  SMALL((CJ518,CN518,CV518), 1)-CC518))</f>
        <v/>
      </c>
      <c r="CI518" s="234"/>
      <c r="CJ518" s="235"/>
      <c r="CK518" s="236"/>
      <c r="CL518" s="222" t="str">
        <f t="shared" si="100"/>
        <v/>
      </c>
      <c r="CM518" s="237" t="str">
        <f>IF(OR(G518="", CJ518="",CK518=""), "", IF(ISERROR(SMALL((CN518,CV518), 1)-CK518), "",  SMALL((CN518,CV518), 1)-CK518))</f>
        <v/>
      </c>
      <c r="CN518" s="235"/>
      <c r="CO518" s="236"/>
      <c r="CP518" s="224" t="str">
        <f t="shared" si="101"/>
        <v/>
      </c>
      <c r="CQ518" s="235"/>
      <c r="CR518" s="236"/>
      <c r="CS518" s="222" t="str">
        <f t="shared" si="102"/>
        <v/>
      </c>
      <c r="CT518" s="237" t="str">
        <f t="shared" si="103"/>
        <v/>
      </c>
      <c r="CU518" s="238"/>
      <c r="CV518" s="239"/>
      <c r="CW518" s="240"/>
    </row>
    <row r="519" spans="2:101" ht="16.5" customHeight="1">
      <c r="B519" s="122"/>
      <c r="E519" s="122"/>
      <c r="F519" s="194"/>
      <c r="G519" s="195"/>
      <c r="H519" s="195"/>
      <c r="I519" s="195"/>
      <c r="J519" s="196"/>
      <c r="K519" s="197"/>
      <c r="L519" s="198"/>
      <c r="M519" s="199"/>
      <c r="N519" s="200"/>
      <c r="O519" s="201"/>
      <c r="P519" s="201"/>
      <c r="Q519" s="201"/>
      <c r="R519" s="201"/>
      <c r="S519" s="201"/>
      <c r="T519" s="201"/>
      <c r="U519" s="201"/>
      <c r="V519" s="201"/>
      <c r="W519" s="201"/>
      <c r="X519" s="202"/>
      <c r="Y519" s="203"/>
      <c r="Z519" s="204"/>
      <c r="AA519" s="205"/>
      <c r="AB519" s="206"/>
      <c r="AC519" s="206"/>
      <c r="AD519" s="194"/>
      <c r="AE519" s="201"/>
      <c r="AF519" s="207"/>
      <c r="AG519" s="208"/>
      <c r="AH519" s="209"/>
      <c r="AI519" s="210"/>
      <c r="AJ519" s="197"/>
      <c r="AK519" s="201"/>
      <c r="AL519" s="196"/>
      <c r="AM519" s="201"/>
      <c r="AN519" s="201"/>
      <c r="AO519" s="201"/>
      <c r="AP519" s="211"/>
      <c r="AQ519" s="212"/>
      <c r="AR519" s="201"/>
      <c r="AS519" s="201"/>
      <c r="AT519" s="201"/>
      <c r="AU519" s="201"/>
      <c r="AV519" s="202"/>
      <c r="AW519" s="194"/>
      <c r="AX519" s="201"/>
      <c r="AY519" s="213"/>
      <c r="AZ519" s="214"/>
      <c r="BA519" s="215"/>
      <c r="BB519" s="216"/>
      <c r="BC519" s="217" t="str">
        <f t="shared" si="91"/>
        <v/>
      </c>
      <c r="BD519" s="218"/>
      <c r="BE519" s="219"/>
      <c r="BF519" s="220"/>
      <c r="BG519" s="219"/>
      <c r="BH519" s="219"/>
      <c r="BI519" s="220"/>
      <c r="BJ519" s="218"/>
      <c r="BK519" s="219"/>
      <c r="BL519" s="197"/>
      <c r="BM519" s="215"/>
      <c r="BN519" s="221"/>
      <c r="BO519" s="222" t="str">
        <f t="shared" si="92"/>
        <v/>
      </c>
      <c r="BP519" s="217" t="str">
        <f t="shared" si="93"/>
        <v/>
      </c>
      <c r="BQ519" s="215"/>
      <c r="BR519" s="224"/>
      <c r="BS519" s="225"/>
      <c r="BT519" s="223"/>
      <c r="BU519" s="215"/>
      <c r="BV519" s="226"/>
      <c r="BW519" s="222" t="str">
        <f t="shared" si="94"/>
        <v/>
      </c>
      <c r="BX519" s="223" t="str">
        <f t="shared" si="95"/>
        <v/>
      </c>
      <c r="BY519" s="215"/>
      <c r="BZ519" s="227"/>
      <c r="CA519" s="227"/>
      <c r="CB519" s="228"/>
      <c r="CC519" s="229"/>
      <c r="CD519" s="230" t="str">
        <f t="shared" si="96"/>
        <v/>
      </c>
      <c r="CE519" s="231" t="str">
        <f t="shared" si="97"/>
        <v/>
      </c>
      <c r="CF519" s="232" t="str">
        <f t="shared" si="98"/>
        <v/>
      </c>
      <c r="CG519" s="233" t="str">
        <f t="shared" si="99"/>
        <v/>
      </c>
      <c r="CH519" s="207" t="str">
        <f>IF(OR(G519="",CC519= ""), "", IF(ISERROR(SMALL((CJ519,CN519,CV519), 1)-CC519), "",  SMALL((CJ519,CN519,CV519), 1)-CC519))</f>
        <v/>
      </c>
      <c r="CI519" s="234"/>
      <c r="CJ519" s="235"/>
      <c r="CK519" s="236"/>
      <c r="CL519" s="222" t="str">
        <f t="shared" si="100"/>
        <v/>
      </c>
      <c r="CM519" s="237" t="str">
        <f>IF(OR(G519="", CJ519="",CK519=""), "", IF(ISERROR(SMALL((CN519,CV519), 1)-CK519), "",  SMALL((CN519,CV519), 1)-CK519))</f>
        <v/>
      </c>
      <c r="CN519" s="235"/>
      <c r="CO519" s="236"/>
      <c r="CP519" s="224" t="str">
        <f t="shared" si="101"/>
        <v/>
      </c>
      <c r="CQ519" s="235"/>
      <c r="CR519" s="236"/>
      <c r="CS519" s="222" t="str">
        <f t="shared" si="102"/>
        <v/>
      </c>
      <c r="CT519" s="237" t="str">
        <f t="shared" si="103"/>
        <v/>
      </c>
      <c r="CU519" s="238"/>
      <c r="CV519" s="239"/>
      <c r="CW519" s="240"/>
    </row>
    <row r="520" spans="2:101" ht="16.5" customHeight="1">
      <c r="B520" s="122"/>
      <c r="E520" s="122"/>
      <c r="F520" s="194"/>
      <c r="G520" s="195"/>
      <c r="H520" s="195"/>
      <c r="I520" s="195"/>
      <c r="J520" s="196"/>
      <c r="K520" s="197"/>
      <c r="L520" s="198"/>
      <c r="M520" s="199"/>
      <c r="N520" s="200"/>
      <c r="O520" s="201"/>
      <c r="P520" s="201"/>
      <c r="Q520" s="201"/>
      <c r="R520" s="201"/>
      <c r="S520" s="201"/>
      <c r="T520" s="201"/>
      <c r="U520" s="201"/>
      <c r="V520" s="201"/>
      <c r="W520" s="201"/>
      <c r="X520" s="202"/>
      <c r="Y520" s="203"/>
      <c r="Z520" s="204"/>
      <c r="AA520" s="205"/>
      <c r="AB520" s="206"/>
      <c r="AC520" s="206"/>
      <c r="AD520" s="194"/>
      <c r="AE520" s="201"/>
      <c r="AF520" s="207"/>
      <c r="AG520" s="208"/>
      <c r="AH520" s="209"/>
      <c r="AI520" s="210"/>
      <c r="AJ520" s="197"/>
      <c r="AK520" s="201"/>
      <c r="AL520" s="196"/>
      <c r="AM520" s="201"/>
      <c r="AN520" s="201"/>
      <c r="AO520" s="201"/>
      <c r="AP520" s="211"/>
      <c r="AQ520" s="212"/>
      <c r="AR520" s="201"/>
      <c r="AS520" s="201"/>
      <c r="AT520" s="201"/>
      <c r="AU520" s="201"/>
      <c r="AV520" s="202"/>
      <c r="AW520" s="194"/>
      <c r="AX520" s="201"/>
      <c r="AY520" s="213"/>
      <c r="AZ520" s="214"/>
      <c r="BA520" s="215"/>
      <c r="BB520" s="216"/>
      <c r="BC520" s="217" t="str">
        <f t="shared" si="91"/>
        <v/>
      </c>
      <c r="BD520" s="218"/>
      <c r="BE520" s="219"/>
      <c r="BF520" s="220"/>
      <c r="BG520" s="219"/>
      <c r="BH520" s="219"/>
      <c r="BI520" s="220"/>
      <c r="BJ520" s="218"/>
      <c r="BK520" s="219"/>
      <c r="BL520" s="197"/>
      <c r="BM520" s="215"/>
      <c r="BN520" s="221"/>
      <c r="BO520" s="222" t="str">
        <f t="shared" si="92"/>
        <v/>
      </c>
      <c r="BP520" s="217" t="str">
        <f t="shared" si="93"/>
        <v/>
      </c>
      <c r="BQ520" s="215"/>
      <c r="BR520" s="224"/>
      <c r="BS520" s="225"/>
      <c r="BT520" s="223"/>
      <c r="BU520" s="215"/>
      <c r="BV520" s="226"/>
      <c r="BW520" s="222" t="str">
        <f t="shared" si="94"/>
        <v/>
      </c>
      <c r="BX520" s="223" t="str">
        <f t="shared" si="95"/>
        <v/>
      </c>
      <c r="BY520" s="215"/>
      <c r="BZ520" s="227"/>
      <c r="CA520" s="227"/>
      <c r="CB520" s="228"/>
      <c r="CC520" s="229"/>
      <c r="CD520" s="230" t="str">
        <f t="shared" si="96"/>
        <v/>
      </c>
      <c r="CE520" s="231" t="str">
        <f t="shared" si="97"/>
        <v/>
      </c>
      <c r="CF520" s="232" t="str">
        <f t="shared" si="98"/>
        <v/>
      </c>
      <c r="CG520" s="233" t="str">
        <f t="shared" si="99"/>
        <v/>
      </c>
      <c r="CH520" s="207" t="str">
        <f>IF(OR(G520="",CC520= ""), "", IF(ISERROR(SMALL((CJ520,CN520,CV520), 1)-CC520), "",  SMALL((CJ520,CN520,CV520), 1)-CC520))</f>
        <v/>
      </c>
      <c r="CI520" s="234"/>
      <c r="CJ520" s="235"/>
      <c r="CK520" s="236"/>
      <c r="CL520" s="222" t="str">
        <f t="shared" si="100"/>
        <v/>
      </c>
      <c r="CM520" s="237" t="str">
        <f>IF(OR(G520="", CJ520="",CK520=""), "", IF(ISERROR(SMALL((CN520,CV520), 1)-CK520), "",  SMALL((CN520,CV520), 1)-CK520))</f>
        <v/>
      </c>
      <c r="CN520" s="235"/>
      <c r="CO520" s="236"/>
      <c r="CP520" s="224" t="str">
        <f t="shared" si="101"/>
        <v/>
      </c>
      <c r="CQ520" s="235"/>
      <c r="CR520" s="236"/>
      <c r="CS520" s="222" t="str">
        <f t="shared" si="102"/>
        <v/>
      </c>
      <c r="CT520" s="237" t="str">
        <f t="shared" si="103"/>
        <v/>
      </c>
      <c r="CU520" s="238"/>
      <c r="CV520" s="239"/>
      <c r="CW520" s="240"/>
    </row>
    <row r="521" spans="2:101" ht="16.5" customHeight="1">
      <c r="B521" s="122"/>
      <c r="E521" s="122"/>
      <c r="F521" s="194"/>
      <c r="G521" s="195"/>
      <c r="H521" s="195"/>
      <c r="I521" s="195"/>
      <c r="J521" s="196"/>
      <c r="K521" s="197"/>
      <c r="L521" s="198"/>
      <c r="M521" s="199"/>
      <c r="N521" s="200"/>
      <c r="O521" s="201"/>
      <c r="P521" s="201"/>
      <c r="Q521" s="201"/>
      <c r="R521" s="201"/>
      <c r="S521" s="201"/>
      <c r="T521" s="201"/>
      <c r="U521" s="201"/>
      <c r="V521" s="201"/>
      <c r="W521" s="201"/>
      <c r="X521" s="202"/>
      <c r="Y521" s="203"/>
      <c r="Z521" s="204"/>
      <c r="AA521" s="205"/>
      <c r="AB521" s="206"/>
      <c r="AC521" s="206"/>
      <c r="AD521" s="194"/>
      <c r="AE521" s="201"/>
      <c r="AF521" s="207"/>
      <c r="AG521" s="208"/>
      <c r="AH521" s="209"/>
      <c r="AI521" s="210"/>
      <c r="AJ521" s="197"/>
      <c r="AK521" s="201"/>
      <c r="AL521" s="196"/>
      <c r="AM521" s="201"/>
      <c r="AN521" s="201"/>
      <c r="AO521" s="201"/>
      <c r="AP521" s="211"/>
      <c r="AQ521" s="212"/>
      <c r="AR521" s="201"/>
      <c r="AS521" s="201"/>
      <c r="AT521" s="201"/>
      <c r="AU521" s="201"/>
      <c r="AV521" s="202"/>
      <c r="AW521" s="194"/>
      <c r="AX521" s="201"/>
      <c r="AY521" s="213"/>
      <c r="AZ521" s="214"/>
      <c r="BA521" s="215"/>
      <c r="BB521" s="216"/>
      <c r="BC521" s="217" t="str">
        <f t="shared" ref="BC521:BC584" si="104">IF(OR($H521="", $BM521="", BB521=""), "", IF(ISERROR($BM521-BB521), "", $BM521-BB521))</f>
        <v/>
      </c>
      <c r="BD521" s="218"/>
      <c r="BE521" s="219"/>
      <c r="BF521" s="220"/>
      <c r="BG521" s="219"/>
      <c r="BH521" s="219"/>
      <c r="BI521" s="220"/>
      <c r="BJ521" s="218"/>
      <c r="BK521" s="219"/>
      <c r="BL521" s="197"/>
      <c r="BM521" s="215"/>
      <c r="BN521" s="221"/>
      <c r="BO521" s="222" t="str">
        <f t="shared" ref="BO521:BO584" si="105">IF(OR(G521="", BM521="", BN521=""), "", IF(ISERROR(BN521-BM521+1), "", BN521-BM521+1))</f>
        <v/>
      </c>
      <c r="BP521" s="217" t="str">
        <f t="shared" ref="BP521:BP584" si="106">IF(OR(G521="", BN521="", BY521=""), "", IF(ISERROR(BY521-BN521), "", BY521-BN521))</f>
        <v/>
      </c>
      <c r="BQ521" s="215"/>
      <c r="BR521" s="224"/>
      <c r="BS521" s="225"/>
      <c r="BT521" s="223"/>
      <c r="BU521" s="215"/>
      <c r="BV521" s="226"/>
      <c r="BW521" s="222" t="str">
        <f t="shared" ref="BW521:BW584" si="107">IF(OR(H521="", BU521="", BV521=""), "", IF(ISERROR(BV521-BU521+1), "", BV521-BU521+1))</f>
        <v/>
      </c>
      <c r="BX521" s="223" t="str">
        <f t="shared" ref="BX521:BX584" si="108">IF(OR(H521="", BV521="", CB521=""), "", IF(ISERROR(CB521-BV521), "", CB521-BV521))</f>
        <v/>
      </c>
      <c r="BY521" s="215"/>
      <c r="BZ521" s="227"/>
      <c r="CA521" s="227"/>
      <c r="CB521" s="228"/>
      <c r="CC521" s="229"/>
      <c r="CD521" s="230" t="str">
        <f t="shared" ref="CD521:CD584" si="109">IF(OR($H521="",$BY521="",$CB521=""),"",IF((ISERROR($CB521-$BY521+1)),"",$CB521-$BY521+1))</f>
        <v/>
      </c>
      <c r="CE521" s="231" t="str">
        <f t="shared" ref="CE521:CE584" si="110">IF(OR(CB521="", CC521=""),"", IF(ISERROR(CC521-CB521+1), "",CC521-CB521+1))</f>
        <v/>
      </c>
      <c r="CF521" s="232" t="str">
        <f t="shared" ref="CF521:CF584" si="111">IF(OR(BY521="", CC521=""), "", IF(ISERROR(CC521-BY521+1), "",CC521-BY521+1))</f>
        <v/>
      </c>
      <c r="CG521" s="233" t="str">
        <f t="shared" ref="CG521:CG584" si="112">IF(OR(G521="", CC521="", CV521=""), "", IF(ISERROR(CV521-CC521), "", CV521-CC521))</f>
        <v/>
      </c>
      <c r="CH521" s="207" t="str">
        <f>IF(OR(G521="",CC521= ""), "", IF(ISERROR(SMALL((CJ521,CN521,CV521), 1)-CC521), "",  SMALL((CJ521,CN521,CV521), 1)-CC521))</f>
        <v/>
      </c>
      <c r="CI521" s="234"/>
      <c r="CJ521" s="235"/>
      <c r="CK521" s="236"/>
      <c r="CL521" s="222" t="str">
        <f t="shared" ref="CL521:CL584" si="113">IF(OR(G521="", CJ521="", CK521=""), "",   IF(ISERROR(CK521-CJ521+1), "",CK521-CJ521+1))</f>
        <v/>
      </c>
      <c r="CM521" s="237" t="str">
        <f>IF(OR(G521="", CJ521="",CK521=""), "", IF(ISERROR(SMALL((CN521,CV521), 1)-CK521), "",  SMALL((CN521,CV521), 1)-CK521))</f>
        <v/>
      </c>
      <c r="CN521" s="235"/>
      <c r="CO521" s="236"/>
      <c r="CP521" s="224" t="str">
        <f t="shared" ref="CP521:CP584" si="114">IF(OR(G521="", CN521="", CO521=""), "",   IF(ISERROR(CO521-CN521+1), "",CO521-CN521+1))</f>
        <v/>
      </c>
      <c r="CQ521" s="235"/>
      <c r="CR521" s="236"/>
      <c r="CS521" s="222" t="str">
        <f t="shared" ref="CS521:CS584" si="115">IF(OR(G521="", CQ521="", CR521=""), "",   IF(ISERROR(CR521-CQ521+1), "",CR521-CQ521+1))</f>
        <v/>
      </c>
      <c r="CT521" s="237" t="str">
        <f t="shared" ref="CT521:CT584" si="116">IF(AND(G521="", CK521="",CR521=""), "",IF(CR521="", IF(ISERROR(CV521-CK521), "",  CV521-CK521),  IF(ISERROR(CV521-CR521), "", CV521-CR521)))</f>
        <v/>
      </c>
      <c r="CU521" s="238"/>
      <c r="CV521" s="239"/>
      <c r="CW521" s="240"/>
    </row>
    <row r="522" spans="2:101" ht="16.5" customHeight="1">
      <c r="B522" s="122"/>
      <c r="E522" s="122"/>
      <c r="F522" s="194"/>
      <c r="G522" s="195"/>
      <c r="H522" s="195"/>
      <c r="I522" s="195"/>
      <c r="J522" s="196"/>
      <c r="K522" s="197"/>
      <c r="L522" s="198"/>
      <c r="M522" s="199"/>
      <c r="N522" s="200"/>
      <c r="O522" s="201"/>
      <c r="P522" s="201"/>
      <c r="Q522" s="201"/>
      <c r="R522" s="201"/>
      <c r="S522" s="201"/>
      <c r="T522" s="201"/>
      <c r="U522" s="201"/>
      <c r="V522" s="201"/>
      <c r="W522" s="201"/>
      <c r="X522" s="202"/>
      <c r="Y522" s="203"/>
      <c r="Z522" s="204"/>
      <c r="AA522" s="205"/>
      <c r="AB522" s="206"/>
      <c r="AC522" s="206"/>
      <c r="AD522" s="194"/>
      <c r="AE522" s="201"/>
      <c r="AF522" s="207"/>
      <c r="AG522" s="208"/>
      <c r="AH522" s="209"/>
      <c r="AI522" s="210"/>
      <c r="AJ522" s="197"/>
      <c r="AK522" s="201"/>
      <c r="AL522" s="196"/>
      <c r="AM522" s="201"/>
      <c r="AN522" s="201"/>
      <c r="AO522" s="201"/>
      <c r="AP522" s="211"/>
      <c r="AQ522" s="212"/>
      <c r="AR522" s="201"/>
      <c r="AS522" s="201"/>
      <c r="AT522" s="201"/>
      <c r="AU522" s="201"/>
      <c r="AV522" s="202"/>
      <c r="AW522" s="194"/>
      <c r="AX522" s="201"/>
      <c r="AY522" s="213"/>
      <c r="AZ522" s="214"/>
      <c r="BA522" s="215"/>
      <c r="BB522" s="216"/>
      <c r="BC522" s="217" t="str">
        <f t="shared" si="104"/>
        <v/>
      </c>
      <c r="BD522" s="218"/>
      <c r="BE522" s="219"/>
      <c r="BF522" s="220"/>
      <c r="BG522" s="219"/>
      <c r="BH522" s="219"/>
      <c r="BI522" s="220"/>
      <c r="BJ522" s="218"/>
      <c r="BK522" s="219"/>
      <c r="BL522" s="197"/>
      <c r="BM522" s="215"/>
      <c r="BN522" s="221"/>
      <c r="BO522" s="222" t="str">
        <f t="shared" si="105"/>
        <v/>
      </c>
      <c r="BP522" s="217" t="str">
        <f t="shared" si="106"/>
        <v/>
      </c>
      <c r="BQ522" s="215"/>
      <c r="BR522" s="224"/>
      <c r="BS522" s="225"/>
      <c r="BT522" s="223"/>
      <c r="BU522" s="215"/>
      <c r="BV522" s="226"/>
      <c r="BW522" s="222" t="str">
        <f t="shared" si="107"/>
        <v/>
      </c>
      <c r="BX522" s="223" t="str">
        <f t="shared" si="108"/>
        <v/>
      </c>
      <c r="BY522" s="215"/>
      <c r="BZ522" s="227"/>
      <c r="CA522" s="227"/>
      <c r="CB522" s="228"/>
      <c r="CC522" s="229"/>
      <c r="CD522" s="230" t="str">
        <f t="shared" si="109"/>
        <v/>
      </c>
      <c r="CE522" s="231" t="str">
        <f t="shared" si="110"/>
        <v/>
      </c>
      <c r="CF522" s="232" t="str">
        <f t="shared" si="111"/>
        <v/>
      </c>
      <c r="CG522" s="233" t="str">
        <f t="shared" si="112"/>
        <v/>
      </c>
      <c r="CH522" s="207" t="str">
        <f>IF(OR(G522="",CC522= ""), "", IF(ISERROR(SMALL((CJ522,CN522,CV522), 1)-CC522), "",  SMALL((CJ522,CN522,CV522), 1)-CC522))</f>
        <v/>
      </c>
      <c r="CI522" s="234"/>
      <c r="CJ522" s="235"/>
      <c r="CK522" s="236"/>
      <c r="CL522" s="222" t="str">
        <f t="shared" si="113"/>
        <v/>
      </c>
      <c r="CM522" s="237" t="str">
        <f>IF(OR(G522="", CJ522="",CK522=""), "", IF(ISERROR(SMALL((CN522,CV522), 1)-CK522), "",  SMALL((CN522,CV522), 1)-CK522))</f>
        <v/>
      </c>
      <c r="CN522" s="235"/>
      <c r="CO522" s="236"/>
      <c r="CP522" s="224" t="str">
        <f t="shared" si="114"/>
        <v/>
      </c>
      <c r="CQ522" s="235"/>
      <c r="CR522" s="236"/>
      <c r="CS522" s="222" t="str">
        <f t="shared" si="115"/>
        <v/>
      </c>
      <c r="CT522" s="237" t="str">
        <f t="shared" si="116"/>
        <v/>
      </c>
      <c r="CU522" s="238"/>
      <c r="CV522" s="239"/>
      <c r="CW522" s="240"/>
    </row>
    <row r="523" spans="2:101" ht="16.5" customHeight="1">
      <c r="B523" s="122"/>
      <c r="E523" s="122"/>
      <c r="F523" s="194"/>
      <c r="G523" s="195"/>
      <c r="H523" s="195"/>
      <c r="I523" s="195"/>
      <c r="J523" s="196"/>
      <c r="K523" s="197"/>
      <c r="L523" s="198"/>
      <c r="M523" s="199"/>
      <c r="N523" s="200"/>
      <c r="O523" s="201"/>
      <c r="P523" s="201"/>
      <c r="Q523" s="201"/>
      <c r="R523" s="201"/>
      <c r="S523" s="201"/>
      <c r="T523" s="201"/>
      <c r="U523" s="201"/>
      <c r="V523" s="201"/>
      <c r="W523" s="201"/>
      <c r="X523" s="202"/>
      <c r="Y523" s="203"/>
      <c r="Z523" s="204"/>
      <c r="AA523" s="205"/>
      <c r="AB523" s="206"/>
      <c r="AC523" s="206"/>
      <c r="AD523" s="194"/>
      <c r="AE523" s="201"/>
      <c r="AF523" s="207"/>
      <c r="AG523" s="208"/>
      <c r="AH523" s="209"/>
      <c r="AI523" s="210"/>
      <c r="AJ523" s="197"/>
      <c r="AK523" s="201"/>
      <c r="AL523" s="196"/>
      <c r="AM523" s="201"/>
      <c r="AN523" s="201"/>
      <c r="AO523" s="201"/>
      <c r="AP523" s="211"/>
      <c r="AQ523" s="212"/>
      <c r="AR523" s="201"/>
      <c r="AS523" s="201"/>
      <c r="AT523" s="201"/>
      <c r="AU523" s="201"/>
      <c r="AV523" s="202"/>
      <c r="AW523" s="194"/>
      <c r="AX523" s="201"/>
      <c r="AY523" s="213"/>
      <c r="AZ523" s="214"/>
      <c r="BA523" s="215"/>
      <c r="BB523" s="216"/>
      <c r="BC523" s="217" t="str">
        <f t="shared" si="104"/>
        <v/>
      </c>
      <c r="BD523" s="218"/>
      <c r="BE523" s="219"/>
      <c r="BF523" s="220"/>
      <c r="BG523" s="219"/>
      <c r="BH523" s="219"/>
      <c r="BI523" s="220"/>
      <c r="BJ523" s="218"/>
      <c r="BK523" s="219"/>
      <c r="BL523" s="197"/>
      <c r="BM523" s="215"/>
      <c r="BN523" s="221"/>
      <c r="BO523" s="222" t="str">
        <f t="shared" si="105"/>
        <v/>
      </c>
      <c r="BP523" s="217" t="str">
        <f t="shared" si="106"/>
        <v/>
      </c>
      <c r="BQ523" s="215"/>
      <c r="BR523" s="224"/>
      <c r="BS523" s="225"/>
      <c r="BT523" s="223"/>
      <c r="BU523" s="215"/>
      <c r="BV523" s="226"/>
      <c r="BW523" s="222" t="str">
        <f t="shared" si="107"/>
        <v/>
      </c>
      <c r="BX523" s="223" t="str">
        <f t="shared" si="108"/>
        <v/>
      </c>
      <c r="BY523" s="215"/>
      <c r="BZ523" s="227"/>
      <c r="CA523" s="227"/>
      <c r="CB523" s="228"/>
      <c r="CC523" s="229"/>
      <c r="CD523" s="230" t="str">
        <f t="shared" si="109"/>
        <v/>
      </c>
      <c r="CE523" s="231" t="str">
        <f t="shared" si="110"/>
        <v/>
      </c>
      <c r="CF523" s="232" t="str">
        <f t="shared" si="111"/>
        <v/>
      </c>
      <c r="CG523" s="233" t="str">
        <f t="shared" si="112"/>
        <v/>
      </c>
      <c r="CH523" s="207" t="str">
        <f>IF(OR(G523="",CC523= ""), "", IF(ISERROR(SMALL((CJ523,CN523,CV523), 1)-CC523), "",  SMALL((CJ523,CN523,CV523), 1)-CC523))</f>
        <v/>
      </c>
      <c r="CI523" s="234"/>
      <c r="CJ523" s="235"/>
      <c r="CK523" s="236"/>
      <c r="CL523" s="222" t="str">
        <f t="shared" si="113"/>
        <v/>
      </c>
      <c r="CM523" s="237" t="str">
        <f>IF(OR(G523="", CJ523="",CK523=""), "", IF(ISERROR(SMALL((CN523,CV523), 1)-CK523), "",  SMALL((CN523,CV523), 1)-CK523))</f>
        <v/>
      </c>
      <c r="CN523" s="235"/>
      <c r="CO523" s="236"/>
      <c r="CP523" s="224" t="str">
        <f t="shared" si="114"/>
        <v/>
      </c>
      <c r="CQ523" s="235"/>
      <c r="CR523" s="236"/>
      <c r="CS523" s="222" t="str">
        <f t="shared" si="115"/>
        <v/>
      </c>
      <c r="CT523" s="237" t="str">
        <f t="shared" si="116"/>
        <v/>
      </c>
      <c r="CU523" s="238"/>
      <c r="CV523" s="239"/>
      <c r="CW523" s="240"/>
    </row>
    <row r="524" spans="2:101" ht="16.5" customHeight="1">
      <c r="B524" s="122"/>
      <c r="E524" s="122"/>
      <c r="F524" s="194"/>
      <c r="G524" s="195"/>
      <c r="H524" s="195"/>
      <c r="I524" s="195"/>
      <c r="J524" s="196"/>
      <c r="K524" s="197"/>
      <c r="L524" s="198"/>
      <c r="M524" s="199"/>
      <c r="N524" s="200"/>
      <c r="O524" s="201"/>
      <c r="P524" s="201"/>
      <c r="Q524" s="201"/>
      <c r="R524" s="201"/>
      <c r="S524" s="201"/>
      <c r="T524" s="201"/>
      <c r="U524" s="201"/>
      <c r="V524" s="201"/>
      <c r="W524" s="201"/>
      <c r="X524" s="202"/>
      <c r="Y524" s="203"/>
      <c r="Z524" s="204"/>
      <c r="AA524" s="205"/>
      <c r="AB524" s="206"/>
      <c r="AC524" s="206"/>
      <c r="AD524" s="194"/>
      <c r="AE524" s="201"/>
      <c r="AF524" s="207"/>
      <c r="AG524" s="208"/>
      <c r="AH524" s="209"/>
      <c r="AI524" s="210"/>
      <c r="AJ524" s="197"/>
      <c r="AK524" s="201"/>
      <c r="AL524" s="196"/>
      <c r="AM524" s="201"/>
      <c r="AN524" s="201"/>
      <c r="AO524" s="201"/>
      <c r="AP524" s="211"/>
      <c r="AQ524" s="212"/>
      <c r="AR524" s="201"/>
      <c r="AS524" s="201"/>
      <c r="AT524" s="201"/>
      <c r="AU524" s="201"/>
      <c r="AV524" s="202"/>
      <c r="AW524" s="194"/>
      <c r="AX524" s="201"/>
      <c r="AY524" s="213"/>
      <c r="AZ524" s="214"/>
      <c r="BA524" s="215"/>
      <c r="BB524" s="216"/>
      <c r="BC524" s="217" t="str">
        <f t="shared" si="104"/>
        <v/>
      </c>
      <c r="BD524" s="218"/>
      <c r="BE524" s="219"/>
      <c r="BF524" s="220"/>
      <c r="BG524" s="219"/>
      <c r="BH524" s="219"/>
      <c r="BI524" s="220"/>
      <c r="BJ524" s="218"/>
      <c r="BK524" s="219"/>
      <c r="BL524" s="197"/>
      <c r="BM524" s="215"/>
      <c r="BN524" s="221"/>
      <c r="BO524" s="222" t="str">
        <f t="shared" si="105"/>
        <v/>
      </c>
      <c r="BP524" s="217" t="str">
        <f t="shared" si="106"/>
        <v/>
      </c>
      <c r="BQ524" s="215"/>
      <c r="BR524" s="224"/>
      <c r="BS524" s="225"/>
      <c r="BT524" s="223"/>
      <c r="BU524" s="215"/>
      <c r="BV524" s="226"/>
      <c r="BW524" s="222" t="str">
        <f t="shared" si="107"/>
        <v/>
      </c>
      <c r="BX524" s="223" t="str">
        <f t="shared" si="108"/>
        <v/>
      </c>
      <c r="BY524" s="215"/>
      <c r="BZ524" s="227"/>
      <c r="CA524" s="227"/>
      <c r="CB524" s="228"/>
      <c r="CC524" s="229"/>
      <c r="CD524" s="230" t="str">
        <f t="shared" si="109"/>
        <v/>
      </c>
      <c r="CE524" s="231" t="str">
        <f t="shared" si="110"/>
        <v/>
      </c>
      <c r="CF524" s="232" t="str">
        <f t="shared" si="111"/>
        <v/>
      </c>
      <c r="CG524" s="233" t="str">
        <f t="shared" si="112"/>
        <v/>
      </c>
      <c r="CH524" s="207" t="str">
        <f>IF(OR(G524="",CC524= ""), "", IF(ISERROR(SMALL((CJ524,CN524,CV524), 1)-CC524), "",  SMALL((CJ524,CN524,CV524), 1)-CC524))</f>
        <v/>
      </c>
      <c r="CI524" s="234"/>
      <c r="CJ524" s="235"/>
      <c r="CK524" s="236"/>
      <c r="CL524" s="222" t="str">
        <f t="shared" si="113"/>
        <v/>
      </c>
      <c r="CM524" s="237" t="str">
        <f>IF(OR(G524="", CJ524="",CK524=""), "", IF(ISERROR(SMALL((CN524,CV524), 1)-CK524), "",  SMALL((CN524,CV524), 1)-CK524))</f>
        <v/>
      </c>
      <c r="CN524" s="235"/>
      <c r="CO524" s="236"/>
      <c r="CP524" s="224" t="str">
        <f t="shared" si="114"/>
        <v/>
      </c>
      <c r="CQ524" s="235"/>
      <c r="CR524" s="236"/>
      <c r="CS524" s="222" t="str">
        <f t="shared" si="115"/>
        <v/>
      </c>
      <c r="CT524" s="237" t="str">
        <f t="shared" si="116"/>
        <v/>
      </c>
      <c r="CU524" s="238"/>
      <c r="CV524" s="239"/>
      <c r="CW524" s="240"/>
    </row>
    <row r="525" spans="2:101" ht="16.5" customHeight="1">
      <c r="B525" s="122"/>
      <c r="E525" s="122"/>
      <c r="F525" s="194"/>
      <c r="G525" s="195"/>
      <c r="H525" s="195"/>
      <c r="I525" s="195"/>
      <c r="J525" s="196"/>
      <c r="K525" s="197"/>
      <c r="L525" s="198"/>
      <c r="M525" s="199"/>
      <c r="N525" s="200"/>
      <c r="O525" s="201"/>
      <c r="P525" s="201"/>
      <c r="Q525" s="201"/>
      <c r="R525" s="201"/>
      <c r="S525" s="201"/>
      <c r="T525" s="201"/>
      <c r="U525" s="201"/>
      <c r="V525" s="201"/>
      <c r="W525" s="201"/>
      <c r="X525" s="202"/>
      <c r="Y525" s="203"/>
      <c r="Z525" s="204"/>
      <c r="AA525" s="205"/>
      <c r="AB525" s="206"/>
      <c r="AC525" s="206"/>
      <c r="AD525" s="194"/>
      <c r="AE525" s="201"/>
      <c r="AF525" s="207"/>
      <c r="AG525" s="208"/>
      <c r="AH525" s="209"/>
      <c r="AI525" s="210"/>
      <c r="AJ525" s="197"/>
      <c r="AK525" s="201"/>
      <c r="AL525" s="196"/>
      <c r="AM525" s="201"/>
      <c r="AN525" s="201"/>
      <c r="AO525" s="201"/>
      <c r="AP525" s="211"/>
      <c r="AQ525" s="212"/>
      <c r="AR525" s="201"/>
      <c r="AS525" s="201"/>
      <c r="AT525" s="201"/>
      <c r="AU525" s="201"/>
      <c r="AV525" s="202"/>
      <c r="AW525" s="194"/>
      <c r="AX525" s="201"/>
      <c r="AY525" s="213"/>
      <c r="AZ525" s="214"/>
      <c r="BA525" s="215"/>
      <c r="BB525" s="216"/>
      <c r="BC525" s="217" t="str">
        <f t="shared" si="104"/>
        <v/>
      </c>
      <c r="BD525" s="218"/>
      <c r="BE525" s="219"/>
      <c r="BF525" s="220"/>
      <c r="BG525" s="219"/>
      <c r="BH525" s="219"/>
      <c r="BI525" s="220"/>
      <c r="BJ525" s="218"/>
      <c r="BK525" s="219"/>
      <c r="BL525" s="197"/>
      <c r="BM525" s="215"/>
      <c r="BN525" s="221"/>
      <c r="BO525" s="222" t="str">
        <f t="shared" si="105"/>
        <v/>
      </c>
      <c r="BP525" s="217" t="str">
        <f t="shared" si="106"/>
        <v/>
      </c>
      <c r="BQ525" s="215"/>
      <c r="BR525" s="224"/>
      <c r="BS525" s="225"/>
      <c r="BT525" s="223"/>
      <c r="BU525" s="215"/>
      <c r="BV525" s="226"/>
      <c r="BW525" s="222" t="str">
        <f t="shared" si="107"/>
        <v/>
      </c>
      <c r="BX525" s="223" t="str">
        <f t="shared" si="108"/>
        <v/>
      </c>
      <c r="BY525" s="215"/>
      <c r="BZ525" s="227"/>
      <c r="CA525" s="227"/>
      <c r="CB525" s="228"/>
      <c r="CC525" s="229"/>
      <c r="CD525" s="230" t="str">
        <f t="shared" si="109"/>
        <v/>
      </c>
      <c r="CE525" s="231" t="str">
        <f t="shared" si="110"/>
        <v/>
      </c>
      <c r="CF525" s="232" t="str">
        <f t="shared" si="111"/>
        <v/>
      </c>
      <c r="CG525" s="233" t="str">
        <f t="shared" si="112"/>
        <v/>
      </c>
      <c r="CH525" s="207" t="str">
        <f>IF(OR(G525="",CC525= ""), "", IF(ISERROR(SMALL((CJ525,CN525,CV525), 1)-CC525), "",  SMALL((CJ525,CN525,CV525), 1)-CC525))</f>
        <v/>
      </c>
      <c r="CI525" s="234"/>
      <c r="CJ525" s="235"/>
      <c r="CK525" s="236"/>
      <c r="CL525" s="222" t="str">
        <f t="shared" si="113"/>
        <v/>
      </c>
      <c r="CM525" s="237" t="str">
        <f>IF(OR(G525="", CJ525="",CK525=""), "", IF(ISERROR(SMALL((CN525,CV525), 1)-CK525), "",  SMALL((CN525,CV525), 1)-CK525))</f>
        <v/>
      </c>
      <c r="CN525" s="235"/>
      <c r="CO525" s="236"/>
      <c r="CP525" s="224" t="str">
        <f t="shared" si="114"/>
        <v/>
      </c>
      <c r="CQ525" s="235"/>
      <c r="CR525" s="236"/>
      <c r="CS525" s="222" t="str">
        <f t="shared" si="115"/>
        <v/>
      </c>
      <c r="CT525" s="237" t="str">
        <f t="shared" si="116"/>
        <v/>
      </c>
      <c r="CU525" s="238"/>
      <c r="CV525" s="239"/>
      <c r="CW525" s="240"/>
    </row>
    <row r="526" spans="2:101" ht="16.5" customHeight="1">
      <c r="B526" s="122"/>
      <c r="E526" s="122"/>
      <c r="F526" s="194"/>
      <c r="G526" s="195"/>
      <c r="H526" s="195"/>
      <c r="I526" s="195"/>
      <c r="J526" s="196"/>
      <c r="K526" s="197"/>
      <c r="L526" s="198"/>
      <c r="M526" s="199"/>
      <c r="N526" s="200"/>
      <c r="O526" s="201"/>
      <c r="P526" s="201"/>
      <c r="Q526" s="201"/>
      <c r="R526" s="201"/>
      <c r="S526" s="201"/>
      <c r="T526" s="201"/>
      <c r="U526" s="201"/>
      <c r="V526" s="201"/>
      <c r="W526" s="201"/>
      <c r="X526" s="202"/>
      <c r="Y526" s="203"/>
      <c r="Z526" s="204"/>
      <c r="AA526" s="205"/>
      <c r="AB526" s="206"/>
      <c r="AC526" s="206"/>
      <c r="AD526" s="194"/>
      <c r="AE526" s="201"/>
      <c r="AF526" s="207"/>
      <c r="AG526" s="208"/>
      <c r="AH526" s="209"/>
      <c r="AI526" s="210"/>
      <c r="AJ526" s="197"/>
      <c r="AK526" s="201"/>
      <c r="AL526" s="196"/>
      <c r="AM526" s="201"/>
      <c r="AN526" s="201"/>
      <c r="AO526" s="201"/>
      <c r="AP526" s="211"/>
      <c r="AQ526" s="212"/>
      <c r="AR526" s="201"/>
      <c r="AS526" s="201"/>
      <c r="AT526" s="201"/>
      <c r="AU526" s="201"/>
      <c r="AV526" s="202"/>
      <c r="AW526" s="194"/>
      <c r="AX526" s="201"/>
      <c r="AY526" s="213"/>
      <c r="AZ526" s="214"/>
      <c r="BA526" s="215"/>
      <c r="BB526" s="216"/>
      <c r="BC526" s="217" t="str">
        <f t="shared" si="104"/>
        <v/>
      </c>
      <c r="BD526" s="218"/>
      <c r="BE526" s="219"/>
      <c r="BF526" s="220"/>
      <c r="BG526" s="219"/>
      <c r="BH526" s="219"/>
      <c r="BI526" s="220"/>
      <c r="BJ526" s="218"/>
      <c r="BK526" s="219"/>
      <c r="BL526" s="197"/>
      <c r="BM526" s="215"/>
      <c r="BN526" s="221"/>
      <c r="BO526" s="222" t="str">
        <f t="shared" si="105"/>
        <v/>
      </c>
      <c r="BP526" s="217" t="str">
        <f t="shared" si="106"/>
        <v/>
      </c>
      <c r="BQ526" s="215"/>
      <c r="BR526" s="224"/>
      <c r="BS526" s="225"/>
      <c r="BT526" s="223"/>
      <c r="BU526" s="215"/>
      <c r="BV526" s="226"/>
      <c r="BW526" s="222" t="str">
        <f t="shared" si="107"/>
        <v/>
      </c>
      <c r="BX526" s="223" t="str">
        <f t="shared" si="108"/>
        <v/>
      </c>
      <c r="BY526" s="215"/>
      <c r="BZ526" s="227"/>
      <c r="CA526" s="227"/>
      <c r="CB526" s="228"/>
      <c r="CC526" s="229"/>
      <c r="CD526" s="230" t="str">
        <f t="shared" si="109"/>
        <v/>
      </c>
      <c r="CE526" s="231" t="str">
        <f t="shared" si="110"/>
        <v/>
      </c>
      <c r="CF526" s="232" t="str">
        <f t="shared" si="111"/>
        <v/>
      </c>
      <c r="CG526" s="233" t="str">
        <f t="shared" si="112"/>
        <v/>
      </c>
      <c r="CH526" s="207" t="str">
        <f>IF(OR(G526="",CC526= ""), "", IF(ISERROR(SMALL((CJ526,CN526,CV526), 1)-CC526), "",  SMALL((CJ526,CN526,CV526), 1)-CC526))</f>
        <v/>
      </c>
      <c r="CI526" s="234"/>
      <c r="CJ526" s="235"/>
      <c r="CK526" s="236"/>
      <c r="CL526" s="222" t="str">
        <f t="shared" si="113"/>
        <v/>
      </c>
      <c r="CM526" s="237" t="str">
        <f>IF(OR(G526="", CJ526="",CK526=""), "", IF(ISERROR(SMALL((CN526,CV526), 1)-CK526), "",  SMALL((CN526,CV526), 1)-CK526))</f>
        <v/>
      </c>
      <c r="CN526" s="235"/>
      <c r="CO526" s="236"/>
      <c r="CP526" s="224" t="str">
        <f t="shared" si="114"/>
        <v/>
      </c>
      <c r="CQ526" s="235"/>
      <c r="CR526" s="236"/>
      <c r="CS526" s="222" t="str">
        <f t="shared" si="115"/>
        <v/>
      </c>
      <c r="CT526" s="237" t="str">
        <f t="shared" si="116"/>
        <v/>
      </c>
      <c r="CU526" s="238"/>
      <c r="CV526" s="239"/>
      <c r="CW526" s="240"/>
    </row>
    <row r="527" spans="2:101" ht="16.5" customHeight="1">
      <c r="B527" s="122"/>
      <c r="E527" s="122"/>
      <c r="F527" s="194"/>
      <c r="G527" s="195"/>
      <c r="H527" s="195"/>
      <c r="I527" s="195"/>
      <c r="J527" s="196"/>
      <c r="K527" s="197"/>
      <c r="L527" s="198"/>
      <c r="M527" s="199"/>
      <c r="N527" s="200"/>
      <c r="O527" s="201"/>
      <c r="P527" s="201"/>
      <c r="Q527" s="201"/>
      <c r="R527" s="201"/>
      <c r="S527" s="201"/>
      <c r="T527" s="201"/>
      <c r="U527" s="201"/>
      <c r="V527" s="201"/>
      <c r="W527" s="201"/>
      <c r="X527" s="202"/>
      <c r="Y527" s="203"/>
      <c r="Z527" s="204"/>
      <c r="AA527" s="205"/>
      <c r="AB527" s="206"/>
      <c r="AC527" s="206"/>
      <c r="AD527" s="194"/>
      <c r="AE527" s="201"/>
      <c r="AF527" s="207"/>
      <c r="AG527" s="208"/>
      <c r="AH527" s="209"/>
      <c r="AI527" s="210"/>
      <c r="AJ527" s="197"/>
      <c r="AK527" s="201"/>
      <c r="AL527" s="196"/>
      <c r="AM527" s="201"/>
      <c r="AN527" s="201"/>
      <c r="AO527" s="201"/>
      <c r="AP527" s="211"/>
      <c r="AQ527" s="212"/>
      <c r="AR527" s="201"/>
      <c r="AS527" s="201"/>
      <c r="AT527" s="201"/>
      <c r="AU527" s="201"/>
      <c r="AV527" s="202"/>
      <c r="AW527" s="194"/>
      <c r="AX527" s="201"/>
      <c r="AY527" s="213"/>
      <c r="AZ527" s="214"/>
      <c r="BA527" s="215"/>
      <c r="BB527" s="216"/>
      <c r="BC527" s="217" t="str">
        <f t="shared" si="104"/>
        <v/>
      </c>
      <c r="BD527" s="218"/>
      <c r="BE527" s="219"/>
      <c r="BF527" s="220"/>
      <c r="BG527" s="219"/>
      <c r="BH527" s="219"/>
      <c r="BI527" s="220"/>
      <c r="BJ527" s="218"/>
      <c r="BK527" s="219"/>
      <c r="BL527" s="197"/>
      <c r="BM527" s="215"/>
      <c r="BN527" s="221"/>
      <c r="BO527" s="222" t="str">
        <f t="shared" si="105"/>
        <v/>
      </c>
      <c r="BP527" s="217" t="str">
        <f t="shared" si="106"/>
        <v/>
      </c>
      <c r="BQ527" s="215"/>
      <c r="BR527" s="224"/>
      <c r="BS527" s="225"/>
      <c r="BT527" s="223"/>
      <c r="BU527" s="215"/>
      <c r="BV527" s="226"/>
      <c r="BW527" s="222" t="str">
        <f t="shared" si="107"/>
        <v/>
      </c>
      <c r="BX527" s="223" t="str">
        <f t="shared" si="108"/>
        <v/>
      </c>
      <c r="BY527" s="215"/>
      <c r="BZ527" s="227"/>
      <c r="CA527" s="227"/>
      <c r="CB527" s="228"/>
      <c r="CC527" s="229"/>
      <c r="CD527" s="230" t="str">
        <f t="shared" si="109"/>
        <v/>
      </c>
      <c r="CE527" s="231" t="str">
        <f t="shared" si="110"/>
        <v/>
      </c>
      <c r="CF527" s="232" t="str">
        <f t="shared" si="111"/>
        <v/>
      </c>
      <c r="CG527" s="233" t="str">
        <f t="shared" si="112"/>
        <v/>
      </c>
      <c r="CH527" s="207" t="str">
        <f>IF(OR(G527="",CC527= ""), "", IF(ISERROR(SMALL((CJ527,CN527,CV527), 1)-CC527), "",  SMALL((CJ527,CN527,CV527), 1)-CC527))</f>
        <v/>
      </c>
      <c r="CI527" s="234"/>
      <c r="CJ527" s="235"/>
      <c r="CK527" s="236"/>
      <c r="CL527" s="222" t="str">
        <f t="shared" si="113"/>
        <v/>
      </c>
      <c r="CM527" s="237" t="str">
        <f>IF(OR(G527="", CJ527="",CK527=""), "", IF(ISERROR(SMALL((CN527,CV527), 1)-CK527), "",  SMALL((CN527,CV527), 1)-CK527))</f>
        <v/>
      </c>
      <c r="CN527" s="235"/>
      <c r="CO527" s="236"/>
      <c r="CP527" s="224" t="str">
        <f t="shared" si="114"/>
        <v/>
      </c>
      <c r="CQ527" s="235"/>
      <c r="CR527" s="236"/>
      <c r="CS527" s="222" t="str">
        <f t="shared" si="115"/>
        <v/>
      </c>
      <c r="CT527" s="237" t="str">
        <f t="shared" si="116"/>
        <v/>
      </c>
      <c r="CU527" s="238"/>
      <c r="CV527" s="239"/>
      <c r="CW527" s="240"/>
    </row>
    <row r="528" spans="2:101" ht="16.5" customHeight="1">
      <c r="B528" s="122"/>
      <c r="E528" s="122"/>
      <c r="F528" s="194"/>
      <c r="G528" s="195"/>
      <c r="H528" s="195"/>
      <c r="I528" s="195"/>
      <c r="J528" s="196"/>
      <c r="K528" s="197"/>
      <c r="L528" s="198"/>
      <c r="M528" s="199"/>
      <c r="N528" s="200"/>
      <c r="O528" s="201"/>
      <c r="P528" s="201"/>
      <c r="Q528" s="201"/>
      <c r="R528" s="201"/>
      <c r="S528" s="201"/>
      <c r="T528" s="201"/>
      <c r="U528" s="201"/>
      <c r="V528" s="201"/>
      <c r="W528" s="201"/>
      <c r="X528" s="202"/>
      <c r="Y528" s="203"/>
      <c r="Z528" s="204"/>
      <c r="AA528" s="205"/>
      <c r="AB528" s="206"/>
      <c r="AC528" s="206"/>
      <c r="AD528" s="194"/>
      <c r="AE528" s="201"/>
      <c r="AF528" s="207"/>
      <c r="AG528" s="208"/>
      <c r="AH528" s="209"/>
      <c r="AI528" s="210"/>
      <c r="AJ528" s="197"/>
      <c r="AK528" s="201"/>
      <c r="AL528" s="196"/>
      <c r="AM528" s="201"/>
      <c r="AN528" s="201"/>
      <c r="AO528" s="201"/>
      <c r="AP528" s="211"/>
      <c r="AQ528" s="212"/>
      <c r="AR528" s="201"/>
      <c r="AS528" s="201"/>
      <c r="AT528" s="201"/>
      <c r="AU528" s="201"/>
      <c r="AV528" s="202"/>
      <c r="AW528" s="194"/>
      <c r="AX528" s="201"/>
      <c r="AY528" s="213"/>
      <c r="AZ528" s="214"/>
      <c r="BA528" s="215"/>
      <c r="BB528" s="216"/>
      <c r="BC528" s="217" t="str">
        <f t="shared" si="104"/>
        <v/>
      </c>
      <c r="BD528" s="218"/>
      <c r="BE528" s="219"/>
      <c r="BF528" s="220"/>
      <c r="BG528" s="219"/>
      <c r="BH528" s="219"/>
      <c r="BI528" s="220"/>
      <c r="BJ528" s="218"/>
      <c r="BK528" s="219"/>
      <c r="BL528" s="197"/>
      <c r="BM528" s="215"/>
      <c r="BN528" s="221"/>
      <c r="BO528" s="222" t="str">
        <f t="shared" si="105"/>
        <v/>
      </c>
      <c r="BP528" s="217" t="str">
        <f t="shared" si="106"/>
        <v/>
      </c>
      <c r="BQ528" s="215"/>
      <c r="BR528" s="224"/>
      <c r="BS528" s="225"/>
      <c r="BT528" s="223"/>
      <c r="BU528" s="215"/>
      <c r="BV528" s="226"/>
      <c r="BW528" s="222" t="str">
        <f t="shared" si="107"/>
        <v/>
      </c>
      <c r="BX528" s="223" t="str">
        <f t="shared" si="108"/>
        <v/>
      </c>
      <c r="BY528" s="215"/>
      <c r="BZ528" s="227"/>
      <c r="CA528" s="227"/>
      <c r="CB528" s="228"/>
      <c r="CC528" s="229"/>
      <c r="CD528" s="230" t="str">
        <f t="shared" si="109"/>
        <v/>
      </c>
      <c r="CE528" s="231" t="str">
        <f t="shared" si="110"/>
        <v/>
      </c>
      <c r="CF528" s="232" t="str">
        <f t="shared" si="111"/>
        <v/>
      </c>
      <c r="CG528" s="233" t="str">
        <f t="shared" si="112"/>
        <v/>
      </c>
      <c r="CH528" s="207" t="str">
        <f>IF(OR(G528="",CC528= ""), "", IF(ISERROR(SMALL((CJ528,CN528,CV528), 1)-CC528), "",  SMALL((CJ528,CN528,CV528), 1)-CC528))</f>
        <v/>
      </c>
      <c r="CI528" s="234"/>
      <c r="CJ528" s="235"/>
      <c r="CK528" s="236"/>
      <c r="CL528" s="222" t="str">
        <f t="shared" si="113"/>
        <v/>
      </c>
      <c r="CM528" s="237" t="str">
        <f>IF(OR(G528="", CJ528="",CK528=""), "", IF(ISERROR(SMALL((CN528,CV528), 1)-CK528), "",  SMALL((CN528,CV528), 1)-CK528))</f>
        <v/>
      </c>
      <c r="CN528" s="235"/>
      <c r="CO528" s="236"/>
      <c r="CP528" s="224" t="str">
        <f t="shared" si="114"/>
        <v/>
      </c>
      <c r="CQ528" s="235"/>
      <c r="CR528" s="236"/>
      <c r="CS528" s="222" t="str">
        <f t="shared" si="115"/>
        <v/>
      </c>
      <c r="CT528" s="237" t="str">
        <f t="shared" si="116"/>
        <v/>
      </c>
      <c r="CU528" s="238"/>
      <c r="CV528" s="239"/>
      <c r="CW528" s="240"/>
    </row>
    <row r="529" spans="2:101" ht="16.5" customHeight="1">
      <c r="B529" s="122"/>
      <c r="E529" s="122"/>
      <c r="F529" s="194"/>
      <c r="G529" s="195"/>
      <c r="H529" s="195"/>
      <c r="I529" s="195"/>
      <c r="J529" s="196"/>
      <c r="K529" s="197"/>
      <c r="L529" s="198"/>
      <c r="M529" s="199"/>
      <c r="N529" s="200"/>
      <c r="O529" s="201"/>
      <c r="P529" s="201"/>
      <c r="Q529" s="201"/>
      <c r="R529" s="201"/>
      <c r="S529" s="201"/>
      <c r="T529" s="201"/>
      <c r="U529" s="201"/>
      <c r="V529" s="201"/>
      <c r="W529" s="201"/>
      <c r="X529" s="202"/>
      <c r="Y529" s="203"/>
      <c r="Z529" s="204"/>
      <c r="AA529" s="205"/>
      <c r="AB529" s="206"/>
      <c r="AC529" s="206"/>
      <c r="AD529" s="194"/>
      <c r="AE529" s="201"/>
      <c r="AF529" s="207"/>
      <c r="AG529" s="208"/>
      <c r="AH529" s="209"/>
      <c r="AI529" s="210"/>
      <c r="AJ529" s="197"/>
      <c r="AK529" s="201"/>
      <c r="AL529" s="196"/>
      <c r="AM529" s="201"/>
      <c r="AN529" s="201"/>
      <c r="AO529" s="201"/>
      <c r="AP529" s="211"/>
      <c r="AQ529" s="212"/>
      <c r="AR529" s="201"/>
      <c r="AS529" s="201"/>
      <c r="AT529" s="201"/>
      <c r="AU529" s="201"/>
      <c r="AV529" s="202"/>
      <c r="AW529" s="194"/>
      <c r="AX529" s="201"/>
      <c r="AY529" s="213"/>
      <c r="AZ529" s="214"/>
      <c r="BA529" s="215"/>
      <c r="BB529" s="216"/>
      <c r="BC529" s="217" t="str">
        <f t="shared" si="104"/>
        <v/>
      </c>
      <c r="BD529" s="218"/>
      <c r="BE529" s="219"/>
      <c r="BF529" s="220"/>
      <c r="BG529" s="219"/>
      <c r="BH529" s="219"/>
      <c r="BI529" s="220"/>
      <c r="BJ529" s="218"/>
      <c r="BK529" s="219"/>
      <c r="BL529" s="197"/>
      <c r="BM529" s="215"/>
      <c r="BN529" s="221"/>
      <c r="BO529" s="222" t="str">
        <f t="shared" si="105"/>
        <v/>
      </c>
      <c r="BP529" s="217" t="str">
        <f t="shared" si="106"/>
        <v/>
      </c>
      <c r="BQ529" s="215"/>
      <c r="BR529" s="224"/>
      <c r="BS529" s="225"/>
      <c r="BT529" s="223"/>
      <c r="BU529" s="215"/>
      <c r="BV529" s="226"/>
      <c r="BW529" s="222" t="str">
        <f t="shared" si="107"/>
        <v/>
      </c>
      <c r="BX529" s="223" t="str">
        <f t="shared" si="108"/>
        <v/>
      </c>
      <c r="BY529" s="215"/>
      <c r="BZ529" s="227"/>
      <c r="CA529" s="227"/>
      <c r="CB529" s="228"/>
      <c r="CC529" s="229"/>
      <c r="CD529" s="230" t="str">
        <f t="shared" si="109"/>
        <v/>
      </c>
      <c r="CE529" s="231" t="str">
        <f t="shared" si="110"/>
        <v/>
      </c>
      <c r="CF529" s="232" t="str">
        <f t="shared" si="111"/>
        <v/>
      </c>
      <c r="CG529" s="233" t="str">
        <f t="shared" si="112"/>
        <v/>
      </c>
      <c r="CH529" s="207" t="str">
        <f>IF(OR(G529="",CC529= ""), "", IF(ISERROR(SMALL((CJ529,CN529,CV529), 1)-CC529), "",  SMALL((CJ529,CN529,CV529), 1)-CC529))</f>
        <v/>
      </c>
      <c r="CI529" s="234"/>
      <c r="CJ529" s="235"/>
      <c r="CK529" s="236"/>
      <c r="CL529" s="222" t="str">
        <f t="shared" si="113"/>
        <v/>
      </c>
      <c r="CM529" s="237" t="str">
        <f>IF(OR(G529="", CJ529="",CK529=""), "", IF(ISERROR(SMALL((CN529,CV529), 1)-CK529), "",  SMALL((CN529,CV529), 1)-CK529))</f>
        <v/>
      </c>
      <c r="CN529" s="235"/>
      <c r="CO529" s="236"/>
      <c r="CP529" s="224" t="str">
        <f t="shared" si="114"/>
        <v/>
      </c>
      <c r="CQ529" s="235"/>
      <c r="CR529" s="236"/>
      <c r="CS529" s="222" t="str">
        <f t="shared" si="115"/>
        <v/>
      </c>
      <c r="CT529" s="237" t="str">
        <f t="shared" si="116"/>
        <v/>
      </c>
      <c r="CU529" s="238"/>
      <c r="CV529" s="239"/>
      <c r="CW529" s="240"/>
    </row>
    <row r="530" spans="2:101" ht="16.5" customHeight="1">
      <c r="B530" s="122"/>
      <c r="E530" s="122"/>
      <c r="F530" s="194"/>
      <c r="G530" s="195"/>
      <c r="H530" s="195"/>
      <c r="I530" s="195"/>
      <c r="J530" s="196"/>
      <c r="K530" s="197"/>
      <c r="L530" s="198"/>
      <c r="M530" s="199"/>
      <c r="N530" s="200"/>
      <c r="O530" s="201"/>
      <c r="P530" s="201"/>
      <c r="Q530" s="201"/>
      <c r="R530" s="201"/>
      <c r="S530" s="201"/>
      <c r="T530" s="201"/>
      <c r="U530" s="201"/>
      <c r="V530" s="201"/>
      <c r="W530" s="201"/>
      <c r="X530" s="202"/>
      <c r="Y530" s="203"/>
      <c r="Z530" s="204"/>
      <c r="AA530" s="205"/>
      <c r="AB530" s="206"/>
      <c r="AC530" s="206"/>
      <c r="AD530" s="194"/>
      <c r="AE530" s="201"/>
      <c r="AF530" s="207"/>
      <c r="AG530" s="208"/>
      <c r="AH530" s="209"/>
      <c r="AI530" s="210"/>
      <c r="AJ530" s="197"/>
      <c r="AK530" s="201"/>
      <c r="AL530" s="196"/>
      <c r="AM530" s="201"/>
      <c r="AN530" s="201"/>
      <c r="AO530" s="201"/>
      <c r="AP530" s="211"/>
      <c r="AQ530" s="212"/>
      <c r="AR530" s="201"/>
      <c r="AS530" s="201"/>
      <c r="AT530" s="201"/>
      <c r="AU530" s="201"/>
      <c r="AV530" s="202"/>
      <c r="AW530" s="194"/>
      <c r="AX530" s="201"/>
      <c r="AY530" s="213"/>
      <c r="AZ530" s="214"/>
      <c r="BA530" s="215"/>
      <c r="BB530" s="216"/>
      <c r="BC530" s="217" t="str">
        <f t="shared" si="104"/>
        <v/>
      </c>
      <c r="BD530" s="218"/>
      <c r="BE530" s="219"/>
      <c r="BF530" s="220"/>
      <c r="BG530" s="219"/>
      <c r="BH530" s="219"/>
      <c r="BI530" s="220"/>
      <c r="BJ530" s="218"/>
      <c r="BK530" s="219"/>
      <c r="BL530" s="197"/>
      <c r="BM530" s="215"/>
      <c r="BN530" s="221"/>
      <c r="BO530" s="222" t="str">
        <f t="shared" si="105"/>
        <v/>
      </c>
      <c r="BP530" s="217" t="str">
        <f t="shared" si="106"/>
        <v/>
      </c>
      <c r="BQ530" s="215"/>
      <c r="BR530" s="224"/>
      <c r="BS530" s="225"/>
      <c r="BT530" s="223"/>
      <c r="BU530" s="215"/>
      <c r="BV530" s="226"/>
      <c r="BW530" s="222" t="str">
        <f t="shared" si="107"/>
        <v/>
      </c>
      <c r="BX530" s="223" t="str">
        <f t="shared" si="108"/>
        <v/>
      </c>
      <c r="BY530" s="215"/>
      <c r="BZ530" s="227"/>
      <c r="CA530" s="227"/>
      <c r="CB530" s="228"/>
      <c r="CC530" s="229"/>
      <c r="CD530" s="230" t="str">
        <f t="shared" si="109"/>
        <v/>
      </c>
      <c r="CE530" s="231" t="str">
        <f t="shared" si="110"/>
        <v/>
      </c>
      <c r="CF530" s="232" t="str">
        <f t="shared" si="111"/>
        <v/>
      </c>
      <c r="CG530" s="233" t="str">
        <f t="shared" si="112"/>
        <v/>
      </c>
      <c r="CH530" s="207" t="str">
        <f>IF(OR(G530="",CC530= ""), "", IF(ISERROR(SMALL((CJ530,CN530,CV530), 1)-CC530), "",  SMALL((CJ530,CN530,CV530), 1)-CC530))</f>
        <v/>
      </c>
      <c r="CI530" s="234"/>
      <c r="CJ530" s="235"/>
      <c r="CK530" s="236"/>
      <c r="CL530" s="222" t="str">
        <f t="shared" si="113"/>
        <v/>
      </c>
      <c r="CM530" s="237" t="str">
        <f>IF(OR(G530="", CJ530="",CK530=""), "", IF(ISERROR(SMALL((CN530,CV530), 1)-CK530), "",  SMALL((CN530,CV530), 1)-CK530))</f>
        <v/>
      </c>
      <c r="CN530" s="235"/>
      <c r="CO530" s="236"/>
      <c r="CP530" s="224" t="str">
        <f t="shared" si="114"/>
        <v/>
      </c>
      <c r="CQ530" s="235"/>
      <c r="CR530" s="236"/>
      <c r="CS530" s="222" t="str">
        <f t="shared" si="115"/>
        <v/>
      </c>
      <c r="CT530" s="237" t="str">
        <f t="shared" si="116"/>
        <v/>
      </c>
      <c r="CU530" s="238"/>
      <c r="CV530" s="239"/>
      <c r="CW530" s="240"/>
    </row>
    <row r="531" spans="2:101" ht="16.5" customHeight="1">
      <c r="B531" s="122"/>
      <c r="E531" s="122"/>
      <c r="F531" s="194"/>
      <c r="G531" s="195"/>
      <c r="H531" s="195"/>
      <c r="I531" s="195"/>
      <c r="J531" s="196"/>
      <c r="K531" s="197"/>
      <c r="L531" s="198"/>
      <c r="M531" s="199"/>
      <c r="N531" s="200"/>
      <c r="O531" s="201"/>
      <c r="P531" s="201"/>
      <c r="Q531" s="201"/>
      <c r="R531" s="201"/>
      <c r="S531" s="201"/>
      <c r="T531" s="201"/>
      <c r="U531" s="201"/>
      <c r="V531" s="201"/>
      <c r="W531" s="201"/>
      <c r="X531" s="202"/>
      <c r="Y531" s="203"/>
      <c r="Z531" s="204"/>
      <c r="AA531" s="205"/>
      <c r="AB531" s="206"/>
      <c r="AC531" s="206"/>
      <c r="AD531" s="194"/>
      <c r="AE531" s="201"/>
      <c r="AF531" s="207"/>
      <c r="AG531" s="208"/>
      <c r="AH531" s="209"/>
      <c r="AI531" s="210"/>
      <c r="AJ531" s="197"/>
      <c r="AK531" s="201"/>
      <c r="AL531" s="196"/>
      <c r="AM531" s="201"/>
      <c r="AN531" s="201"/>
      <c r="AO531" s="201"/>
      <c r="AP531" s="211"/>
      <c r="AQ531" s="212"/>
      <c r="AR531" s="201"/>
      <c r="AS531" s="201"/>
      <c r="AT531" s="201"/>
      <c r="AU531" s="201"/>
      <c r="AV531" s="202"/>
      <c r="AW531" s="194"/>
      <c r="AX531" s="201"/>
      <c r="AY531" s="213"/>
      <c r="AZ531" s="214"/>
      <c r="BA531" s="215"/>
      <c r="BB531" s="216"/>
      <c r="BC531" s="217" t="str">
        <f t="shared" si="104"/>
        <v/>
      </c>
      <c r="BD531" s="218"/>
      <c r="BE531" s="219"/>
      <c r="BF531" s="220"/>
      <c r="BG531" s="219"/>
      <c r="BH531" s="219"/>
      <c r="BI531" s="220"/>
      <c r="BJ531" s="218"/>
      <c r="BK531" s="219"/>
      <c r="BL531" s="197"/>
      <c r="BM531" s="215"/>
      <c r="BN531" s="221"/>
      <c r="BO531" s="222" t="str">
        <f t="shared" si="105"/>
        <v/>
      </c>
      <c r="BP531" s="217" t="str">
        <f t="shared" si="106"/>
        <v/>
      </c>
      <c r="BQ531" s="215"/>
      <c r="BR531" s="224"/>
      <c r="BS531" s="225"/>
      <c r="BT531" s="223"/>
      <c r="BU531" s="215"/>
      <c r="BV531" s="226"/>
      <c r="BW531" s="222" t="str">
        <f t="shared" si="107"/>
        <v/>
      </c>
      <c r="BX531" s="223" t="str">
        <f t="shared" si="108"/>
        <v/>
      </c>
      <c r="BY531" s="215"/>
      <c r="BZ531" s="227"/>
      <c r="CA531" s="227"/>
      <c r="CB531" s="228"/>
      <c r="CC531" s="229"/>
      <c r="CD531" s="230" t="str">
        <f t="shared" si="109"/>
        <v/>
      </c>
      <c r="CE531" s="231" t="str">
        <f t="shared" si="110"/>
        <v/>
      </c>
      <c r="CF531" s="232" t="str">
        <f t="shared" si="111"/>
        <v/>
      </c>
      <c r="CG531" s="233" t="str">
        <f t="shared" si="112"/>
        <v/>
      </c>
      <c r="CH531" s="207" t="str">
        <f>IF(OR(G531="",CC531= ""), "", IF(ISERROR(SMALL((CJ531,CN531,CV531), 1)-CC531), "",  SMALL((CJ531,CN531,CV531), 1)-CC531))</f>
        <v/>
      </c>
      <c r="CI531" s="234"/>
      <c r="CJ531" s="235"/>
      <c r="CK531" s="236"/>
      <c r="CL531" s="222" t="str">
        <f t="shared" si="113"/>
        <v/>
      </c>
      <c r="CM531" s="237" t="str">
        <f>IF(OR(G531="", CJ531="",CK531=""), "", IF(ISERROR(SMALL((CN531,CV531), 1)-CK531), "",  SMALL((CN531,CV531), 1)-CK531))</f>
        <v/>
      </c>
      <c r="CN531" s="235"/>
      <c r="CO531" s="236"/>
      <c r="CP531" s="224" t="str">
        <f t="shared" si="114"/>
        <v/>
      </c>
      <c r="CQ531" s="235"/>
      <c r="CR531" s="236"/>
      <c r="CS531" s="222" t="str">
        <f t="shared" si="115"/>
        <v/>
      </c>
      <c r="CT531" s="237" t="str">
        <f t="shared" si="116"/>
        <v/>
      </c>
      <c r="CU531" s="238"/>
      <c r="CV531" s="239"/>
      <c r="CW531" s="240"/>
    </row>
    <row r="532" spans="2:101" ht="16.5" customHeight="1">
      <c r="B532" s="122"/>
      <c r="E532" s="122"/>
      <c r="F532" s="194"/>
      <c r="G532" s="195"/>
      <c r="H532" s="195"/>
      <c r="I532" s="195"/>
      <c r="J532" s="196"/>
      <c r="K532" s="197"/>
      <c r="L532" s="198"/>
      <c r="M532" s="199"/>
      <c r="N532" s="200"/>
      <c r="O532" s="201"/>
      <c r="P532" s="201"/>
      <c r="Q532" s="201"/>
      <c r="R532" s="201"/>
      <c r="S532" s="201"/>
      <c r="T532" s="201"/>
      <c r="U532" s="201"/>
      <c r="V532" s="201"/>
      <c r="W532" s="201"/>
      <c r="X532" s="202"/>
      <c r="Y532" s="203"/>
      <c r="Z532" s="204"/>
      <c r="AA532" s="205"/>
      <c r="AB532" s="206"/>
      <c r="AC532" s="206"/>
      <c r="AD532" s="194"/>
      <c r="AE532" s="201"/>
      <c r="AF532" s="207"/>
      <c r="AG532" s="208"/>
      <c r="AH532" s="209"/>
      <c r="AI532" s="210"/>
      <c r="AJ532" s="197"/>
      <c r="AK532" s="201"/>
      <c r="AL532" s="196"/>
      <c r="AM532" s="201"/>
      <c r="AN532" s="201"/>
      <c r="AO532" s="201"/>
      <c r="AP532" s="211"/>
      <c r="AQ532" s="212"/>
      <c r="AR532" s="201"/>
      <c r="AS532" s="201"/>
      <c r="AT532" s="201"/>
      <c r="AU532" s="201"/>
      <c r="AV532" s="202"/>
      <c r="AW532" s="194"/>
      <c r="AX532" s="201"/>
      <c r="AY532" s="213"/>
      <c r="AZ532" s="214"/>
      <c r="BA532" s="215"/>
      <c r="BB532" s="216"/>
      <c r="BC532" s="217" t="str">
        <f t="shared" si="104"/>
        <v/>
      </c>
      <c r="BD532" s="218"/>
      <c r="BE532" s="219"/>
      <c r="BF532" s="220"/>
      <c r="BG532" s="219"/>
      <c r="BH532" s="219"/>
      <c r="BI532" s="220"/>
      <c r="BJ532" s="218"/>
      <c r="BK532" s="219"/>
      <c r="BL532" s="197"/>
      <c r="BM532" s="215"/>
      <c r="BN532" s="221"/>
      <c r="BO532" s="222" t="str">
        <f t="shared" si="105"/>
        <v/>
      </c>
      <c r="BP532" s="217" t="str">
        <f t="shared" si="106"/>
        <v/>
      </c>
      <c r="BQ532" s="215"/>
      <c r="BR532" s="224"/>
      <c r="BS532" s="225"/>
      <c r="BT532" s="223"/>
      <c r="BU532" s="215"/>
      <c r="BV532" s="226"/>
      <c r="BW532" s="222" t="str">
        <f t="shared" si="107"/>
        <v/>
      </c>
      <c r="BX532" s="223" t="str">
        <f t="shared" si="108"/>
        <v/>
      </c>
      <c r="BY532" s="215"/>
      <c r="BZ532" s="227"/>
      <c r="CA532" s="227"/>
      <c r="CB532" s="228"/>
      <c r="CC532" s="229"/>
      <c r="CD532" s="230" t="str">
        <f t="shared" si="109"/>
        <v/>
      </c>
      <c r="CE532" s="231" t="str">
        <f t="shared" si="110"/>
        <v/>
      </c>
      <c r="CF532" s="232" t="str">
        <f t="shared" si="111"/>
        <v/>
      </c>
      <c r="CG532" s="233" t="str">
        <f t="shared" si="112"/>
        <v/>
      </c>
      <c r="CH532" s="207" t="str">
        <f>IF(OR(G532="",CC532= ""), "", IF(ISERROR(SMALL((CJ532,CN532,CV532), 1)-CC532), "",  SMALL((CJ532,CN532,CV532), 1)-CC532))</f>
        <v/>
      </c>
      <c r="CI532" s="234"/>
      <c r="CJ532" s="235"/>
      <c r="CK532" s="236"/>
      <c r="CL532" s="222" t="str">
        <f t="shared" si="113"/>
        <v/>
      </c>
      <c r="CM532" s="237" t="str">
        <f>IF(OR(G532="", CJ532="",CK532=""), "", IF(ISERROR(SMALL((CN532,CV532), 1)-CK532), "",  SMALL((CN532,CV532), 1)-CK532))</f>
        <v/>
      </c>
      <c r="CN532" s="235"/>
      <c r="CO532" s="236"/>
      <c r="CP532" s="224" t="str">
        <f t="shared" si="114"/>
        <v/>
      </c>
      <c r="CQ532" s="235"/>
      <c r="CR532" s="236"/>
      <c r="CS532" s="222" t="str">
        <f t="shared" si="115"/>
        <v/>
      </c>
      <c r="CT532" s="237" t="str">
        <f t="shared" si="116"/>
        <v/>
      </c>
      <c r="CU532" s="238"/>
      <c r="CV532" s="239"/>
      <c r="CW532" s="240"/>
    </row>
    <row r="533" spans="2:101" ht="16.5" customHeight="1">
      <c r="B533" s="122"/>
      <c r="E533" s="122"/>
      <c r="F533" s="194"/>
      <c r="G533" s="195"/>
      <c r="H533" s="195"/>
      <c r="I533" s="195"/>
      <c r="J533" s="196"/>
      <c r="K533" s="197"/>
      <c r="L533" s="198"/>
      <c r="M533" s="199"/>
      <c r="N533" s="200"/>
      <c r="O533" s="201"/>
      <c r="P533" s="201"/>
      <c r="Q533" s="201"/>
      <c r="R533" s="201"/>
      <c r="S533" s="201"/>
      <c r="T533" s="201"/>
      <c r="U533" s="201"/>
      <c r="V533" s="201"/>
      <c r="W533" s="201"/>
      <c r="X533" s="202"/>
      <c r="Y533" s="203"/>
      <c r="Z533" s="204"/>
      <c r="AA533" s="205"/>
      <c r="AB533" s="206"/>
      <c r="AC533" s="206"/>
      <c r="AD533" s="194"/>
      <c r="AE533" s="201"/>
      <c r="AF533" s="207"/>
      <c r="AG533" s="208"/>
      <c r="AH533" s="209"/>
      <c r="AI533" s="210"/>
      <c r="AJ533" s="197"/>
      <c r="AK533" s="201"/>
      <c r="AL533" s="196"/>
      <c r="AM533" s="201"/>
      <c r="AN533" s="201"/>
      <c r="AO533" s="201"/>
      <c r="AP533" s="211"/>
      <c r="AQ533" s="212"/>
      <c r="AR533" s="201"/>
      <c r="AS533" s="201"/>
      <c r="AT533" s="201"/>
      <c r="AU533" s="201"/>
      <c r="AV533" s="202"/>
      <c r="AW533" s="194"/>
      <c r="AX533" s="201"/>
      <c r="AY533" s="213"/>
      <c r="AZ533" s="214"/>
      <c r="BA533" s="215"/>
      <c r="BB533" s="216"/>
      <c r="BC533" s="217" t="str">
        <f t="shared" si="104"/>
        <v/>
      </c>
      <c r="BD533" s="218"/>
      <c r="BE533" s="219"/>
      <c r="BF533" s="220"/>
      <c r="BG533" s="219"/>
      <c r="BH533" s="219"/>
      <c r="BI533" s="220"/>
      <c r="BJ533" s="218"/>
      <c r="BK533" s="219"/>
      <c r="BL533" s="197"/>
      <c r="BM533" s="215"/>
      <c r="BN533" s="221"/>
      <c r="BO533" s="222" t="str">
        <f t="shared" si="105"/>
        <v/>
      </c>
      <c r="BP533" s="217" t="str">
        <f t="shared" si="106"/>
        <v/>
      </c>
      <c r="BQ533" s="215"/>
      <c r="BR533" s="224"/>
      <c r="BS533" s="225"/>
      <c r="BT533" s="223"/>
      <c r="BU533" s="215"/>
      <c r="BV533" s="226"/>
      <c r="BW533" s="222" t="str">
        <f t="shared" si="107"/>
        <v/>
      </c>
      <c r="BX533" s="223" t="str">
        <f t="shared" si="108"/>
        <v/>
      </c>
      <c r="BY533" s="215"/>
      <c r="BZ533" s="227"/>
      <c r="CA533" s="227"/>
      <c r="CB533" s="228"/>
      <c r="CC533" s="229"/>
      <c r="CD533" s="230" t="str">
        <f t="shared" si="109"/>
        <v/>
      </c>
      <c r="CE533" s="231" t="str">
        <f t="shared" si="110"/>
        <v/>
      </c>
      <c r="CF533" s="232" t="str">
        <f t="shared" si="111"/>
        <v/>
      </c>
      <c r="CG533" s="233" t="str">
        <f t="shared" si="112"/>
        <v/>
      </c>
      <c r="CH533" s="207" t="str">
        <f>IF(OR(G533="",CC533= ""), "", IF(ISERROR(SMALL((CJ533,CN533,CV533), 1)-CC533), "",  SMALL((CJ533,CN533,CV533), 1)-CC533))</f>
        <v/>
      </c>
      <c r="CI533" s="234"/>
      <c r="CJ533" s="235"/>
      <c r="CK533" s="236"/>
      <c r="CL533" s="222" t="str">
        <f t="shared" si="113"/>
        <v/>
      </c>
      <c r="CM533" s="237" t="str">
        <f>IF(OR(G533="", CJ533="",CK533=""), "", IF(ISERROR(SMALL((CN533,CV533), 1)-CK533), "",  SMALL((CN533,CV533), 1)-CK533))</f>
        <v/>
      </c>
      <c r="CN533" s="235"/>
      <c r="CO533" s="236"/>
      <c r="CP533" s="224" t="str">
        <f t="shared" si="114"/>
        <v/>
      </c>
      <c r="CQ533" s="235"/>
      <c r="CR533" s="236"/>
      <c r="CS533" s="222" t="str">
        <f t="shared" si="115"/>
        <v/>
      </c>
      <c r="CT533" s="237" t="str">
        <f t="shared" si="116"/>
        <v/>
      </c>
      <c r="CU533" s="238"/>
      <c r="CV533" s="239"/>
      <c r="CW533" s="240"/>
    </row>
    <row r="534" spans="2:101" ht="16.5" customHeight="1">
      <c r="B534" s="122"/>
      <c r="E534" s="122"/>
      <c r="F534" s="194"/>
      <c r="G534" s="195"/>
      <c r="H534" s="195"/>
      <c r="I534" s="195"/>
      <c r="J534" s="196"/>
      <c r="K534" s="197"/>
      <c r="L534" s="198"/>
      <c r="M534" s="199"/>
      <c r="N534" s="200"/>
      <c r="O534" s="201"/>
      <c r="P534" s="201"/>
      <c r="Q534" s="201"/>
      <c r="R534" s="201"/>
      <c r="S534" s="201"/>
      <c r="T534" s="201"/>
      <c r="U534" s="201"/>
      <c r="V534" s="201"/>
      <c r="W534" s="201"/>
      <c r="X534" s="202"/>
      <c r="Y534" s="203"/>
      <c r="Z534" s="204"/>
      <c r="AA534" s="205"/>
      <c r="AB534" s="206"/>
      <c r="AC534" s="206"/>
      <c r="AD534" s="194"/>
      <c r="AE534" s="201"/>
      <c r="AF534" s="207"/>
      <c r="AG534" s="208"/>
      <c r="AH534" s="209"/>
      <c r="AI534" s="210"/>
      <c r="AJ534" s="197"/>
      <c r="AK534" s="201"/>
      <c r="AL534" s="196"/>
      <c r="AM534" s="201"/>
      <c r="AN534" s="201"/>
      <c r="AO534" s="201"/>
      <c r="AP534" s="211"/>
      <c r="AQ534" s="212"/>
      <c r="AR534" s="201"/>
      <c r="AS534" s="201"/>
      <c r="AT534" s="201"/>
      <c r="AU534" s="201"/>
      <c r="AV534" s="202"/>
      <c r="AW534" s="194"/>
      <c r="AX534" s="201"/>
      <c r="AY534" s="213"/>
      <c r="AZ534" s="214"/>
      <c r="BA534" s="215"/>
      <c r="BB534" s="216"/>
      <c r="BC534" s="217" t="str">
        <f t="shared" si="104"/>
        <v/>
      </c>
      <c r="BD534" s="218"/>
      <c r="BE534" s="219"/>
      <c r="BF534" s="220"/>
      <c r="BG534" s="219"/>
      <c r="BH534" s="219"/>
      <c r="BI534" s="220"/>
      <c r="BJ534" s="218"/>
      <c r="BK534" s="219"/>
      <c r="BL534" s="197"/>
      <c r="BM534" s="215"/>
      <c r="BN534" s="221"/>
      <c r="BO534" s="222" t="str">
        <f t="shared" si="105"/>
        <v/>
      </c>
      <c r="BP534" s="217" t="str">
        <f t="shared" si="106"/>
        <v/>
      </c>
      <c r="BQ534" s="215"/>
      <c r="BR534" s="224"/>
      <c r="BS534" s="225"/>
      <c r="BT534" s="223"/>
      <c r="BU534" s="215"/>
      <c r="BV534" s="226"/>
      <c r="BW534" s="222" t="str">
        <f t="shared" si="107"/>
        <v/>
      </c>
      <c r="BX534" s="223" t="str">
        <f t="shared" si="108"/>
        <v/>
      </c>
      <c r="BY534" s="215"/>
      <c r="BZ534" s="227"/>
      <c r="CA534" s="227"/>
      <c r="CB534" s="228"/>
      <c r="CC534" s="229"/>
      <c r="CD534" s="230" t="str">
        <f t="shared" si="109"/>
        <v/>
      </c>
      <c r="CE534" s="231" t="str">
        <f t="shared" si="110"/>
        <v/>
      </c>
      <c r="CF534" s="232" t="str">
        <f t="shared" si="111"/>
        <v/>
      </c>
      <c r="CG534" s="233" t="str">
        <f t="shared" si="112"/>
        <v/>
      </c>
      <c r="CH534" s="207" t="str">
        <f>IF(OR(G534="",CC534= ""), "", IF(ISERROR(SMALL((CJ534,CN534,CV534), 1)-CC534), "",  SMALL((CJ534,CN534,CV534), 1)-CC534))</f>
        <v/>
      </c>
      <c r="CI534" s="234"/>
      <c r="CJ534" s="235"/>
      <c r="CK534" s="236"/>
      <c r="CL534" s="222" t="str">
        <f t="shared" si="113"/>
        <v/>
      </c>
      <c r="CM534" s="237" t="str">
        <f>IF(OR(G534="", CJ534="",CK534=""), "", IF(ISERROR(SMALL((CN534,CV534), 1)-CK534), "",  SMALL((CN534,CV534), 1)-CK534))</f>
        <v/>
      </c>
      <c r="CN534" s="235"/>
      <c r="CO534" s="236"/>
      <c r="CP534" s="224" t="str">
        <f t="shared" si="114"/>
        <v/>
      </c>
      <c r="CQ534" s="235"/>
      <c r="CR534" s="236"/>
      <c r="CS534" s="222" t="str">
        <f t="shared" si="115"/>
        <v/>
      </c>
      <c r="CT534" s="237" t="str">
        <f t="shared" si="116"/>
        <v/>
      </c>
      <c r="CU534" s="238"/>
      <c r="CV534" s="239"/>
      <c r="CW534" s="240"/>
    </row>
    <row r="535" spans="2:101" ht="16.5" customHeight="1">
      <c r="B535" s="122"/>
      <c r="E535" s="122"/>
      <c r="F535" s="194"/>
      <c r="G535" s="195"/>
      <c r="H535" s="195"/>
      <c r="I535" s="195"/>
      <c r="J535" s="196"/>
      <c r="K535" s="197"/>
      <c r="L535" s="198"/>
      <c r="M535" s="199"/>
      <c r="N535" s="200"/>
      <c r="O535" s="201"/>
      <c r="P535" s="201"/>
      <c r="Q535" s="201"/>
      <c r="R535" s="201"/>
      <c r="S535" s="201"/>
      <c r="T535" s="201"/>
      <c r="U535" s="201"/>
      <c r="V535" s="201"/>
      <c r="W535" s="201"/>
      <c r="X535" s="202"/>
      <c r="Y535" s="203"/>
      <c r="Z535" s="204"/>
      <c r="AA535" s="205"/>
      <c r="AB535" s="206"/>
      <c r="AC535" s="206"/>
      <c r="AD535" s="194"/>
      <c r="AE535" s="201"/>
      <c r="AF535" s="207"/>
      <c r="AG535" s="208"/>
      <c r="AH535" s="209"/>
      <c r="AI535" s="210"/>
      <c r="AJ535" s="197"/>
      <c r="AK535" s="201"/>
      <c r="AL535" s="196"/>
      <c r="AM535" s="201"/>
      <c r="AN535" s="201"/>
      <c r="AO535" s="201"/>
      <c r="AP535" s="211"/>
      <c r="AQ535" s="212"/>
      <c r="AR535" s="201"/>
      <c r="AS535" s="201"/>
      <c r="AT535" s="201"/>
      <c r="AU535" s="201"/>
      <c r="AV535" s="202"/>
      <c r="AW535" s="194"/>
      <c r="AX535" s="201"/>
      <c r="AY535" s="213"/>
      <c r="AZ535" s="214"/>
      <c r="BA535" s="215"/>
      <c r="BB535" s="216"/>
      <c r="BC535" s="217" t="str">
        <f t="shared" si="104"/>
        <v/>
      </c>
      <c r="BD535" s="218"/>
      <c r="BE535" s="219"/>
      <c r="BF535" s="220"/>
      <c r="BG535" s="219"/>
      <c r="BH535" s="219"/>
      <c r="BI535" s="220"/>
      <c r="BJ535" s="218"/>
      <c r="BK535" s="219"/>
      <c r="BL535" s="197"/>
      <c r="BM535" s="215"/>
      <c r="BN535" s="221"/>
      <c r="BO535" s="222" t="str">
        <f t="shared" si="105"/>
        <v/>
      </c>
      <c r="BP535" s="217" t="str">
        <f t="shared" si="106"/>
        <v/>
      </c>
      <c r="BQ535" s="215"/>
      <c r="BR535" s="224"/>
      <c r="BS535" s="225"/>
      <c r="BT535" s="223"/>
      <c r="BU535" s="215"/>
      <c r="BV535" s="226"/>
      <c r="BW535" s="222" t="str">
        <f t="shared" si="107"/>
        <v/>
      </c>
      <c r="BX535" s="223" t="str">
        <f t="shared" si="108"/>
        <v/>
      </c>
      <c r="BY535" s="215"/>
      <c r="BZ535" s="227"/>
      <c r="CA535" s="227"/>
      <c r="CB535" s="228"/>
      <c r="CC535" s="229"/>
      <c r="CD535" s="230" t="str">
        <f t="shared" si="109"/>
        <v/>
      </c>
      <c r="CE535" s="231" t="str">
        <f t="shared" si="110"/>
        <v/>
      </c>
      <c r="CF535" s="232" t="str">
        <f t="shared" si="111"/>
        <v/>
      </c>
      <c r="CG535" s="233" t="str">
        <f t="shared" si="112"/>
        <v/>
      </c>
      <c r="CH535" s="207" t="str">
        <f>IF(OR(G535="",CC535= ""), "", IF(ISERROR(SMALL((CJ535,CN535,CV535), 1)-CC535), "",  SMALL((CJ535,CN535,CV535), 1)-CC535))</f>
        <v/>
      </c>
      <c r="CI535" s="234"/>
      <c r="CJ535" s="235"/>
      <c r="CK535" s="236"/>
      <c r="CL535" s="222" t="str">
        <f t="shared" si="113"/>
        <v/>
      </c>
      <c r="CM535" s="237" t="str">
        <f>IF(OR(G535="", CJ535="",CK535=""), "", IF(ISERROR(SMALL((CN535,CV535), 1)-CK535), "",  SMALL((CN535,CV535), 1)-CK535))</f>
        <v/>
      </c>
      <c r="CN535" s="235"/>
      <c r="CO535" s="236"/>
      <c r="CP535" s="224" t="str">
        <f t="shared" si="114"/>
        <v/>
      </c>
      <c r="CQ535" s="235"/>
      <c r="CR535" s="236"/>
      <c r="CS535" s="222" t="str">
        <f t="shared" si="115"/>
        <v/>
      </c>
      <c r="CT535" s="237" t="str">
        <f t="shared" si="116"/>
        <v/>
      </c>
      <c r="CU535" s="238"/>
      <c r="CV535" s="239"/>
      <c r="CW535" s="240"/>
    </row>
    <row r="536" spans="2:101" ht="16.5" customHeight="1">
      <c r="B536" s="122"/>
      <c r="E536" s="122"/>
      <c r="F536" s="194"/>
      <c r="G536" s="195"/>
      <c r="H536" s="195"/>
      <c r="I536" s="195"/>
      <c r="J536" s="196"/>
      <c r="K536" s="197"/>
      <c r="L536" s="198"/>
      <c r="M536" s="199"/>
      <c r="N536" s="200"/>
      <c r="O536" s="201"/>
      <c r="P536" s="201"/>
      <c r="Q536" s="201"/>
      <c r="R536" s="201"/>
      <c r="S536" s="201"/>
      <c r="T536" s="201"/>
      <c r="U536" s="201"/>
      <c r="V536" s="201"/>
      <c r="W536" s="201"/>
      <c r="X536" s="202"/>
      <c r="Y536" s="203"/>
      <c r="Z536" s="204"/>
      <c r="AA536" s="205"/>
      <c r="AB536" s="206"/>
      <c r="AC536" s="206"/>
      <c r="AD536" s="194"/>
      <c r="AE536" s="201"/>
      <c r="AF536" s="207"/>
      <c r="AG536" s="208"/>
      <c r="AH536" s="209"/>
      <c r="AI536" s="210"/>
      <c r="AJ536" s="197"/>
      <c r="AK536" s="201"/>
      <c r="AL536" s="196"/>
      <c r="AM536" s="201"/>
      <c r="AN536" s="201"/>
      <c r="AO536" s="201"/>
      <c r="AP536" s="211"/>
      <c r="AQ536" s="212"/>
      <c r="AR536" s="201"/>
      <c r="AS536" s="201"/>
      <c r="AT536" s="201"/>
      <c r="AU536" s="201"/>
      <c r="AV536" s="202"/>
      <c r="AW536" s="194"/>
      <c r="AX536" s="201"/>
      <c r="AY536" s="213"/>
      <c r="AZ536" s="214"/>
      <c r="BA536" s="215"/>
      <c r="BB536" s="216"/>
      <c r="BC536" s="217" t="str">
        <f t="shared" si="104"/>
        <v/>
      </c>
      <c r="BD536" s="218"/>
      <c r="BE536" s="219"/>
      <c r="BF536" s="220"/>
      <c r="BG536" s="219"/>
      <c r="BH536" s="219"/>
      <c r="BI536" s="220"/>
      <c r="BJ536" s="218"/>
      <c r="BK536" s="219"/>
      <c r="BL536" s="197"/>
      <c r="BM536" s="215"/>
      <c r="BN536" s="221"/>
      <c r="BO536" s="222" t="str">
        <f t="shared" si="105"/>
        <v/>
      </c>
      <c r="BP536" s="217" t="str">
        <f t="shared" si="106"/>
        <v/>
      </c>
      <c r="BQ536" s="215"/>
      <c r="BR536" s="224"/>
      <c r="BS536" s="225"/>
      <c r="BT536" s="223"/>
      <c r="BU536" s="215"/>
      <c r="BV536" s="226"/>
      <c r="BW536" s="222" t="str">
        <f t="shared" si="107"/>
        <v/>
      </c>
      <c r="BX536" s="223" t="str">
        <f t="shared" si="108"/>
        <v/>
      </c>
      <c r="BY536" s="215"/>
      <c r="BZ536" s="227"/>
      <c r="CA536" s="227"/>
      <c r="CB536" s="228"/>
      <c r="CC536" s="229"/>
      <c r="CD536" s="230" t="str">
        <f t="shared" si="109"/>
        <v/>
      </c>
      <c r="CE536" s="231" t="str">
        <f t="shared" si="110"/>
        <v/>
      </c>
      <c r="CF536" s="232" t="str">
        <f t="shared" si="111"/>
        <v/>
      </c>
      <c r="CG536" s="233" t="str">
        <f t="shared" si="112"/>
        <v/>
      </c>
      <c r="CH536" s="207" t="str">
        <f>IF(OR(G536="",CC536= ""), "", IF(ISERROR(SMALL((CJ536,CN536,CV536), 1)-CC536), "",  SMALL((CJ536,CN536,CV536), 1)-CC536))</f>
        <v/>
      </c>
      <c r="CI536" s="234"/>
      <c r="CJ536" s="235"/>
      <c r="CK536" s="236"/>
      <c r="CL536" s="222" t="str">
        <f t="shared" si="113"/>
        <v/>
      </c>
      <c r="CM536" s="237" t="str">
        <f>IF(OR(G536="", CJ536="",CK536=""), "", IF(ISERROR(SMALL((CN536,CV536), 1)-CK536), "",  SMALL((CN536,CV536), 1)-CK536))</f>
        <v/>
      </c>
      <c r="CN536" s="235"/>
      <c r="CO536" s="236"/>
      <c r="CP536" s="224" t="str">
        <f t="shared" si="114"/>
        <v/>
      </c>
      <c r="CQ536" s="235"/>
      <c r="CR536" s="236"/>
      <c r="CS536" s="222" t="str">
        <f t="shared" si="115"/>
        <v/>
      </c>
      <c r="CT536" s="237" t="str">
        <f t="shared" si="116"/>
        <v/>
      </c>
      <c r="CU536" s="238"/>
      <c r="CV536" s="239"/>
      <c r="CW536" s="240"/>
    </row>
    <row r="537" spans="2:101" ht="16.5" customHeight="1">
      <c r="B537" s="122"/>
      <c r="E537" s="122"/>
      <c r="F537" s="194"/>
      <c r="G537" s="195"/>
      <c r="H537" s="195"/>
      <c r="I537" s="195"/>
      <c r="J537" s="196"/>
      <c r="K537" s="197"/>
      <c r="L537" s="198"/>
      <c r="M537" s="199"/>
      <c r="N537" s="200"/>
      <c r="O537" s="201"/>
      <c r="P537" s="201"/>
      <c r="Q537" s="201"/>
      <c r="R537" s="201"/>
      <c r="S537" s="201"/>
      <c r="T537" s="201"/>
      <c r="U537" s="201"/>
      <c r="V537" s="201"/>
      <c r="W537" s="201"/>
      <c r="X537" s="202"/>
      <c r="Y537" s="203"/>
      <c r="Z537" s="204"/>
      <c r="AA537" s="205"/>
      <c r="AB537" s="206"/>
      <c r="AC537" s="206"/>
      <c r="AD537" s="194"/>
      <c r="AE537" s="201"/>
      <c r="AF537" s="207"/>
      <c r="AG537" s="208"/>
      <c r="AH537" s="209"/>
      <c r="AI537" s="210"/>
      <c r="AJ537" s="197"/>
      <c r="AK537" s="201"/>
      <c r="AL537" s="196"/>
      <c r="AM537" s="201"/>
      <c r="AN537" s="201"/>
      <c r="AO537" s="201"/>
      <c r="AP537" s="211"/>
      <c r="AQ537" s="212"/>
      <c r="AR537" s="201"/>
      <c r="AS537" s="201"/>
      <c r="AT537" s="201"/>
      <c r="AU537" s="201"/>
      <c r="AV537" s="202"/>
      <c r="AW537" s="194"/>
      <c r="AX537" s="201"/>
      <c r="AY537" s="213"/>
      <c r="AZ537" s="214"/>
      <c r="BA537" s="215"/>
      <c r="BB537" s="216"/>
      <c r="BC537" s="217" t="str">
        <f t="shared" si="104"/>
        <v/>
      </c>
      <c r="BD537" s="218"/>
      <c r="BE537" s="219"/>
      <c r="BF537" s="220"/>
      <c r="BG537" s="219"/>
      <c r="BH537" s="219"/>
      <c r="BI537" s="220"/>
      <c r="BJ537" s="218"/>
      <c r="BK537" s="219"/>
      <c r="BL537" s="197"/>
      <c r="BM537" s="215"/>
      <c r="BN537" s="221"/>
      <c r="BO537" s="222" t="str">
        <f t="shared" si="105"/>
        <v/>
      </c>
      <c r="BP537" s="217" t="str">
        <f t="shared" si="106"/>
        <v/>
      </c>
      <c r="BQ537" s="215"/>
      <c r="BR537" s="224"/>
      <c r="BS537" s="225"/>
      <c r="BT537" s="223"/>
      <c r="BU537" s="215"/>
      <c r="BV537" s="226"/>
      <c r="BW537" s="222" t="str">
        <f t="shared" si="107"/>
        <v/>
      </c>
      <c r="BX537" s="223" t="str">
        <f t="shared" si="108"/>
        <v/>
      </c>
      <c r="BY537" s="215"/>
      <c r="BZ537" s="227"/>
      <c r="CA537" s="227"/>
      <c r="CB537" s="228"/>
      <c r="CC537" s="229"/>
      <c r="CD537" s="230" t="str">
        <f t="shared" si="109"/>
        <v/>
      </c>
      <c r="CE537" s="231" t="str">
        <f t="shared" si="110"/>
        <v/>
      </c>
      <c r="CF537" s="232" t="str">
        <f t="shared" si="111"/>
        <v/>
      </c>
      <c r="CG537" s="233" t="str">
        <f t="shared" si="112"/>
        <v/>
      </c>
      <c r="CH537" s="207" t="str">
        <f>IF(OR(G537="",CC537= ""), "", IF(ISERROR(SMALL((CJ537,CN537,CV537), 1)-CC537), "",  SMALL((CJ537,CN537,CV537), 1)-CC537))</f>
        <v/>
      </c>
      <c r="CI537" s="234"/>
      <c r="CJ537" s="235"/>
      <c r="CK537" s="236"/>
      <c r="CL537" s="222" t="str">
        <f t="shared" si="113"/>
        <v/>
      </c>
      <c r="CM537" s="237" t="str">
        <f>IF(OR(G537="", CJ537="",CK537=""), "", IF(ISERROR(SMALL((CN537,CV537), 1)-CK537), "",  SMALL((CN537,CV537), 1)-CK537))</f>
        <v/>
      </c>
      <c r="CN537" s="235"/>
      <c r="CO537" s="236"/>
      <c r="CP537" s="224" t="str">
        <f t="shared" si="114"/>
        <v/>
      </c>
      <c r="CQ537" s="235"/>
      <c r="CR537" s="236"/>
      <c r="CS537" s="222" t="str">
        <f t="shared" si="115"/>
        <v/>
      </c>
      <c r="CT537" s="237" t="str">
        <f t="shared" si="116"/>
        <v/>
      </c>
      <c r="CU537" s="238"/>
      <c r="CV537" s="239"/>
      <c r="CW537" s="240"/>
    </row>
    <row r="538" spans="2:101" ht="16.5" customHeight="1">
      <c r="B538" s="122"/>
      <c r="E538" s="122"/>
      <c r="F538" s="194"/>
      <c r="G538" s="195"/>
      <c r="H538" s="195"/>
      <c r="I538" s="195"/>
      <c r="J538" s="196"/>
      <c r="K538" s="197"/>
      <c r="L538" s="198"/>
      <c r="M538" s="199"/>
      <c r="N538" s="200"/>
      <c r="O538" s="201"/>
      <c r="P538" s="201"/>
      <c r="Q538" s="201"/>
      <c r="R538" s="201"/>
      <c r="S538" s="201"/>
      <c r="T538" s="201"/>
      <c r="U538" s="201"/>
      <c r="V538" s="201"/>
      <c r="W538" s="201"/>
      <c r="X538" s="202"/>
      <c r="Y538" s="203"/>
      <c r="Z538" s="204"/>
      <c r="AA538" s="205"/>
      <c r="AB538" s="206"/>
      <c r="AC538" s="206"/>
      <c r="AD538" s="194"/>
      <c r="AE538" s="201"/>
      <c r="AF538" s="207"/>
      <c r="AG538" s="208"/>
      <c r="AH538" s="209"/>
      <c r="AI538" s="210"/>
      <c r="AJ538" s="197"/>
      <c r="AK538" s="201"/>
      <c r="AL538" s="196"/>
      <c r="AM538" s="201"/>
      <c r="AN538" s="201"/>
      <c r="AO538" s="201"/>
      <c r="AP538" s="211"/>
      <c r="AQ538" s="212"/>
      <c r="AR538" s="201"/>
      <c r="AS538" s="201"/>
      <c r="AT538" s="201"/>
      <c r="AU538" s="201"/>
      <c r="AV538" s="202"/>
      <c r="AW538" s="194"/>
      <c r="AX538" s="201"/>
      <c r="AY538" s="213"/>
      <c r="AZ538" s="214"/>
      <c r="BA538" s="215"/>
      <c r="BB538" s="216"/>
      <c r="BC538" s="217" t="str">
        <f t="shared" si="104"/>
        <v/>
      </c>
      <c r="BD538" s="218"/>
      <c r="BE538" s="219"/>
      <c r="BF538" s="220"/>
      <c r="BG538" s="219"/>
      <c r="BH538" s="219"/>
      <c r="BI538" s="220"/>
      <c r="BJ538" s="218"/>
      <c r="BK538" s="219"/>
      <c r="BL538" s="197"/>
      <c r="BM538" s="215"/>
      <c r="BN538" s="221"/>
      <c r="BO538" s="222" t="str">
        <f t="shared" si="105"/>
        <v/>
      </c>
      <c r="BP538" s="217" t="str">
        <f t="shared" si="106"/>
        <v/>
      </c>
      <c r="BQ538" s="215"/>
      <c r="BR538" s="224"/>
      <c r="BS538" s="225"/>
      <c r="BT538" s="223"/>
      <c r="BU538" s="215"/>
      <c r="BV538" s="226"/>
      <c r="BW538" s="222" t="str">
        <f t="shared" si="107"/>
        <v/>
      </c>
      <c r="BX538" s="223" t="str">
        <f t="shared" si="108"/>
        <v/>
      </c>
      <c r="BY538" s="215"/>
      <c r="BZ538" s="227"/>
      <c r="CA538" s="227"/>
      <c r="CB538" s="228"/>
      <c r="CC538" s="229"/>
      <c r="CD538" s="230" t="str">
        <f t="shared" si="109"/>
        <v/>
      </c>
      <c r="CE538" s="231" t="str">
        <f t="shared" si="110"/>
        <v/>
      </c>
      <c r="CF538" s="232" t="str">
        <f t="shared" si="111"/>
        <v/>
      </c>
      <c r="CG538" s="233" t="str">
        <f t="shared" si="112"/>
        <v/>
      </c>
      <c r="CH538" s="207" t="str">
        <f>IF(OR(G538="",CC538= ""), "", IF(ISERROR(SMALL((CJ538,CN538,CV538), 1)-CC538), "",  SMALL((CJ538,CN538,CV538), 1)-CC538))</f>
        <v/>
      </c>
      <c r="CI538" s="234"/>
      <c r="CJ538" s="235"/>
      <c r="CK538" s="236"/>
      <c r="CL538" s="222" t="str">
        <f t="shared" si="113"/>
        <v/>
      </c>
      <c r="CM538" s="237" t="str">
        <f>IF(OR(G538="", CJ538="",CK538=""), "", IF(ISERROR(SMALL((CN538,CV538), 1)-CK538), "",  SMALL((CN538,CV538), 1)-CK538))</f>
        <v/>
      </c>
      <c r="CN538" s="235"/>
      <c r="CO538" s="236"/>
      <c r="CP538" s="224" t="str">
        <f t="shared" si="114"/>
        <v/>
      </c>
      <c r="CQ538" s="235"/>
      <c r="CR538" s="236"/>
      <c r="CS538" s="222" t="str">
        <f t="shared" si="115"/>
        <v/>
      </c>
      <c r="CT538" s="237" t="str">
        <f t="shared" si="116"/>
        <v/>
      </c>
      <c r="CU538" s="238"/>
      <c r="CV538" s="239"/>
      <c r="CW538" s="240"/>
    </row>
    <row r="539" spans="2:101" ht="16.5" customHeight="1">
      <c r="B539" s="122"/>
      <c r="E539" s="122"/>
      <c r="F539" s="194"/>
      <c r="G539" s="195"/>
      <c r="H539" s="195"/>
      <c r="I539" s="195"/>
      <c r="J539" s="196"/>
      <c r="K539" s="197"/>
      <c r="L539" s="198"/>
      <c r="M539" s="199"/>
      <c r="N539" s="200"/>
      <c r="O539" s="201"/>
      <c r="P539" s="201"/>
      <c r="Q539" s="201"/>
      <c r="R539" s="201"/>
      <c r="S539" s="201"/>
      <c r="T539" s="201"/>
      <c r="U539" s="201"/>
      <c r="V539" s="201"/>
      <c r="W539" s="201"/>
      <c r="X539" s="202"/>
      <c r="Y539" s="203"/>
      <c r="Z539" s="204"/>
      <c r="AA539" s="205"/>
      <c r="AB539" s="206"/>
      <c r="AC539" s="206"/>
      <c r="AD539" s="194"/>
      <c r="AE539" s="201"/>
      <c r="AF539" s="207"/>
      <c r="AG539" s="208"/>
      <c r="AH539" s="209"/>
      <c r="AI539" s="210"/>
      <c r="AJ539" s="197"/>
      <c r="AK539" s="201"/>
      <c r="AL539" s="196"/>
      <c r="AM539" s="201"/>
      <c r="AN539" s="201"/>
      <c r="AO539" s="201"/>
      <c r="AP539" s="211"/>
      <c r="AQ539" s="212"/>
      <c r="AR539" s="201"/>
      <c r="AS539" s="201"/>
      <c r="AT539" s="201"/>
      <c r="AU539" s="201"/>
      <c r="AV539" s="202"/>
      <c r="AW539" s="194"/>
      <c r="AX539" s="201"/>
      <c r="AY539" s="213"/>
      <c r="AZ539" s="214"/>
      <c r="BA539" s="215"/>
      <c r="BB539" s="216"/>
      <c r="BC539" s="217" t="str">
        <f t="shared" si="104"/>
        <v/>
      </c>
      <c r="BD539" s="218"/>
      <c r="BE539" s="219"/>
      <c r="BF539" s="220"/>
      <c r="BG539" s="219"/>
      <c r="BH539" s="219"/>
      <c r="BI539" s="220"/>
      <c r="BJ539" s="218"/>
      <c r="BK539" s="219"/>
      <c r="BL539" s="197"/>
      <c r="BM539" s="215"/>
      <c r="BN539" s="221"/>
      <c r="BO539" s="222" t="str">
        <f t="shared" si="105"/>
        <v/>
      </c>
      <c r="BP539" s="217" t="str">
        <f t="shared" si="106"/>
        <v/>
      </c>
      <c r="BQ539" s="215"/>
      <c r="BR539" s="224"/>
      <c r="BS539" s="225"/>
      <c r="BT539" s="223"/>
      <c r="BU539" s="215"/>
      <c r="BV539" s="226"/>
      <c r="BW539" s="222" t="str">
        <f t="shared" si="107"/>
        <v/>
      </c>
      <c r="BX539" s="223" t="str">
        <f t="shared" si="108"/>
        <v/>
      </c>
      <c r="BY539" s="215"/>
      <c r="BZ539" s="227"/>
      <c r="CA539" s="227"/>
      <c r="CB539" s="228"/>
      <c r="CC539" s="229"/>
      <c r="CD539" s="230" t="str">
        <f t="shared" si="109"/>
        <v/>
      </c>
      <c r="CE539" s="231" t="str">
        <f t="shared" si="110"/>
        <v/>
      </c>
      <c r="CF539" s="232" t="str">
        <f t="shared" si="111"/>
        <v/>
      </c>
      <c r="CG539" s="233" t="str">
        <f t="shared" si="112"/>
        <v/>
      </c>
      <c r="CH539" s="207" t="str">
        <f>IF(OR(G539="",CC539= ""), "", IF(ISERROR(SMALL((CJ539,CN539,CV539), 1)-CC539), "",  SMALL((CJ539,CN539,CV539), 1)-CC539))</f>
        <v/>
      </c>
      <c r="CI539" s="234"/>
      <c r="CJ539" s="235"/>
      <c r="CK539" s="236"/>
      <c r="CL539" s="222" t="str">
        <f t="shared" si="113"/>
        <v/>
      </c>
      <c r="CM539" s="237" t="str">
        <f>IF(OR(G539="", CJ539="",CK539=""), "", IF(ISERROR(SMALL((CN539,CV539), 1)-CK539), "",  SMALL((CN539,CV539), 1)-CK539))</f>
        <v/>
      </c>
      <c r="CN539" s="235"/>
      <c r="CO539" s="236"/>
      <c r="CP539" s="224" t="str">
        <f t="shared" si="114"/>
        <v/>
      </c>
      <c r="CQ539" s="235"/>
      <c r="CR539" s="236"/>
      <c r="CS539" s="222" t="str">
        <f t="shared" si="115"/>
        <v/>
      </c>
      <c r="CT539" s="237" t="str">
        <f t="shared" si="116"/>
        <v/>
      </c>
      <c r="CU539" s="238"/>
      <c r="CV539" s="239"/>
      <c r="CW539" s="240"/>
    </row>
    <row r="540" spans="2:101" ht="16.5" customHeight="1">
      <c r="B540" s="122"/>
      <c r="E540" s="122"/>
      <c r="F540" s="194"/>
      <c r="G540" s="195"/>
      <c r="H540" s="195"/>
      <c r="I540" s="195"/>
      <c r="J540" s="196"/>
      <c r="K540" s="197"/>
      <c r="L540" s="198"/>
      <c r="M540" s="199"/>
      <c r="N540" s="200"/>
      <c r="O540" s="201"/>
      <c r="P540" s="201"/>
      <c r="Q540" s="201"/>
      <c r="R540" s="201"/>
      <c r="S540" s="201"/>
      <c r="T540" s="201"/>
      <c r="U540" s="201"/>
      <c r="V540" s="201"/>
      <c r="W540" s="201"/>
      <c r="X540" s="202"/>
      <c r="Y540" s="203"/>
      <c r="Z540" s="204"/>
      <c r="AA540" s="205"/>
      <c r="AB540" s="206"/>
      <c r="AC540" s="206"/>
      <c r="AD540" s="194"/>
      <c r="AE540" s="201"/>
      <c r="AF540" s="207"/>
      <c r="AG540" s="208"/>
      <c r="AH540" s="209"/>
      <c r="AI540" s="210"/>
      <c r="AJ540" s="197"/>
      <c r="AK540" s="201"/>
      <c r="AL540" s="196"/>
      <c r="AM540" s="201"/>
      <c r="AN540" s="201"/>
      <c r="AO540" s="201"/>
      <c r="AP540" s="211"/>
      <c r="AQ540" s="212"/>
      <c r="AR540" s="201"/>
      <c r="AS540" s="201"/>
      <c r="AT540" s="201"/>
      <c r="AU540" s="201"/>
      <c r="AV540" s="202"/>
      <c r="AW540" s="194"/>
      <c r="AX540" s="201"/>
      <c r="AY540" s="213"/>
      <c r="AZ540" s="214"/>
      <c r="BA540" s="215"/>
      <c r="BB540" s="216"/>
      <c r="BC540" s="217" t="str">
        <f t="shared" si="104"/>
        <v/>
      </c>
      <c r="BD540" s="218"/>
      <c r="BE540" s="219"/>
      <c r="BF540" s="220"/>
      <c r="BG540" s="219"/>
      <c r="BH540" s="219"/>
      <c r="BI540" s="220"/>
      <c r="BJ540" s="218"/>
      <c r="BK540" s="219"/>
      <c r="BL540" s="197"/>
      <c r="BM540" s="215"/>
      <c r="BN540" s="221"/>
      <c r="BO540" s="222" t="str">
        <f t="shared" si="105"/>
        <v/>
      </c>
      <c r="BP540" s="217" t="str">
        <f t="shared" si="106"/>
        <v/>
      </c>
      <c r="BQ540" s="215"/>
      <c r="BR540" s="224"/>
      <c r="BS540" s="225"/>
      <c r="BT540" s="223"/>
      <c r="BU540" s="215"/>
      <c r="BV540" s="226"/>
      <c r="BW540" s="222" t="str">
        <f t="shared" si="107"/>
        <v/>
      </c>
      <c r="BX540" s="223" t="str">
        <f t="shared" si="108"/>
        <v/>
      </c>
      <c r="BY540" s="215"/>
      <c r="BZ540" s="227"/>
      <c r="CA540" s="227"/>
      <c r="CB540" s="228"/>
      <c r="CC540" s="229"/>
      <c r="CD540" s="230" t="str">
        <f t="shared" si="109"/>
        <v/>
      </c>
      <c r="CE540" s="231" t="str">
        <f t="shared" si="110"/>
        <v/>
      </c>
      <c r="CF540" s="232" t="str">
        <f t="shared" si="111"/>
        <v/>
      </c>
      <c r="CG540" s="233" t="str">
        <f t="shared" si="112"/>
        <v/>
      </c>
      <c r="CH540" s="207" t="str">
        <f>IF(OR(G540="",CC540= ""), "", IF(ISERROR(SMALL((CJ540,CN540,CV540), 1)-CC540), "",  SMALL((CJ540,CN540,CV540), 1)-CC540))</f>
        <v/>
      </c>
      <c r="CI540" s="234"/>
      <c r="CJ540" s="235"/>
      <c r="CK540" s="236"/>
      <c r="CL540" s="222" t="str">
        <f t="shared" si="113"/>
        <v/>
      </c>
      <c r="CM540" s="237" t="str">
        <f>IF(OR(G540="", CJ540="",CK540=""), "", IF(ISERROR(SMALL((CN540,CV540), 1)-CK540), "",  SMALL((CN540,CV540), 1)-CK540))</f>
        <v/>
      </c>
      <c r="CN540" s="235"/>
      <c r="CO540" s="236"/>
      <c r="CP540" s="224" t="str">
        <f t="shared" si="114"/>
        <v/>
      </c>
      <c r="CQ540" s="235"/>
      <c r="CR540" s="236"/>
      <c r="CS540" s="222" t="str">
        <f t="shared" si="115"/>
        <v/>
      </c>
      <c r="CT540" s="237" t="str">
        <f t="shared" si="116"/>
        <v/>
      </c>
      <c r="CU540" s="238"/>
      <c r="CV540" s="239"/>
      <c r="CW540" s="240"/>
    </row>
    <row r="541" spans="2:101" ht="16.5" customHeight="1">
      <c r="B541" s="122"/>
      <c r="E541" s="122"/>
      <c r="F541" s="194"/>
      <c r="G541" s="195"/>
      <c r="H541" s="195"/>
      <c r="I541" s="195"/>
      <c r="J541" s="196"/>
      <c r="K541" s="197"/>
      <c r="L541" s="198"/>
      <c r="M541" s="199"/>
      <c r="N541" s="200"/>
      <c r="O541" s="201"/>
      <c r="P541" s="201"/>
      <c r="Q541" s="201"/>
      <c r="R541" s="201"/>
      <c r="S541" s="201"/>
      <c r="T541" s="201"/>
      <c r="U541" s="201"/>
      <c r="V541" s="201"/>
      <c r="W541" s="201"/>
      <c r="X541" s="202"/>
      <c r="Y541" s="203"/>
      <c r="Z541" s="204"/>
      <c r="AA541" s="205"/>
      <c r="AB541" s="206"/>
      <c r="AC541" s="206"/>
      <c r="AD541" s="194"/>
      <c r="AE541" s="201"/>
      <c r="AF541" s="207"/>
      <c r="AG541" s="208"/>
      <c r="AH541" s="209"/>
      <c r="AI541" s="210"/>
      <c r="AJ541" s="197"/>
      <c r="AK541" s="201"/>
      <c r="AL541" s="196"/>
      <c r="AM541" s="201"/>
      <c r="AN541" s="201"/>
      <c r="AO541" s="201"/>
      <c r="AP541" s="211"/>
      <c r="AQ541" s="212"/>
      <c r="AR541" s="201"/>
      <c r="AS541" s="201"/>
      <c r="AT541" s="201"/>
      <c r="AU541" s="201"/>
      <c r="AV541" s="202"/>
      <c r="AW541" s="194"/>
      <c r="AX541" s="201"/>
      <c r="AY541" s="213"/>
      <c r="AZ541" s="214"/>
      <c r="BA541" s="215"/>
      <c r="BB541" s="216"/>
      <c r="BC541" s="217" t="str">
        <f t="shared" si="104"/>
        <v/>
      </c>
      <c r="BD541" s="218"/>
      <c r="BE541" s="219"/>
      <c r="BF541" s="220"/>
      <c r="BG541" s="219"/>
      <c r="BH541" s="219"/>
      <c r="BI541" s="220"/>
      <c r="BJ541" s="218"/>
      <c r="BK541" s="219"/>
      <c r="BL541" s="197"/>
      <c r="BM541" s="215"/>
      <c r="BN541" s="221"/>
      <c r="BO541" s="222" t="str">
        <f t="shared" si="105"/>
        <v/>
      </c>
      <c r="BP541" s="217" t="str">
        <f t="shared" si="106"/>
        <v/>
      </c>
      <c r="BQ541" s="215"/>
      <c r="BR541" s="224"/>
      <c r="BS541" s="225"/>
      <c r="BT541" s="223"/>
      <c r="BU541" s="215"/>
      <c r="BV541" s="226"/>
      <c r="BW541" s="222" t="str">
        <f t="shared" si="107"/>
        <v/>
      </c>
      <c r="BX541" s="223" t="str">
        <f t="shared" si="108"/>
        <v/>
      </c>
      <c r="BY541" s="215"/>
      <c r="BZ541" s="227"/>
      <c r="CA541" s="227"/>
      <c r="CB541" s="228"/>
      <c r="CC541" s="229"/>
      <c r="CD541" s="230" t="str">
        <f t="shared" si="109"/>
        <v/>
      </c>
      <c r="CE541" s="231" t="str">
        <f t="shared" si="110"/>
        <v/>
      </c>
      <c r="CF541" s="232" t="str">
        <f t="shared" si="111"/>
        <v/>
      </c>
      <c r="CG541" s="233" t="str">
        <f t="shared" si="112"/>
        <v/>
      </c>
      <c r="CH541" s="207" t="str">
        <f>IF(OR(G541="",CC541= ""), "", IF(ISERROR(SMALL((CJ541,CN541,CV541), 1)-CC541), "",  SMALL((CJ541,CN541,CV541), 1)-CC541))</f>
        <v/>
      </c>
      <c r="CI541" s="234"/>
      <c r="CJ541" s="235"/>
      <c r="CK541" s="236"/>
      <c r="CL541" s="222" t="str">
        <f t="shared" si="113"/>
        <v/>
      </c>
      <c r="CM541" s="237" t="str">
        <f>IF(OR(G541="", CJ541="",CK541=""), "", IF(ISERROR(SMALL((CN541,CV541), 1)-CK541), "",  SMALL((CN541,CV541), 1)-CK541))</f>
        <v/>
      </c>
      <c r="CN541" s="235"/>
      <c r="CO541" s="236"/>
      <c r="CP541" s="224" t="str">
        <f t="shared" si="114"/>
        <v/>
      </c>
      <c r="CQ541" s="235"/>
      <c r="CR541" s="236"/>
      <c r="CS541" s="222" t="str">
        <f t="shared" si="115"/>
        <v/>
      </c>
      <c r="CT541" s="237" t="str">
        <f t="shared" si="116"/>
        <v/>
      </c>
      <c r="CU541" s="238"/>
      <c r="CV541" s="239"/>
      <c r="CW541" s="240"/>
    </row>
    <row r="542" spans="2:101" ht="16.5" customHeight="1">
      <c r="B542" s="122"/>
      <c r="E542" s="122"/>
      <c r="F542" s="194"/>
      <c r="G542" s="195"/>
      <c r="H542" s="195"/>
      <c r="I542" s="195"/>
      <c r="J542" s="196"/>
      <c r="K542" s="197"/>
      <c r="L542" s="198"/>
      <c r="M542" s="199"/>
      <c r="N542" s="200"/>
      <c r="O542" s="201"/>
      <c r="P542" s="201"/>
      <c r="Q542" s="201"/>
      <c r="R542" s="201"/>
      <c r="S542" s="201"/>
      <c r="T542" s="201"/>
      <c r="U542" s="201"/>
      <c r="V542" s="201"/>
      <c r="W542" s="201"/>
      <c r="X542" s="202"/>
      <c r="Y542" s="203"/>
      <c r="Z542" s="204"/>
      <c r="AA542" s="205"/>
      <c r="AB542" s="206"/>
      <c r="AC542" s="206"/>
      <c r="AD542" s="194"/>
      <c r="AE542" s="201"/>
      <c r="AF542" s="207"/>
      <c r="AG542" s="208"/>
      <c r="AH542" s="209"/>
      <c r="AI542" s="210"/>
      <c r="AJ542" s="197"/>
      <c r="AK542" s="201"/>
      <c r="AL542" s="196"/>
      <c r="AM542" s="201"/>
      <c r="AN542" s="201"/>
      <c r="AO542" s="201"/>
      <c r="AP542" s="211"/>
      <c r="AQ542" s="212"/>
      <c r="AR542" s="201"/>
      <c r="AS542" s="201"/>
      <c r="AT542" s="201"/>
      <c r="AU542" s="201"/>
      <c r="AV542" s="202"/>
      <c r="AW542" s="194"/>
      <c r="AX542" s="201"/>
      <c r="AY542" s="213"/>
      <c r="AZ542" s="214"/>
      <c r="BA542" s="215"/>
      <c r="BB542" s="216"/>
      <c r="BC542" s="217" t="str">
        <f t="shared" si="104"/>
        <v/>
      </c>
      <c r="BD542" s="218"/>
      <c r="BE542" s="219"/>
      <c r="BF542" s="220"/>
      <c r="BG542" s="219"/>
      <c r="BH542" s="219"/>
      <c r="BI542" s="220"/>
      <c r="BJ542" s="218"/>
      <c r="BK542" s="219"/>
      <c r="BL542" s="197"/>
      <c r="BM542" s="215"/>
      <c r="BN542" s="221"/>
      <c r="BO542" s="222" t="str">
        <f t="shared" si="105"/>
        <v/>
      </c>
      <c r="BP542" s="217" t="str">
        <f t="shared" si="106"/>
        <v/>
      </c>
      <c r="BQ542" s="215"/>
      <c r="BR542" s="224"/>
      <c r="BS542" s="225"/>
      <c r="BT542" s="223"/>
      <c r="BU542" s="215"/>
      <c r="BV542" s="226"/>
      <c r="BW542" s="222" t="str">
        <f t="shared" si="107"/>
        <v/>
      </c>
      <c r="BX542" s="223" t="str">
        <f t="shared" si="108"/>
        <v/>
      </c>
      <c r="BY542" s="215"/>
      <c r="BZ542" s="227"/>
      <c r="CA542" s="227"/>
      <c r="CB542" s="228"/>
      <c r="CC542" s="229"/>
      <c r="CD542" s="230" t="str">
        <f t="shared" si="109"/>
        <v/>
      </c>
      <c r="CE542" s="231" t="str">
        <f t="shared" si="110"/>
        <v/>
      </c>
      <c r="CF542" s="232" t="str">
        <f t="shared" si="111"/>
        <v/>
      </c>
      <c r="CG542" s="233" t="str">
        <f t="shared" si="112"/>
        <v/>
      </c>
      <c r="CH542" s="207" t="str">
        <f>IF(OR(G542="",CC542= ""), "", IF(ISERROR(SMALL((CJ542,CN542,CV542), 1)-CC542), "",  SMALL((CJ542,CN542,CV542), 1)-CC542))</f>
        <v/>
      </c>
      <c r="CI542" s="234"/>
      <c r="CJ542" s="235"/>
      <c r="CK542" s="236"/>
      <c r="CL542" s="222" t="str">
        <f t="shared" si="113"/>
        <v/>
      </c>
      <c r="CM542" s="237" t="str">
        <f>IF(OR(G542="", CJ542="",CK542=""), "", IF(ISERROR(SMALL((CN542,CV542), 1)-CK542), "",  SMALL((CN542,CV542), 1)-CK542))</f>
        <v/>
      </c>
      <c r="CN542" s="235"/>
      <c r="CO542" s="236"/>
      <c r="CP542" s="224" t="str">
        <f t="shared" si="114"/>
        <v/>
      </c>
      <c r="CQ542" s="235"/>
      <c r="CR542" s="236"/>
      <c r="CS542" s="222" t="str">
        <f t="shared" si="115"/>
        <v/>
      </c>
      <c r="CT542" s="237" t="str">
        <f t="shared" si="116"/>
        <v/>
      </c>
      <c r="CU542" s="238"/>
      <c r="CV542" s="239"/>
      <c r="CW542" s="240"/>
    </row>
    <row r="543" spans="2:101" ht="16.5" customHeight="1">
      <c r="B543" s="122"/>
      <c r="E543" s="122"/>
      <c r="F543" s="194"/>
      <c r="G543" s="195"/>
      <c r="H543" s="195"/>
      <c r="I543" s="195"/>
      <c r="J543" s="196"/>
      <c r="K543" s="197"/>
      <c r="L543" s="198"/>
      <c r="M543" s="199"/>
      <c r="N543" s="200"/>
      <c r="O543" s="201"/>
      <c r="P543" s="201"/>
      <c r="Q543" s="201"/>
      <c r="R543" s="201"/>
      <c r="S543" s="201"/>
      <c r="T543" s="201"/>
      <c r="U543" s="201"/>
      <c r="V543" s="201"/>
      <c r="W543" s="201"/>
      <c r="X543" s="202"/>
      <c r="Y543" s="203"/>
      <c r="Z543" s="204"/>
      <c r="AA543" s="205"/>
      <c r="AB543" s="206"/>
      <c r="AC543" s="206"/>
      <c r="AD543" s="194"/>
      <c r="AE543" s="201"/>
      <c r="AF543" s="207"/>
      <c r="AG543" s="208"/>
      <c r="AH543" s="209"/>
      <c r="AI543" s="210"/>
      <c r="AJ543" s="197"/>
      <c r="AK543" s="201"/>
      <c r="AL543" s="196"/>
      <c r="AM543" s="201"/>
      <c r="AN543" s="201"/>
      <c r="AO543" s="201"/>
      <c r="AP543" s="211"/>
      <c r="AQ543" s="212"/>
      <c r="AR543" s="201"/>
      <c r="AS543" s="201"/>
      <c r="AT543" s="201"/>
      <c r="AU543" s="201"/>
      <c r="AV543" s="202"/>
      <c r="AW543" s="194"/>
      <c r="AX543" s="201"/>
      <c r="AY543" s="213"/>
      <c r="AZ543" s="214"/>
      <c r="BA543" s="215"/>
      <c r="BB543" s="216"/>
      <c r="BC543" s="217" t="str">
        <f t="shared" si="104"/>
        <v/>
      </c>
      <c r="BD543" s="218"/>
      <c r="BE543" s="219"/>
      <c r="BF543" s="220"/>
      <c r="BG543" s="219"/>
      <c r="BH543" s="219"/>
      <c r="BI543" s="220"/>
      <c r="BJ543" s="218"/>
      <c r="BK543" s="219"/>
      <c r="BL543" s="197"/>
      <c r="BM543" s="215"/>
      <c r="BN543" s="221"/>
      <c r="BO543" s="222" t="str">
        <f t="shared" si="105"/>
        <v/>
      </c>
      <c r="BP543" s="217" t="str">
        <f t="shared" si="106"/>
        <v/>
      </c>
      <c r="BQ543" s="215"/>
      <c r="BR543" s="224"/>
      <c r="BS543" s="225"/>
      <c r="BT543" s="223"/>
      <c r="BU543" s="215"/>
      <c r="BV543" s="226"/>
      <c r="BW543" s="222" t="str">
        <f t="shared" si="107"/>
        <v/>
      </c>
      <c r="BX543" s="223" t="str">
        <f t="shared" si="108"/>
        <v/>
      </c>
      <c r="BY543" s="215"/>
      <c r="BZ543" s="227"/>
      <c r="CA543" s="227"/>
      <c r="CB543" s="228"/>
      <c r="CC543" s="229"/>
      <c r="CD543" s="230" t="str">
        <f t="shared" si="109"/>
        <v/>
      </c>
      <c r="CE543" s="231" t="str">
        <f t="shared" si="110"/>
        <v/>
      </c>
      <c r="CF543" s="232" t="str">
        <f t="shared" si="111"/>
        <v/>
      </c>
      <c r="CG543" s="233" t="str">
        <f t="shared" si="112"/>
        <v/>
      </c>
      <c r="CH543" s="207" t="str">
        <f>IF(OR(G543="",CC543= ""), "", IF(ISERROR(SMALL((CJ543,CN543,CV543), 1)-CC543), "",  SMALL((CJ543,CN543,CV543), 1)-CC543))</f>
        <v/>
      </c>
      <c r="CI543" s="234"/>
      <c r="CJ543" s="235"/>
      <c r="CK543" s="236"/>
      <c r="CL543" s="222" t="str">
        <f t="shared" si="113"/>
        <v/>
      </c>
      <c r="CM543" s="237" t="str">
        <f>IF(OR(G543="", CJ543="",CK543=""), "", IF(ISERROR(SMALL((CN543,CV543), 1)-CK543), "",  SMALL((CN543,CV543), 1)-CK543))</f>
        <v/>
      </c>
      <c r="CN543" s="235"/>
      <c r="CO543" s="236"/>
      <c r="CP543" s="224" t="str">
        <f t="shared" si="114"/>
        <v/>
      </c>
      <c r="CQ543" s="235"/>
      <c r="CR543" s="236"/>
      <c r="CS543" s="222" t="str">
        <f t="shared" si="115"/>
        <v/>
      </c>
      <c r="CT543" s="237" t="str">
        <f t="shared" si="116"/>
        <v/>
      </c>
      <c r="CU543" s="238"/>
      <c r="CV543" s="239"/>
      <c r="CW543" s="240"/>
    </row>
    <row r="544" spans="2:101" ht="16.5" customHeight="1">
      <c r="B544" s="122"/>
      <c r="E544" s="122"/>
      <c r="F544" s="194"/>
      <c r="G544" s="195"/>
      <c r="H544" s="195"/>
      <c r="I544" s="195"/>
      <c r="J544" s="196"/>
      <c r="K544" s="197"/>
      <c r="L544" s="198"/>
      <c r="M544" s="199"/>
      <c r="N544" s="200"/>
      <c r="O544" s="201"/>
      <c r="P544" s="201"/>
      <c r="Q544" s="201"/>
      <c r="R544" s="201"/>
      <c r="S544" s="201"/>
      <c r="T544" s="201"/>
      <c r="U544" s="201"/>
      <c r="V544" s="201"/>
      <c r="W544" s="201"/>
      <c r="X544" s="202"/>
      <c r="Y544" s="203"/>
      <c r="Z544" s="204"/>
      <c r="AA544" s="205"/>
      <c r="AB544" s="206"/>
      <c r="AC544" s="206"/>
      <c r="AD544" s="194"/>
      <c r="AE544" s="201"/>
      <c r="AF544" s="207"/>
      <c r="AG544" s="208"/>
      <c r="AH544" s="209"/>
      <c r="AI544" s="210"/>
      <c r="AJ544" s="197"/>
      <c r="AK544" s="201"/>
      <c r="AL544" s="196"/>
      <c r="AM544" s="201"/>
      <c r="AN544" s="201"/>
      <c r="AO544" s="201"/>
      <c r="AP544" s="211"/>
      <c r="AQ544" s="212"/>
      <c r="AR544" s="201"/>
      <c r="AS544" s="201"/>
      <c r="AT544" s="201"/>
      <c r="AU544" s="201"/>
      <c r="AV544" s="202"/>
      <c r="AW544" s="194"/>
      <c r="AX544" s="201"/>
      <c r="AY544" s="213"/>
      <c r="AZ544" s="214"/>
      <c r="BA544" s="215"/>
      <c r="BB544" s="216"/>
      <c r="BC544" s="217" t="str">
        <f t="shared" si="104"/>
        <v/>
      </c>
      <c r="BD544" s="218"/>
      <c r="BE544" s="219"/>
      <c r="BF544" s="220"/>
      <c r="BG544" s="219"/>
      <c r="BH544" s="219"/>
      <c r="BI544" s="220"/>
      <c r="BJ544" s="218"/>
      <c r="BK544" s="219"/>
      <c r="BL544" s="197"/>
      <c r="BM544" s="215"/>
      <c r="BN544" s="221"/>
      <c r="BO544" s="222" t="str">
        <f t="shared" si="105"/>
        <v/>
      </c>
      <c r="BP544" s="217" t="str">
        <f t="shared" si="106"/>
        <v/>
      </c>
      <c r="BQ544" s="215"/>
      <c r="BR544" s="224"/>
      <c r="BS544" s="225"/>
      <c r="BT544" s="223"/>
      <c r="BU544" s="215"/>
      <c r="BV544" s="226"/>
      <c r="BW544" s="222" t="str">
        <f t="shared" si="107"/>
        <v/>
      </c>
      <c r="BX544" s="223" t="str">
        <f t="shared" si="108"/>
        <v/>
      </c>
      <c r="BY544" s="215"/>
      <c r="BZ544" s="227"/>
      <c r="CA544" s="227"/>
      <c r="CB544" s="228"/>
      <c r="CC544" s="229"/>
      <c r="CD544" s="230" t="str">
        <f t="shared" si="109"/>
        <v/>
      </c>
      <c r="CE544" s="231" t="str">
        <f t="shared" si="110"/>
        <v/>
      </c>
      <c r="CF544" s="232" t="str">
        <f t="shared" si="111"/>
        <v/>
      </c>
      <c r="CG544" s="233" t="str">
        <f t="shared" si="112"/>
        <v/>
      </c>
      <c r="CH544" s="207" t="str">
        <f>IF(OR(G544="",CC544= ""), "", IF(ISERROR(SMALL((CJ544,CN544,CV544), 1)-CC544), "",  SMALL((CJ544,CN544,CV544), 1)-CC544))</f>
        <v/>
      </c>
      <c r="CI544" s="234"/>
      <c r="CJ544" s="235"/>
      <c r="CK544" s="236"/>
      <c r="CL544" s="222" t="str">
        <f t="shared" si="113"/>
        <v/>
      </c>
      <c r="CM544" s="237" t="str">
        <f>IF(OR(G544="", CJ544="",CK544=""), "", IF(ISERROR(SMALL((CN544,CV544), 1)-CK544), "",  SMALL((CN544,CV544), 1)-CK544))</f>
        <v/>
      </c>
      <c r="CN544" s="235"/>
      <c r="CO544" s="236"/>
      <c r="CP544" s="224" t="str">
        <f t="shared" si="114"/>
        <v/>
      </c>
      <c r="CQ544" s="235"/>
      <c r="CR544" s="236"/>
      <c r="CS544" s="222" t="str">
        <f t="shared" si="115"/>
        <v/>
      </c>
      <c r="CT544" s="237" t="str">
        <f t="shared" si="116"/>
        <v/>
      </c>
      <c r="CU544" s="238"/>
      <c r="CV544" s="239"/>
      <c r="CW544" s="240"/>
    </row>
    <row r="545" spans="2:101" ht="16.5" customHeight="1">
      <c r="B545" s="122"/>
      <c r="E545" s="122"/>
      <c r="F545" s="194"/>
      <c r="G545" s="195"/>
      <c r="H545" s="195"/>
      <c r="I545" s="195"/>
      <c r="J545" s="196"/>
      <c r="K545" s="197"/>
      <c r="L545" s="198"/>
      <c r="M545" s="199"/>
      <c r="N545" s="200"/>
      <c r="O545" s="201"/>
      <c r="P545" s="201"/>
      <c r="Q545" s="201"/>
      <c r="R545" s="201"/>
      <c r="S545" s="201"/>
      <c r="T545" s="201"/>
      <c r="U545" s="201"/>
      <c r="V545" s="201"/>
      <c r="W545" s="201"/>
      <c r="X545" s="202"/>
      <c r="Y545" s="203"/>
      <c r="Z545" s="204"/>
      <c r="AA545" s="205"/>
      <c r="AB545" s="206"/>
      <c r="AC545" s="206"/>
      <c r="AD545" s="194"/>
      <c r="AE545" s="201"/>
      <c r="AF545" s="207"/>
      <c r="AG545" s="208"/>
      <c r="AH545" s="209"/>
      <c r="AI545" s="210"/>
      <c r="AJ545" s="197"/>
      <c r="AK545" s="201"/>
      <c r="AL545" s="196"/>
      <c r="AM545" s="201"/>
      <c r="AN545" s="201"/>
      <c r="AO545" s="201"/>
      <c r="AP545" s="211"/>
      <c r="AQ545" s="212"/>
      <c r="AR545" s="201"/>
      <c r="AS545" s="201"/>
      <c r="AT545" s="201"/>
      <c r="AU545" s="201"/>
      <c r="AV545" s="202"/>
      <c r="AW545" s="194"/>
      <c r="AX545" s="201"/>
      <c r="AY545" s="213"/>
      <c r="AZ545" s="214"/>
      <c r="BA545" s="215"/>
      <c r="BB545" s="216"/>
      <c r="BC545" s="217" t="str">
        <f t="shared" si="104"/>
        <v/>
      </c>
      <c r="BD545" s="218"/>
      <c r="BE545" s="219"/>
      <c r="BF545" s="220"/>
      <c r="BG545" s="219"/>
      <c r="BH545" s="219"/>
      <c r="BI545" s="220"/>
      <c r="BJ545" s="218"/>
      <c r="BK545" s="219"/>
      <c r="BL545" s="197"/>
      <c r="BM545" s="215"/>
      <c r="BN545" s="221"/>
      <c r="BO545" s="222" t="str">
        <f t="shared" si="105"/>
        <v/>
      </c>
      <c r="BP545" s="217" t="str">
        <f t="shared" si="106"/>
        <v/>
      </c>
      <c r="BQ545" s="215"/>
      <c r="BR545" s="224"/>
      <c r="BS545" s="225"/>
      <c r="BT545" s="223"/>
      <c r="BU545" s="215"/>
      <c r="BV545" s="226"/>
      <c r="BW545" s="222" t="str">
        <f t="shared" si="107"/>
        <v/>
      </c>
      <c r="BX545" s="223" t="str">
        <f t="shared" si="108"/>
        <v/>
      </c>
      <c r="BY545" s="215"/>
      <c r="BZ545" s="227"/>
      <c r="CA545" s="227"/>
      <c r="CB545" s="228"/>
      <c r="CC545" s="229"/>
      <c r="CD545" s="230" t="str">
        <f t="shared" si="109"/>
        <v/>
      </c>
      <c r="CE545" s="231" t="str">
        <f t="shared" si="110"/>
        <v/>
      </c>
      <c r="CF545" s="232" t="str">
        <f t="shared" si="111"/>
        <v/>
      </c>
      <c r="CG545" s="233" t="str">
        <f t="shared" si="112"/>
        <v/>
      </c>
      <c r="CH545" s="207" t="str">
        <f>IF(OR(G545="",CC545= ""), "", IF(ISERROR(SMALL((CJ545,CN545,CV545), 1)-CC545), "",  SMALL((CJ545,CN545,CV545), 1)-CC545))</f>
        <v/>
      </c>
      <c r="CI545" s="234"/>
      <c r="CJ545" s="235"/>
      <c r="CK545" s="236"/>
      <c r="CL545" s="222" t="str">
        <f t="shared" si="113"/>
        <v/>
      </c>
      <c r="CM545" s="237" t="str">
        <f>IF(OR(G545="", CJ545="",CK545=""), "", IF(ISERROR(SMALL((CN545,CV545), 1)-CK545), "",  SMALL((CN545,CV545), 1)-CK545))</f>
        <v/>
      </c>
      <c r="CN545" s="235"/>
      <c r="CO545" s="236"/>
      <c r="CP545" s="224" t="str">
        <f t="shared" si="114"/>
        <v/>
      </c>
      <c r="CQ545" s="235"/>
      <c r="CR545" s="236"/>
      <c r="CS545" s="222" t="str">
        <f t="shared" si="115"/>
        <v/>
      </c>
      <c r="CT545" s="237" t="str">
        <f t="shared" si="116"/>
        <v/>
      </c>
      <c r="CU545" s="238"/>
      <c r="CV545" s="239"/>
      <c r="CW545" s="240"/>
    </row>
    <row r="546" spans="2:101" ht="16.5" customHeight="1">
      <c r="B546" s="122"/>
      <c r="E546" s="122"/>
      <c r="F546" s="194"/>
      <c r="G546" s="195"/>
      <c r="H546" s="195"/>
      <c r="I546" s="195"/>
      <c r="J546" s="196"/>
      <c r="K546" s="197"/>
      <c r="L546" s="198"/>
      <c r="M546" s="199"/>
      <c r="N546" s="200"/>
      <c r="O546" s="201"/>
      <c r="P546" s="201"/>
      <c r="Q546" s="201"/>
      <c r="R546" s="201"/>
      <c r="S546" s="201"/>
      <c r="T546" s="201"/>
      <c r="U546" s="201"/>
      <c r="V546" s="201"/>
      <c r="W546" s="201"/>
      <c r="X546" s="202"/>
      <c r="Y546" s="203"/>
      <c r="Z546" s="204"/>
      <c r="AA546" s="205"/>
      <c r="AB546" s="206"/>
      <c r="AC546" s="206"/>
      <c r="AD546" s="194"/>
      <c r="AE546" s="201"/>
      <c r="AF546" s="207"/>
      <c r="AG546" s="208"/>
      <c r="AH546" s="209"/>
      <c r="AI546" s="210"/>
      <c r="AJ546" s="197"/>
      <c r="AK546" s="201"/>
      <c r="AL546" s="196"/>
      <c r="AM546" s="201"/>
      <c r="AN546" s="201"/>
      <c r="AO546" s="201"/>
      <c r="AP546" s="211"/>
      <c r="AQ546" s="212"/>
      <c r="AR546" s="201"/>
      <c r="AS546" s="201"/>
      <c r="AT546" s="201"/>
      <c r="AU546" s="201"/>
      <c r="AV546" s="202"/>
      <c r="AW546" s="194"/>
      <c r="AX546" s="201"/>
      <c r="AY546" s="213"/>
      <c r="AZ546" s="214"/>
      <c r="BA546" s="215"/>
      <c r="BB546" s="216"/>
      <c r="BC546" s="217" t="str">
        <f t="shared" si="104"/>
        <v/>
      </c>
      <c r="BD546" s="218"/>
      <c r="BE546" s="219"/>
      <c r="BF546" s="220"/>
      <c r="BG546" s="219"/>
      <c r="BH546" s="219"/>
      <c r="BI546" s="220"/>
      <c r="BJ546" s="218"/>
      <c r="BK546" s="219"/>
      <c r="BL546" s="197"/>
      <c r="BM546" s="215"/>
      <c r="BN546" s="221"/>
      <c r="BO546" s="222" t="str">
        <f t="shared" si="105"/>
        <v/>
      </c>
      <c r="BP546" s="217" t="str">
        <f t="shared" si="106"/>
        <v/>
      </c>
      <c r="BQ546" s="215"/>
      <c r="BR546" s="224"/>
      <c r="BS546" s="225"/>
      <c r="BT546" s="223"/>
      <c r="BU546" s="215"/>
      <c r="BV546" s="226"/>
      <c r="BW546" s="222" t="str">
        <f t="shared" si="107"/>
        <v/>
      </c>
      <c r="BX546" s="223" t="str">
        <f t="shared" si="108"/>
        <v/>
      </c>
      <c r="BY546" s="215"/>
      <c r="BZ546" s="227"/>
      <c r="CA546" s="227"/>
      <c r="CB546" s="228"/>
      <c r="CC546" s="229"/>
      <c r="CD546" s="230" t="str">
        <f t="shared" si="109"/>
        <v/>
      </c>
      <c r="CE546" s="231" t="str">
        <f t="shared" si="110"/>
        <v/>
      </c>
      <c r="CF546" s="232" t="str">
        <f t="shared" si="111"/>
        <v/>
      </c>
      <c r="CG546" s="233" t="str">
        <f t="shared" si="112"/>
        <v/>
      </c>
      <c r="CH546" s="207" t="str">
        <f>IF(OR(G546="",CC546= ""), "", IF(ISERROR(SMALL((CJ546,CN546,CV546), 1)-CC546), "",  SMALL((CJ546,CN546,CV546), 1)-CC546))</f>
        <v/>
      </c>
      <c r="CI546" s="234"/>
      <c r="CJ546" s="235"/>
      <c r="CK546" s="236"/>
      <c r="CL546" s="222" t="str">
        <f t="shared" si="113"/>
        <v/>
      </c>
      <c r="CM546" s="237" t="str">
        <f>IF(OR(G546="", CJ546="",CK546=""), "", IF(ISERROR(SMALL((CN546,CV546), 1)-CK546), "",  SMALL((CN546,CV546), 1)-CK546))</f>
        <v/>
      </c>
      <c r="CN546" s="235"/>
      <c r="CO546" s="236"/>
      <c r="CP546" s="224" t="str">
        <f t="shared" si="114"/>
        <v/>
      </c>
      <c r="CQ546" s="235"/>
      <c r="CR546" s="236"/>
      <c r="CS546" s="222" t="str">
        <f t="shared" si="115"/>
        <v/>
      </c>
      <c r="CT546" s="237" t="str">
        <f t="shared" si="116"/>
        <v/>
      </c>
      <c r="CU546" s="238"/>
      <c r="CV546" s="239"/>
      <c r="CW546" s="240"/>
    </row>
    <row r="547" spans="2:101" ht="16.5" customHeight="1">
      <c r="B547" s="122"/>
      <c r="E547" s="122"/>
      <c r="F547" s="194"/>
      <c r="G547" s="195"/>
      <c r="H547" s="195"/>
      <c r="I547" s="195"/>
      <c r="J547" s="196"/>
      <c r="K547" s="197"/>
      <c r="L547" s="198"/>
      <c r="M547" s="199"/>
      <c r="N547" s="200"/>
      <c r="O547" s="201"/>
      <c r="P547" s="201"/>
      <c r="Q547" s="201"/>
      <c r="R547" s="201"/>
      <c r="S547" s="201"/>
      <c r="T547" s="201"/>
      <c r="U547" s="201"/>
      <c r="V547" s="201"/>
      <c r="W547" s="201"/>
      <c r="X547" s="202"/>
      <c r="Y547" s="203"/>
      <c r="Z547" s="204"/>
      <c r="AA547" s="205"/>
      <c r="AB547" s="206"/>
      <c r="AC547" s="206"/>
      <c r="AD547" s="194"/>
      <c r="AE547" s="201"/>
      <c r="AF547" s="207"/>
      <c r="AG547" s="208"/>
      <c r="AH547" s="209"/>
      <c r="AI547" s="210"/>
      <c r="AJ547" s="197"/>
      <c r="AK547" s="201"/>
      <c r="AL547" s="196"/>
      <c r="AM547" s="201"/>
      <c r="AN547" s="201"/>
      <c r="AO547" s="201"/>
      <c r="AP547" s="211"/>
      <c r="AQ547" s="212"/>
      <c r="AR547" s="201"/>
      <c r="AS547" s="201"/>
      <c r="AT547" s="201"/>
      <c r="AU547" s="201"/>
      <c r="AV547" s="202"/>
      <c r="AW547" s="194"/>
      <c r="AX547" s="201"/>
      <c r="AY547" s="213"/>
      <c r="AZ547" s="214"/>
      <c r="BA547" s="215"/>
      <c r="BB547" s="216"/>
      <c r="BC547" s="217" t="str">
        <f t="shared" si="104"/>
        <v/>
      </c>
      <c r="BD547" s="218"/>
      <c r="BE547" s="219"/>
      <c r="BF547" s="220"/>
      <c r="BG547" s="219"/>
      <c r="BH547" s="219"/>
      <c r="BI547" s="220"/>
      <c r="BJ547" s="218"/>
      <c r="BK547" s="219"/>
      <c r="BL547" s="197"/>
      <c r="BM547" s="215"/>
      <c r="BN547" s="221"/>
      <c r="BO547" s="222" t="str">
        <f t="shared" si="105"/>
        <v/>
      </c>
      <c r="BP547" s="217" t="str">
        <f t="shared" si="106"/>
        <v/>
      </c>
      <c r="BQ547" s="215"/>
      <c r="BR547" s="224"/>
      <c r="BS547" s="225"/>
      <c r="BT547" s="223"/>
      <c r="BU547" s="215"/>
      <c r="BV547" s="226"/>
      <c r="BW547" s="222" t="str">
        <f t="shared" si="107"/>
        <v/>
      </c>
      <c r="BX547" s="223" t="str">
        <f t="shared" si="108"/>
        <v/>
      </c>
      <c r="BY547" s="215"/>
      <c r="BZ547" s="227"/>
      <c r="CA547" s="227"/>
      <c r="CB547" s="228"/>
      <c r="CC547" s="229"/>
      <c r="CD547" s="230" t="str">
        <f t="shared" si="109"/>
        <v/>
      </c>
      <c r="CE547" s="231" t="str">
        <f t="shared" si="110"/>
        <v/>
      </c>
      <c r="CF547" s="232" t="str">
        <f t="shared" si="111"/>
        <v/>
      </c>
      <c r="CG547" s="233" t="str">
        <f t="shared" si="112"/>
        <v/>
      </c>
      <c r="CH547" s="207" t="str">
        <f>IF(OR(G547="",CC547= ""), "", IF(ISERROR(SMALL((CJ547,CN547,CV547), 1)-CC547), "",  SMALL((CJ547,CN547,CV547), 1)-CC547))</f>
        <v/>
      </c>
      <c r="CI547" s="234"/>
      <c r="CJ547" s="235"/>
      <c r="CK547" s="236"/>
      <c r="CL547" s="222" t="str">
        <f t="shared" si="113"/>
        <v/>
      </c>
      <c r="CM547" s="237" t="str">
        <f>IF(OR(G547="", CJ547="",CK547=""), "", IF(ISERROR(SMALL((CN547,CV547), 1)-CK547), "",  SMALL((CN547,CV547), 1)-CK547))</f>
        <v/>
      </c>
      <c r="CN547" s="235"/>
      <c r="CO547" s="236"/>
      <c r="CP547" s="224" t="str">
        <f t="shared" si="114"/>
        <v/>
      </c>
      <c r="CQ547" s="235"/>
      <c r="CR547" s="236"/>
      <c r="CS547" s="222" t="str">
        <f t="shared" si="115"/>
        <v/>
      </c>
      <c r="CT547" s="237" t="str">
        <f t="shared" si="116"/>
        <v/>
      </c>
      <c r="CU547" s="238"/>
      <c r="CV547" s="239"/>
      <c r="CW547" s="240"/>
    </row>
    <row r="548" spans="2:101" ht="16.5" customHeight="1">
      <c r="B548" s="122"/>
      <c r="E548" s="122"/>
      <c r="F548" s="194"/>
      <c r="G548" s="195"/>
      <c r="H548" s="195"/>
      <c r="I548" s="195"/>
      <c r="J548" s="196"/>
      <c r="K548" s="197"/>
      <c r="L548" s="198"/>
      <c r="M548" s="199"/>
      <c r="N548" s="200"/>
      <c r="O548" s="201"/>
      <c r="P548" s="201"/>
      <c r="Q548" s="201"/>
      <c r="R548" s="201"/>
      <c r="S548" s="201"/>
      <c r="T548" s="201"/>
      <c r="U548" s="201"/>
      <c r="V548" s="201"/>
      <c r="W548" s="201"/>
      <c r="X548" s="202"/>
      <c r="Y548" s="203"/>
      <c r="Z548" s="204"/>
      <c r="AA548" s="205"/>
      <c r="AB548" s="206"/>
      <c r="AC548" s="206"/>
      <c r="AD548" s="194"/>
      <c r="AE548" s="201"/>
      <c r="AF548" s="207"/>
      <c r="AG548" s="208"/>
      <c r="AH548" s="209"/>
      <c r="AI548" s="210"/>
      <c r="AJ548" s="197"/>
      <c r="AK548" s="201"/>
      <c r="AL548" s="196"/>
      <c r="AM548" s="201"/>
      <c r="AN548" s="201"/>
      <c r="AO548" s="201"/>
      <c r="AP548" s="211"/>
      <c r="AQ548" s="212"/>
      <c r="AR548" s="201"/>
      <c r="AS548" s="201"/>
      <c r="AT548" s="201"/>
      <c r="AU548" s="201"/>
      <c r="AV548" s="202"/>
      <c r="AW548" s="194"/>
      <c r="AX548" s="201"/>
      <c r="AY548" s="213"/>
      <c r="AZ548" s="214"/>
      <c r="BA548" s="215"/>
      <c r="BB548" s="216"/>
      <c r="BC548" s="217" t="str">
        <f t="shared" si="104"/>
        <v/>
      </c>
      <c r="BD548" s="218"/>
      <c r="BE548" s="219"/>
      <c r="BF548" s="220"/>
      <c r="BG548" s="219"/>
      <c r="BH548" s="219"/>
      <c r="BI548" s="220"/>
      <c r="BJ548" s="218"/>
      <c r="BK548" s="219"/>
      <c r="BL548" s="197"/>
      <c r="BM548" s="215"/>
      <c r="BN548" s="221"/>
      <c r="BO548" s="222" t="str">
        <f t="shared" si="105"/>
        <v/>
      </c>
      <c r="BP548" s="217" t="str">
        <f t="shared" si="106"/>
        <v/>
      </c>
      <c r="BQ548" s="215"/>
      <c r="BR548" s="224"/>
      <c r="BS548" s="225"/>
      <c r="BT548" s="223"/>
      <c r="BU548" s="215"/>
      <c r="BV548" s="226"/>
      <c r="BW548" s="222" t="str">
        <f t="shared" si="107"/>
        <v/>
      </c>
      <c r="BX548" s="223" t="str">
        <f t="shared" si="108"/>
        <v/>
      </c>
      <c r="BY548" s="215"/>
      <c r="BZ548" s="227"/>
      <c r="CA548" s="227"/>
      <c r="CB548" s="228"/>
      <c r="CC548" s="229"/>
      <c r="CD548" s="230" t="str">
        <f t="shared" si="109"/>
        <v/>
      </c>
      <c r="CE548" s="231" t="str">
        <f t="shared" si="110"/>
        <v/>
      </c>
      <c r="CF548" s="232" t="str">
        <f t="shared" si="111"/>
        <v/>
      </c>
      <c r="CG548" s="233" t="str">
        <f t="shared" si="112"/>
        <v/>
      </c>
      <c r="CH548" s="207" t="str">
        <f>IF(OR(G548="",CC548= ""), "", IF(ISERROR(SMALL((CJ548,CN548,CV548), 1)-CC548), "",  SMALL((CJ548,CN548,CV548), 1)-CC548))</f>
        <v/>
      </c>
      <c r="CI548" s="234"/>
      <c r="CJ548" s="235"/>
      <c r="CK548" s="236"/>
      <c r="CL548" s="222" t="str">
        <f t="shared" si="113"/>
        <v/>
      </c>
      <c r="CM548" s="237" t="str">
        <f>IF(OR(G548="", CJ548="",CK548=""), "", IF(ISERROR(SMALL((CN548,CV548), 1)-CK548), "",  SMALL((CN548,CV548), 1)-CK548))</f>
        <v/>
      </c>
      <c r="CN548" s="235"/>
      <c r="CO548" s="236"/>
      <c r="CP548" s="224" t="str">
        <f t="shared" si="114"/>
        <v/>
      </c>
      <c r="CQ548" s="235"/>
      <c r="CR548" s="236"/>
      <c r="CS548" s="222" t="str">
        <f t="shared" si="115"/>
        <v/>
      </c>
      <c r="CT548" s="237" t="str">
        <f t="shared" si="116"/>
        <v/>
      </c>
      <c r="CU548" s="238"/>
      <c r="CV548" s="239"/>
      <c r="CW548" s="240"/>
    </row>
    <row r="549" spans="2:101" ht="16.5" customHeight="1">
      <c r="B549" s="122"/>
      <c r="E549" s="122"/>
      <c r="F549" s="194"/>
      <c r="G549" s="195"/>
      <c r="H549" s="195"/>
      <c r="I549" s="195"/>
      <c r="J549" s="196"/>
      <c r="K549" s="197"/>
      <c r="L549" s="198"/>
      <c r="M549" s="199"/>
      <c r="N549" s="200"/>
      <c r="O549" s="201"/>
      <c r="P549" s="201"/>
      <c r="Q549" s="201"/>
      <c r="R549" s="201"/>
      <c r="S549" s="201"/>
      <c r="T549" s="201"/>
      <c r="U549" s="201"/>
      <c r="V549" s="201"/>
      <c r="W549" s="201"/>
      <c r="X549" s="202"/>
      <c r="Y549" s="203"/>
      <c r="Z549" s="204"/>
      <c r="AA549" s="205"/>
      <c r="AB549" s="206"/>
      <c r="AC549" s="206"/>
      <c r="AD549" s="194"/>
      <c r="AE549" s="201"/>
      <c r="AF549" s="207"/>
      <c r="AG549" s="208"/>
      <c r="AH549" s="209"/>
      <c r="AI549" s="210"/>
      <c r="AJ549" s="197"/>
      <c r="AK549" s="201"/>
      <c r="AL549" s="196"/>
      <c r="AM549" s="201"/>
      <c r="AN549" s="201"/>
      <c r="AO549" s="201"/>
      <c r="AP549" s="211"/>
      <c r="AQ549" s="212"/>
      <c r="AR549" s="201"/>
      <c r="AS549" s="201"/>
      <c r="AT549" s="201"/>
      <c r="AU549" s="201"/>
      <c r="AV549" s="202"/>
      <c r="AW549" s="194"/>
      <c r="AX549" s="201"/>
      <c r="AY549" s="213"/>
      <c r="AZ549" s="214"/>
      <c r="BA549" s="215"/>
      <c r="BB549" s="216"/>
      <c r="BC549" s="217" t="str">
        <f t="shared" si="104"/>
        <v/>
      </c>
      <c r="BD549" s="218"/>
      <c r="BE549" s="219"/>
      <c r="BF549" s="220"/>
      <c r="BG549" s="219"/>
      <c r="BH549" s="219"/>
      <c r="BI549" s="220"/>
      <c r="BJ549" s="218"/>
      <c r="BK549" s="219"/>
      <c r="BL549" s="197"/>
      <c r="BM549" s="215"/>
      <c r="BN549" s="221"/>
      <c r="BO549" s="222" t="str">
        <f t="shared" si="105"/>
        <v/>
      </c>
      <c r="BP549" s="217" t="str">
        <f t="shared" si="106"/>
        <v/>
      </c>
      <c r="BQ549" s="215"/>
      <c r="BR549" s="224"/>
      <c r="BS549" s="225"/>
      <c r="BT549" s="223"/>
      <c r="BU549" s="215"/>
      <c r="BV549" s="226"/>
      <c r="BW549" s="222" t="str">
        <f t="shared" si="107"/>
        <v/>
      </c>
      <c r="BX549" s="223" t="str">
        <f t="shared" si="108"/>
        <v/>
      </c>
      <c r="BY549" s="215"/>
      <c r="BZ549" s="227"/>
      <c r="CA549" s="227"/>
      <c r="CB549" s="228"/>
      <c r="CC549" s="229"/>
      <c r="CD549" s="230" t="str">
        <f t="shared" si="109"/>
        <v/>
      </c>
      <c r="CE549" s="231" t="str">
        <f t="shared" si="110"/>
        <v/>
      </c>
      <c r="CF549" s="232" t="str">
        <f t="shared" si="111"/>
        <v/>
      </c>
      <c r="CG549" s="233" t="str">
        <f t="shared" si="112"/>
        <v/>
      </c>
      <c r="CH549" s="207" t="str">
        <f>IF(OR(G549="",CC549= ""), "", IF(ISERROR(SMALL((CJ549,CN549,CV549), 1)-CC549), "",  SMALL((CJ549,CN549,CV549), 1)-CC549))</f>
        <v/>
      </c>
      <c r="CI549" s="234"/>
      <c r="CJ549" s="235"/>
      <c r="CK549" s="236"/>
      <c r="CL549" s="222" t="str">
        <f t="shared" si="113"/>
        <v/>
      </c>
      <c r="CM549" s="237" t="str">
        <f>IF(OR(G549="", CJ549="",CK549=""), "", IF(ISERROR(SMALL((CN549,CV549), 1)-CK549), "",  SMALL((CN549,CV549), 1)-CK549))</f>
        <v/>
      </c>
      <c r="CN549" s="235"/>
      <c r="CO549" s="236"/>
      <c r="CP549" s="224" t="str">
        <f t="shared" si="114"/>
        <v/>
      </c>
      <c r="CQ549" s="235"/>
      <c r="CR549" s="236"/>
      <c r="CS549" s="222" t="str">
        <f t="shared" si="115"/>
        <v/>
      </c>
      <c r="CT549" s="237" t="str">
        <f t="shared" si="116"/>
        <v/>
      </c>
      <c r="CU549" s="238"/>
      <c r="CV549" s="239"/>
      <c r="CW549" s="240"/>
    </row>
    <row r="550" spans="2:101" ht="16.5" customHeight="1">
      <c r="B550" s="122"/>
      <c r="E550" s="122"/>
      <c r="F550" s="194"/>
      <c r="G550" s="195"/>
      <c r="H550" s="195"/>
      <c r="I550" s="195"/>
      <c r="J550" s="196"/>
      <c r="K550" s="197"/>
      <c r="L550" s="198"/>
      <c r="M550" s="199"/>
      <c r="N550" s="200"/>
      <c r="O550" s="201"/>
      <c r="P550" s="201"/>
      <c r="Q550" s="201"/>
      <c r="R550" s="201"/>
      <c r="S550" s="201"/>
      <c r="T550" s="201"/>
      <c r="U550" s="201"/>
      <c r="V550" s="201"/>
      <c r="W550" s="201"/>
      <c r="X550" s="202"/>
      <c r="Y550" s="203"/>
      <c r="Z550" s="204"/>
      <c r="AA550" s="205"/>
      <c r="AB550" s="206"/>
      <c r="AC550" s="206"/>
      <c r="AD550" s="194"/>
      <c r="AE550" s="201"/>
      <c r="AF550" s="207"/>
      <c r="AG550" s="208"/>
      <c r="AH550" s="209"/>
      <c r="AI550" s="210"/>
      <c r="AJ550" s="197"/>
      <c r="AK550" s="201"/>
      <c r="AL550" s="196"/>
      <c r="AM550" s="201"/>
      <c r="AN550" s="201"/>
      <c r="AO550" s="201"/>
      <c r="AP550" s="211"/>
      <c r="AQ550" s="212"/>
      <c r="AR550" s="201"/>
      <c r="AS550" s="201"/>
      <c r="AT550" s="201"/>
      <c r="AU550" s="201"/>
      <c r="AV550" s="202"/>
      <c r="AW550" s="194"/>
      <c r="AX550" s="201"/>
      <c r="AY550" s="213"/>
      <c r="AZ550" s="214"/>
      <c r="BA550" s="215"/>
      <c r="BB550" s="216"/>
      <c r="BC550" s="217" t="str">
        <f t="shared" si="104"/>
        <v/>
      </c>
      <c r="BD550" s="218"/>
      <c r="BE550" s="219"/>
      <c r="BF550" s="220"/>
      <c r="BG550" s="219"/>
      <c r="BH550" s="219"/>
      <c r="BI550" s="220"/>
      <c r="BJ550" s="218"/>
      <c r="BK550" s="219"/>
      <c r="BL550" s="197"/>
      <c r="BM550" s="215"/>
      <c r="BN550" s="221"/>
      <c r="BO550" s="222" t="str">
        <f t="shared" si="105"/>
        <v/>
      </c>
      <c r="BP550" s="217" t="str">
        <f t="shared" si="106"/>
        <v/>
      </c>
      <c r="BQ550" s="215"/>
      <c r="BR550" s="224"/>
      <c r="BS550" s="225"/>
      <c r="BT550" s="223"/>
      <c r="BU550" s="215"/>
      <c r="BV550" s="226"/>
      <c r="BW550" s="222" t="str">
        <f t="shared" si="107"/>
        <v/>
      </c>
      <c r="BX550" s="223" t="str">
        <f t="shared" si="108"/>
        <v/>
      </c>
      <c r="BY550" s="215"/>
      <c r="BZ550" s="227"/>
      <c r="CA550" s="227"/>
      <c r="CB550" s="228"/>
      <c r="CC550" s="229"/>
      <c r="CD550" s="230" t="str">
        <f t="shared" si="109"/>
        <v/>
      </c>
      <c r="CE550" s="231" t="str">
        <f t="shared" si="110"/>
        <v/>
      </c>
      <c r="CF550" s="232" t="str">
        <f t="shared" si="111"/>
        <v/>
      </c>
      <c r="CG550" s="233" t="str">
        <f t="shared" si="112"/>
        <v/>
      </c>
      <c r="CH550" s="207" t="str">
        <f>IF(OR(G550="",CC550= ""), "", IF(ISERROR(SMALL((CJ550,CN550,CV550), 1)-CC550), "",  SMALL((CJ550,CN550,CV550), 1)-CC550))</f>
        <v/>
      </c>
      <c r="CI550" s="234"/>
      <c r="CJ550" s="235"/>
      <c r="CK550" s="236"/>
      <c r="CL550" s="222" t="str">
        <f t="shared" si="113"/>
        <v/>
      </c>
      <c r="CM550" s="237" t="str">
        <f>IF(OR(G550="", CJ550="",CK550=""), "", IF(ISERROR(SMALL((CN550,CV550), 1)-CK550), "",  SMALL((CN550,CV550), 1)-CK550))</f>
        <v/>
      </c>
      <c r="CN550" s="235"/>
      <c r="CO550" s="236"/>
      <c r="CP550" s="224" t="str">
        <f t="shared" si="114"/>
        <v/>
      </c>
      <c r="CQ550" s="235"/>
      <c r="CR550" s="236"/>
      <c r="CS550" s="222" t="str">
        <f t="shared" si="115"/>
        <v/>
      </c>
      <c r="CT550" s="237" t="str">
        <f t="shared" si="116"/>
        <v/>
      </c>
      <c r="CU550" s="238"/>
      <c r="CV550" s="239"/>
      <c r="CW550" s="240"/>
    </row>
    <row r="551" spans="2:101" ht="16.5" customHeight="1">
      <c r="B551" s="122"/>
      <c r="E551" s="122"/>
      <c r="F551" s="194"/>
      <c r="G551" s="195"/>
      <c r="H551" s="195"/>
      <c r="I551" s="195"/>
      <c r="J551" s="196"/>
      <c r="K551" s="197"/>
      <c r="L551" s="198"/>
      <c r="M551" s="199"/>
      <c r="N551" s="200"/>
      <c r="O551" s="201"/>
      <c r="P551" s="201"/>
      <c r="Q551" s="201"/>
      <c r="R551" s="201"/>
      <c r="S551" s="201"/>
      <c r="T551" s="201"/>
      <c r="U551" s="201"/>
      <c r="V551" s="201"/>
      <c r="W551" s="201"/>
      <c r="X551" s="202"/>
      <c r="Y551" s="203"/>
      <c r="Z551" s="204"/>
      <c r="AA551" s="205"/>
      <c r="AB551" s="206"/>
      <c r="AC551" s="206"/>
      <c r="AD551" s="194"/>
      <c r="AE551" s="201"/>
      <c r="AF551" s="207"/>
      <c r="AG551" s="208"/>
      <c r="AH551" s="209"/>
      <c r="AI551" s="210"/>
      <c r="AJ551" s="197"/>
      <c r="AK551" s="201"/>
      <c r="AL551" s="196"/>
      <c r="AM551" s="201"/>
      <c r="AN551" s="201"/>
      <c r="AO551" s="201"/>
      <c r="AP551" s="211"/>
      <c r="AQ551" s="212"/>
      <c r="AR551" s="201"/>
      <c r="AS551" s="201"/>
      <c r="AT551" s="201"/>
      <c r="AU551" s="201"/>
      <c r="AV551" s="202"/>
      <c r="AW551" s="194"/>
      <c r="AX551" s="201"/>
      <c r="AY551" s="213"/>
      <c r="AZ551" s="214"/>
      <c r="BA551" s="215"/>
      <c r="BB551" s="216"/>
      <c r="BC551" s="217" t="str">
        <f t="shared" si="104"/>
        <v/>
      </c>
      <c r="BD551" s="218"/>
      <c r="BE551" s="219"/>
      <c r="BF551" s="220"/>
      <c r="BG551" s="219"/>
      <c r="BH551" s="219"/>
      <c r="BI551" s="220"/>
      <c r="BJ551" s="218"/>
      <c r="BK551" s="219"/>
      <c r="BL551" s="197"/>
      <c r="BM551" s="215"/>
      <c r="BN551" s="221"/>
      <c r="BO551" s="222" t="str">
        <f t="shared" si="105"/>
        <v/>
      </c>
      <c r="BP551" s="217" t="str">
        <f t="shared" si="106"/>
        <v/>
      </c>
      <c r="BQ551" s="215"/>
      <c r="BR551" s="224"/>
      <c r="BS551" s="225"/>
      <c r="BT551" s="223"/>
      <c r="BU551" s="215"/>
      <c r="BV551" s="226"/>
      <c r="BW551" s="222" t="str">
        <f t="shared" si="107"/>
        <v/>
      </c>
      <c r="BX551" s="223" t="str">
        <f t="shared" si="108"/>
        <v/>
      </c>
      <c r="BY551" s="215"/>
      <c r="BZ551" s="227"/>
      <c r="CA551" s="227"/>
      <c r="CB551" s="228"/>
      <c r="CC551" s="229"/>
      <c r="CD551" s="230" t="str">
        <f t="shared" si="109"/>
        <v/>
      </c>
      <c r="CE551" s="231" t="str">
        <f t="shared" si="110"/>
        <v/>
      </c>
      <c r="CF551" s="232" t="str">
        <f t="shared" si="111"/>
        <v/>
      </c>
      <c r="CG551" s="233" t="str">
        <f t="shared" si="112"/>
        <v/>
      </c>
      <c r="CH551" s="207" t="str">
        <f>IF(OR(G551="",CC551= ""), "", IF(ISERROR(SMALL((CJ551,CN551,CV551), 1)-CC551), "",  SMALL((CJ551,CN551,CV551), 1)-CC551))</f>
        <v/>
      </c>
      <c r="CI551" s="234"/>
      <c r="CJ551" s="235"/>
      <c r="CK551" s="236"/>
      <c r="CL551" s="222" t="str">
        <f t="shared" si="113"/>
        <v/>
      </c>
      <c r="CM551" s="237" t="str">
        <f>IF(OR(G551="", CJ551="",CK551=""), "", IF(ISERROR(SMALL((CN551,CV551), 1)-CK551), "",  SMALL((CN551,CV551), 1)-CK551))</f>
        <v/>
      </c>
      <c r="CN551" s="235"/>
      <c r="CO551" s="236"/>
      <c r="CP551" s="224" t="str">
        <f t="shared" si="114"/>
        <v/>
      </c>
      <c r="CQ551" s="235"/>
      <c r="CR551" s="236"/>
      <c r="CS551" s="222" t="str">
        <f t="shared" si="115"/>
        <v/>
      </c>
      <c r="CT551" s="237" t="str">
        <f t="shared" si="116"/>
        <v/>
      </c>
      <c r="CU551" s="238"/>
      <c r="CV551" s="239"/>
      <c r="CW551" s="240"/>
    </row>
    <row r="552" spans="2:101" ht="16.5" customHeight="1">
      <c r="B552" s="122"/>
      <c r="E552" s="122"/>
      <c r="F552" s="194"/>
      <c r="G552" s="195"/>
      <c r="H552" s="195"/>
      <c r="I552" s="195"/>
      <c r="J552" s="196"/>
      <c r="K552" s="197"/>
      <c r="L552" s="198"/>
      <c r="M552" s="199"/>
      <c r="N552" s="200"/>
      <c r="O552" s="201"/>
      <c r="P552" s="201"/>
      <c r="Q552" s="201"/>
      <c r="R552" s="201"/>
      <c r="S552" s="201"/>
      <c r="T552" s="201"/>
      <c r="U552" s="201"/>
      <c r="V552" s="201"/>
      <c r="W552" s="201"/>
      <c r="X552" s="202"/>
      <c r="Y552" s="203"/>
      <c r="Z552" s="204"/>
      <c r="AA552" s="205"/>
      <c r="AB552" s="206"/>
      <c r="AC552" s="206"/>
      <c r="AD552" s="194"/>
      <c r="AE552" s="201"/>
      <c r="AF552" s="207"/>
      <c r="AG552" s="208"/>
      <c r="AH552" s="209"/>
      <c r="AI552" s="210"/>
      <c r="AJ552" s="197"/>
      <c r="AK552" s="201"/>
      <c r="AL552" s="196"/>
      <c r="AM552" s="201"/>
      <c r="AN552" s="201"/>
      <c r="AO552" s="201"/>
      <c r="AP552" s="211"/>
      <c r="AQ552" s="212"/>
      <c r="AR552" s="201"/>
      <c r="AS552" s="201"/>
      <c r="AT552" s="201"/>
      <c r="AU552" s="201"/>
      <c r="AV552" s="202"/>
      <c r="AW552" s="194"/>
      <c r="AX552" s="201"/>
      <c r="AY552" s="213"/>
      <c r="AZ552" s="214"/>
      <c r="BA552" s="215"/>
      <c r="BB552" s="216"/>
      <c r="BC552" s="217" t="str">
        <f t="shared" si="104"/>
        <v/>
      </c>
      <c r="BD552" s="218"/>
      <c r="BE552" s="219"/>
      <c r="BF552" s="220"/>
      <c r="BG552" s="219"/>
      <c r="BH552" s="219"/>
      <c r="BI552" s="220"/>
      <c r="BJ552" s="218"/>
      <c r="BK552" s="219"/>
      <c r="BL552" s="197"/>
      <c r="BM552" s="215"/>
      <c r="BN552" s="221"/>
      <c r="BO552" s="222" t="str">
        <f t="shared" si="105"/>
        <v/>
      </c>
      <c r="BP552" s="217" t="str">
        <f t="shared" si="106"/>
        <v/>
      </c>
      <c r="BQ552" s="215"/>
      <c r="BR552" s="224"/>
      <c r="BS552" s="225"/>
      <c r="BT552" s="223"/>
      <c r="BU552" s="215"/>
      <c r="BV552" s="226"/>
      <c r="BW552" s="222" t="str">
        <f t="shared" si="107"/>
        <v/>
      </c>
      <c r="BX552" s="223" t="str">
        <f t="shared" si="108"/>
        <v/>
      </c>
      <c r="BY552" s="215"/>
      <c r="BZ552" s="227"/>
      <c r="CA552" s="227"/>
      <c r="CB552" s="228"/>
      <c r="CC552" s="229"/>
      <c r="CD552" s="230" t="str">
        <f t="shared" si="109"/>
        <v/>
      </c>
      <c r="CE552" s="231" t="str">
        <f t="shared" si="110"/>
        <v/>
      </c>
      <c r="CF552" s="232" t="str">
        <f t="shared" si="111"/>
        <v/>
      </c>
      <c r="CG552" s="233" t="str">
        <f t="shared" si="112"/>
        <v/>
      </c>
      <c r="CH552" s="207" t="str">
        <f>IF(OR(G552="",CC552= ""), "", IF(ISERROR(SMALL((CJ552,CN552,CV552), 1)-CC552), "",  SMALL((CJ552,CN552,CV552), 1)-CC552))</f>
        <v/>
      </c>
      <c r="CI552" s="234"/>
      <c r="CJ552" s="235"/>
      <c r="CK552" s="236"/>
      <c r="CL552" s="222" t="str">
        <f t="shared" si="113"/>
        <v/>
      </c>
      <c r="CM552" s="237" t="str">
        <f>IF(OR(G552="", CJ552="",CK552=""), "", IF(ISERROR(SMALL((CN552,CV552), 1)-CK552), "",  SMALL((CN552,CV552), 1)-CK552))</f>
        <v/>
      </c>
      <c r="CN552" s="235"/>
      <c r="CO552" s="236"/>
      <c r="CP552" s="224" t="str">
        <f t="shared" si="114"/>
        <v/>
      </c>
      <c r="CQ552" s="235"/>
      <c r="CR552" s="236"/>
      <c r="CS552" s="222" t="str">
        <f t="shared" si="115"/>
        <v/>
      </c>
      <c r="CT552" s="237" t="str">
        <f t="shared" si="116"/>
        <v/>
      </c>
      <c r="CU552" s="238"/>
      <c r="CV552" s="239"/>
      <c r="CW552" s="240"/>
    </row>
    <row r="553" spans="2:101" ht="16.5" customHeight="1">
      <c r="B553" s="122"/>
      <c r="E553" s="122"/>
      <c r="F553" s="194"/>
      <c r="G553" s="195"/>
      <c r="H553" s="195"/>
      <c r="I553" s="195"/>
      <c r="J553" s="196"/>
      <c r="K553" s="197"/>
      <c r="L553" s="198"/>
      <c r="M553" s="199"/>
      <c r="N553" s="200"/>
      <c r="O553" s="201"/>
      <c r="P553" s="201"/>
      <c r="Q553" s="201"/>
      <c r="R553" s="201"/>
      <c r="S553" s="201"/>
      <c r="T553" s="201"/>
      <c r="U553" s="201"/>
      <c r="V553" s="201"/>
      <c r="W553" s="201"/>
      <c r="X553" s="202"/>
      <c r="Y553" s="203"/>
      <c r="Z553" s="204"/>
      <c r="AA553" s="205"/>
      <c r="AB553" s="206"/>
      <c r="AC553" s="206"/>
      <c r="AD553" s="194"/>
      <c r="AE553" s="201"/>
      <c r="AF553" s="207"/>
      <c r="AG553" s="208"/>
      <c r="AH553" s="209"/>
      <c r="AI553" s="210"/>
      <c r="AJ553" s="197"/>
      <c r="AK553" s="201"/>
      <c r="AL553" s="196"/>
      <c r="AM553" s="201"/>
      <c r="AN553" s="201"/>
      <c r="AO553" s="201"/>
      <c r="AP553" s="211"/>
      <c r="AQ553" s="212"/>
      <c r="AR553" s="201"/>
      <c r="AS553" s="201"/>
      <c r="AT553" s="201"/>
      <c r="AU553" s="201"/>
      <c r="AV553" s="202"/>
      <c r="AW553" s="194"/>
      <c r="AX553" s="201"/>
      <c r="AY553" s="213"/>
      <c r="AZ553" s="214"/>
      <c r="BA553" s="215"/>
      <c r="BB553" s="216"/>
      <c r="BC553" s="217" t="str">
        <f t="shared" si="104"/>
        <v/>
      </c>
      <c r="BD553" s="218"/>
      <c r="BE553" s="219"/>
      <c r="BF553" s="220"/>
      <c r="BG553" s="219"/>
      <c r="BH553" s="219"/>
      <c r="BI553" s="220"/>
      <c r="BJ553" s="218"/>
      <c r="BK553" s="219"/>
      <c r="BL553" s="197"/>
      <c r="BM553" s="215"/>
      <c r="BN553" s="221"/>
      <c r="BO553" s="222" t="str">
        <f t="shared" si="105"/>
        <v/>
      </c>
      <c r="BP553" s="217" t="str">
        <f t="shared" si="106"/>
        <v/>
      </c>
      <c r="BQ553" s="215"/>
      <c r="BR553" s="224"/>
      <c r="BS553" s="225"/>
      <c r="BT553" s="223"/>
      <c r="BU553" s="215"/>
      <c r="BV553" s="226"/>
      <c r="BW553" s="222" t="str">
        <f t="shared" si="107"/>
        <v/>
      </c>
      <c r="BX553" s="223" t="str">
        <f t="shared" si="108"/>
        <v/>
      </c>
      <c r="BY553" s="215"/>
      <c r="BZ553" s="227"/>
      <c r="CA553" s="227"/>
      <c r="CB553" s="228"/>
      <c r="CC553" s="229"/>
      <c r="CD553" s="230" t="str">
        <f t="shared" si="109"/>
        <v/>
      </c>
      <c r="CE553" s="231" t="str">
        <f t="shared" si="110"/>
        <v/>
      </c>
      <c r="CF553" s="232" t="str">
        <f t="shared" si="111"/>
        <v/>
      </c>
      <c r="CG553" s="233" t="str">
        <f t="shared" si="112"/>
        <v/>
      </c>
      <c r="CH553" s="207" t="str">
        <f>IF(OR(G553="",CC553= ""), "", IF(ISERROR(SMALL((CJ553,CN553,CV553), 1)-CC553), "",  SMALL((CJ553,CN553,CV553), 1)-CC553))</f>
        <v/>
      </c>
      <c r="CI553" s="234"/>
      <c r="CJ553" s="235"/>
      <c r="CK553" s="236"/>
      <c r="CL553" s="222" t="str">
        <f t="shared" si="113"/>
        <v/>
      </c>
      <c r="CM553" s="237" t="str">
        <f>IF(OR(G553="", CJ553="",CK553=""), "", IF(ISERROR(SMALL((CN553,CV553), 1)-CK553), "",  SMALL((CN553,CV553), 1)-CK553))</f>
        <v/>
      </c>
      <c r="CN553" s="235"/>
      <c r="CO553" s="236"/>
      <c r="CP553" s="224" t="str">
        <f t="shared" si="114"/>
        <v/>
      </c>
      <c r="CQ553" s="235"/>
      <c r="CR553" s="236"/>
      <c r="CS553" s="222" t="str">
        <f t="shared" si="115"/>
        <v/>
      </c>
      <c r="CT553" s="237" t="str">
        <f t="shared" si="116"/>
        <v/>
      </c>
      <c r="CU553" s="238"/>
      <c r="CV553" s="239"/>
      <c r="CW553" s="240"/>
    </row>
    <row r="554" spans="2:101" ht="16.5" customHeight="1">
      <c r="B554" s="122"/>
      <c r="E554" s="122"/>
      <c r="F554" s="194"/>
      <c r="G554" s="195"/>
      <c r="H554" s="195"/>
      <c r="I554" s="195"/>
      <c r="J554" s="196"/>
      <c r="K554" s="197"/>
      <c r="L554" s="198"/>
      <c r="M554" s="199"/>
      <c r="N554" s="200"/>
      <c r="O554" s="201"/>
      <c r="P554" s="201"/>
      <c r="Q554" s="201"/>
      <c r="R554" s="201"/>
      <c r="S554" s="201"/>
      <c r="T554" s="201"/>
      <c r="U554" s="201"/>
      <c r="V554" s="201"/>
      <c r="W554" s="201"/>
      <c r="X554" s="202"/>
      <c r="Y554" s="203"/>
      <c r="Z554" s="204"/>
      <c r="AA554" s="205"/>
      <c r="AB554" s="206"/>
      <c r="AC554" s="206"/>
      <c r="AD554" s="194"/>
      <c r="AE554" s="201"/>
      <c r="AF554" s="207"/>
      <c r="AG554" s="208"/>
      <c r="AH554" s="209"/>
      <c r="AI554" s="210"/>
      <c r="AJ554" s="197"/>
      <c r="AK554" s="201"/>
      <c r="AL554" s="196"/>
      <c r="AM554" s="201"/>
      <c r="AN554" s="201"/>
      <c r="AO554" s="201"/>
      <c r="AP554" s="211"/>
      <c r="AQ554" s="212"/>
      <c r="AR554" s="201"/>
      <c r="AS554" s="201"/>
      <c r="AT554" s="201"/>
      <c r="AU554" s="201"/>
      <c r="AV554" s="202"/>
      <c r="AW554" s="194"/>
      <c r="AX554" s="201"/>
      <c r="AY554" s="213"/>
      <c r="AZ554" s="214"/>
      <c r="BA554" s="215"/>
      <c r="BB554" s="216"/>
      <c r="BC554" s="217" t="str">
        <f t="shared" si="104"/>
        <v/>
      </c>
      <c r="BD554" s="218"/>
      <c r="BE554" s="219"/>
      <c r="BF554" s="220"/>
      <c r="BG554" s="219"/>
      <c r="BH554" s="219"/>
      <c r="BI554" s="220"/>
      <c r="BJ554" s="218"/>
      <c r="BK554" s="219"/>
      <c r="BL554" s="197"/>
      <c r="BM554" s="215"/>
      <c r="BN554" s="221"/>
      <c r="BO554" s="222" t="str">
        <f t="shared" si="105"/>
        <v/>
      </c>
      <c r="BP554" s="217" t="str">
        <f t="shared" si="106"/>
        <v/>
      </c>
      <c r="BQ554" s="215"/>
      <c r="BR554" s="224"/>
      <c r="BS554" s="225"/>
      <c r="BT554" s="223"/>
      <c r="BU554" s="215"/>
      <c r="BV554" s="226"/>
      <c r="BW554" s="222" t="str">
        <f t="shared" si="107"/>
        <v/>
      </c>
      <c r="BX554" s="223" t="str">
        <f t="shared" si="108"/>
        <v/>
      </c>
      <c r="BY554" s="215"/>
      <c r="BZ554" s="227"/>
      <c r="CA554" s="227"/>
      <c r="CB554" s="228"/>
      <c r="CC554" s="229"/>
      <c r="CD554" s="230" t="str">
        <f t="shared" si="109"/>
        <v/>
      </c>
      <c r="CE554" s="231" t="str">
        <f t="shared" si="110"/>
        <v/>
      </c>
      <c r="CF554" s="232" t="str">
        <f t="shared" si="111"/>
        <v/>
      </c>
      <c r="CG554" s="233" t="str">
        <f t="shared" si="112"/>
        <v/>
      </c>
      <c r="CH554" s="207" t="str">
        <f>IF(OR(G554="",CC554= ""), "", IF(ISERROR(SMALL((CJ554,CN554,CV554), 1)-CC554), "",  SMALL((CJ554,CN554,CV554), 1)-CC554))</f>
        <v/>
      </c>
      <c r="CI554" s="234"/>
      <c r="CJ554" s="235"/>
      <c r="CK554" s="236"/>
      <c r="CL554" s="222" t="str">
        <f t="shared" si="113"/>
        <v/>
      </c>
      <c r="CM554" s="237" t="str">
        <f>IF(OR(G554="", CJ554="",CK554=""), "", IF(ISERROR(SMALL((CN554,CV554), 1)-CK554), "",  SMALL((CN554,CV554), 1)-CK554))</f>
        <v/>
      </c>
      <c r="CN554" s="235"/>
      <c r="CO554" s="236"/>
      <c r="CP554" s="224" t="str">
        <f t="shared" si="114"/>
        <v/>
      </c>
      <c r="CQ554" s="235"/>
      <c r="CR554" s="236"/>
      <c r="CS554" s="222" t="str">
        <f t="shared" si="115"/>
        <v/>
      </c>
      <c r="CT554" s="237" t="str">
        <f t="shared" si="116"/>
        <v/>
      </c>
      <c r="CU554" s="238"/>
      <c r="CV554" s="239"/>
      <c r="CW554" s="240"/>
    </row>
    <row r="555" spans="2:101" ht="16.5" customHeight="1">
      <c r="B555" s="122"/>
      <c r="E555" s="122"/>
      <c r="F555" s="194"/>
      <c r="G555" s="195"/>
      <c r="H555" s="195"/>
      <c r="I555" s="195"/>
      <c r="J555" s="196"/>
      <c r="K555" s="197"/>
      <c r="L555" s="198"/>
      <c r="M555" s="199"/>
      <c r="N555" s="200"/>
      <c r="O555" s="201"/>
      <c r="P555" s="201"/>
      <c r="Q555" s="201"/>
      <c r="R555" s="201"/>
      <c r="S555" s="201"/>
      <c r="T555" s="201"/>
      <c r="U555" s="201"/>
      <c r="V555" s="201"/>
      <c r="W555" s="201"/>
      <c r="X555" s="202"/>
      <c r="Y555" s="203"/>
      <c r="Z555" s="204"/>
      <c r="AA555" s="205"/>
      <c r="AB555" s="206"/>
      <c r="AC555" s="206"/>
      <c r="AD555" s="194"/>
      <c r="AE555" s="201"/>
      <c r="AF555" s="207"/>
      <c r="AG555" s="208"/>
      <c r="AH555" s="209"/>
      <c r="AI555" s="210"/>
      <c r="AJ555" s="197"/>
      <c r="AK555" s="201"/>
      <c r="AL555" s="196"/>
      <c r="AM555" s="201"/>
      <c r="AN555" s="201"/>
      <c r="AO555" s="201"/>
      <c r="AP555" s="211"/>
      <c r="AQ555" s="212"/>
      <c r="AR555" s="201"/>
      <c r="AS555" s="201"/>
      <c r="AT555" s="201"/>
      <c r="AU555" s="201"/>
      <c r="AV555" s="202"/>
      <c r="AW555" s="194"/>
      <c r="AX555" s="201"/>
      <c r="AY555" s="213"/>
      <c r="AZ555" s="214"/>
      <c r="BA555" s="215"/>
      <c r="BB555" s="216"/>
      <c r="BC555" s="217" t="str">
        <f t="shared" si="104"/>
        <v/>
      </c>
      <c r="BD555" s="218"/>
      <c r="BE555" s="219"/>
      <c r="BF555" s="220"/>
      <c r="BG555" s="219"/>
      <c r="BH555" s="219"/>
      <c r="BI555" s="220"/>
      <c r="BJ555" s="218"/>
      <c r="BK555" s="219"/>
      <c r="BL555" s="197"/>
      <c r="BM555" s="215"/>
      <c r="BN555" s="221"/>
      <c r="BO555" s="222" t="str">
        <f t="shared" si="105"/>
        <v/>
      </c>
      <c r="BP555" s="217" t="str">
        <f t="shared" si="106"/>
        <v/>
      </c>
      <c r="BQ555" s="215"/>
      <c r="BR555" s="224"/>
      <c r="BS555" s="225"/>
      <c r="BT555" s="223"/>
      <c r="BU555" s="215"/>
      <c r="BV555" s="226"/>
      <c r="BW555" s="222" t="str">
        <f t="shared" si="107"/>
        <v/>
      </c>
      <c r="BX555" s="223" t="str">
        <f t="shared" si="108"/>
        <v/>
      </c>
      <c r="BY555" s="215"/>
      <c r="BZ555" s="227"/>
      <c r="CA555" s="227"/>
      <c r="CB555" s="228"/>
      <c r="CC555" s="229"/>
      <c r="CD555" s="230" t="str">
        <f t="shared" si="109"/>
        <v/>
      </c>
      <c r="CE555" s="231" t="str">
        <f t="shared" si="110"/>
        <v/>
      </c>
      <c r="CF555" s="232" t="str">
        <f t="shared" si="111"/>
        <v/>
      </c>
      <c r="CG555" s="233" t="str">
        <f t="shared" si="112"/>
        <v/>
      </c>
      <c r="CH555" s="207" t="str">
        <f>IF(OR(G555="",CC555= ""), "", IF(ISERROR(SMALL((CJ555,CN555,CV555), 1)-CC555), "",  SMALL((CJ555,CN555,CV555), 1)-CC555))</f>
        <v/>
      </c>
      <c r="CI555" s="234"/>
      <c r="CJ555" s="235"/>
      <c r="CK555" s="236"/>
      <c r="CL555" s="222" t="str">
        <f t="shared" si="113"/>
        <v/>
      </c>
      <c r="CM555" s="237" t="str">
        <f>IF(OR(G555="", CJ555="",CK555=""), "", IF(ISERROR(SMALL((CN555,CV555), 1)-CK555), "",  SMALL((CN555,CV555), 1)-CK555))</f>
        <v/>
      </c>
      <c r="CN555" s="235"/>
      <c r="CO555" s="236"/>
      <c r="CP555" s="224" t="str">
        <f t="shared" si="114"/>
        <v/>
      </c>
      <c r="CQ555" s="235"/>
      <c r="CR555" s="236"/>
      <c r="CS555" s="222" t="str">
        <f t="shared" si="115"/>
        <v/>
      </c>
      <c r="CT555" s="237" t="str">
        <f t="shared" si="116"/>
        <v/>
      </c>
      <c r="CU555" s="238"/>
      <c r="CV555" s="239"/>
      <c r="CW555" s="240"/>
    </row>
    <row r="556" spans="2:101" ht="16.5" customHeight="1">
      <c r="B556" s="122"/>
      <c r="E556" s="122"/>
      <c r="F556" s="194"/>
      <c r="G556" s="195"/>
      <c r="H556" s="195"/>
      <c r="I556" s="195"/>
      <c r="J556" s="196"/>
      <c r="K556" s="197"/>
      <c r="L556" s="198"/>
      <c r="M556" s="199"/>
      <c r="N556" s="200"/>
      <c r="O556" s="201"/>
      <c r="P556" s="201"/>
      <c r="Q556" s="201"/>
      <c r="R556" s="201"/>
      <c r="S556" s="201"/>
      <c r="T556" s="201"/>
      <c r="U556" s="201"/>
      <c r="V556" s="201"/>
      <c r="W556" s="201"/>
      <c r="X556" s="202"/>
      <c r="Y556" s="203"/>
      <c r="Z556" s="204"/>
      <c r="AA556" s="205"/>
      <c r="AB556" s="206"/>
      <c r="AC556" s="206"/>
      <c r="AD556" s="194"/>
      <c r="AE556" s="201"/>
      <c r="AF556" s="207"/>
      <c r="AG556" s="208"/>
      <c r="AH556" s="209"/>
      <c r="AI556" s="210"/>
      <c r="AJ556" s="197"/>
      <c r="AK556" s="201"/>
      <c r="AL556" s="196"/>
      <c r="AM556" s="201"/>
      <c r="AN556" s="201"/>
      <c r="AO556" s="201"/>
      <c r="AP556" s="211"/>
      <c r="AQ556" s="212"/>
      <c r="AR556" s="201"/>
      <c r="AS556" s="201"/>
      <c r="AT556" s="201"/>
      <c r="AU556" s="201"/>
      <c r="AV556" s="202"/>
      <c r="AW556" s="194"/>
      <c r="AX556" s="201"/>
      <c r="AY556" s="213"/>
      <c r="AZ556" s="214"/>
      <c r="BA556" s="215"/>
      <c r="BB556" s="216"/>
      <c r="BC556" s="217" t="str">
        <f t="shared" si="104"/>
        <v/>
      </c>
      <c r="BD556" s="218"/>
      <c r="BE556" s="219"/>
      <c r="BF556" s="220"/>
      <c r="BG556" s="219"/>
      <c r="BH556" s="219"/>
      <c r="BI556" s="220"/>
      <c r="BJ556" s="218"/>
      <c r="BK556" s="219"/>
      <c r="BL556" s="197"/>
      <c r="BM556" s="215"/>
      <c r="BN556" s="221"/>
      <c r="BO556" s="222" t="str">
        <f t="shared" si="105"/>
        <v/>
      </c>
      <c r="BP556" s="217" t="str">
        <f t="shared" si="106"/>
        <v/>
      </c>
      <c r="BQ556" s="215"/>
      <c r="BR556" s="224"/>
      <c r="BS556" s="225"/>
      <c r="BT556" s="223"/>
      <c r="BU556" s="215"/>
      <c r="BV556" s="226"/>
      <c r="BW556" s="222" t="str">
        <f t="shared" si="107"/>
        <v/>
      </c>
      <c r="BX556" s="223" t="str">
        <f t="shared" si="108"/>
        <v/>
      </c>
      <c r="BY556" s="215"/>
      <c r="BZ556" s="227"/>
      <c r="CA556" s="227"/>
      <c r="CB556" s="228"/>
      <c r="CC556" s="229"/>
      <c r="CD556" s="230" t="str">
        <f t="shared" si="109"/>
        <v/>
      </c>
      <c r="CE556" s="231" t="str">
        <f t="shared" si="110"/>
        <v/>
      </c>
      <c r="CF556" s="232" t="str">
        <f t="shared" si="111"/>
        <v/>
      </c>
      <c r="CG556" s="233" t="str">
        <f t="shared" si="112"/>
        <v/>
      </c>
      <c r="CH556" s="207" t="str">
        <f>IF(OR(G556="",CC556= ""), "", IF(ISERROR(SMALL((CJ556,CN556,CV556), 1)-CC556), "",  SMALL((CJ556,CN556,CV556), 1)-CC556))</f>
        <v/>
      </c>
      <c r="CI556" s="234"/>
      <c r="CJ556" s="235"/>
      <c r="CK556" s="236"/>
      <c r="CL556" s="222" t="str">
        <f t="shared" si="113"/>
        <v/>
      </c>
      <c r="CM556" s="237" t="str">
        <f>IF(OR(G556="", CJ556="",CK556=""), "", IF(ISERROR(SMALL((CN556,CV556), 1)-CK556), "",  SMALL((CN556,CV556), 1)-CK556))</f>
        <v/>
      </c>
      <c r="CN556" s="235"/>
      <c r="CO556" s="236"/>
      <c r="CP556" s="224" t="str">
        <f t="shared" si="114"/>
        <v/>
      </c>
      <c r="CQ556" s="235"/>
      <c r="CR556" s="236"/>
      <c r="CS556" s="222" t="str">
        <f t="shared" si="115"/>
        <v/>
      </c>
      <c r="CT556" s="237" t="str">
        <f t="shared" si="116"/>
        <v/>
      </c>
      <c r="CU556" s="238"/>
      <c r="CV556" s="239"/>
      <c r="CW556" s="240"/>
    </row>
    <row r="557" spans="2:101" ht="16.5" customHeight="1">
      <c r="B557" s="122"/>
      <c r="E557" s="122"/>
      <c r="F557" s="194"/>
      <c r="G557" s="195"/>
      <c r="H557" s="195"/>
      <c r="I557" s="195"/>
      <c r="J557" s="196"/>
      <c r="K557" s="197"/>
      <c r="L557" s="198"/>
      <c r="M557" s="199"/>
      <c r="N557" s="200"/>
      <c r="O557" s="201"/>
      <c r="P557" s="201"/>
      <c r="Q557" s="201"/>
      <c r="R557" s="201"/>
      <c r="S557" s="201"/>
      <c r="T557" s="201"/>
      <c r="U557" s="201"/>
      <c r="V557" s="201"/>
      <c r="W557" s="201"/>
      <c r="X557" s="202"/>
      <c r="Y557" s="203"/>
      <c r="Z557" s="204"/>
      <c r="AA557" s="205"/>
      <c r="AB557" s="206"/>
      <c r="AC557" s="206"/>
      <c r="AD557" s="194"/>
      <c r="AE557" s="201"/>
      <c r="AF557" s="207"/>
      <c r="AG557" s="208"/>
      <c r="AH557" s="209"/>
      <c r="AI557" s="210"/>
      <c r="AJ557" s="197"/>
      <c r="AK557" s="201"/>
      <c r="AL557" s="196"/>
      <c r="AM557" s="201"/>
      <c r="AN557" s="201"/>
      <c r="AO557" s="201"/>
      <c r="AP557" s="211"/>
      <c r="AQ557" s="212"/>
      <c r="AR557" s="201"/>
      <c r="AS557" s="201"/>
      <c r="AT557" s="201"/>
      <c r="AU557" s="201"/>
      <c r="AV557" s="202"/>
      <c r="AW557" s="194"/>
      <c r="AX557" s="201"/>
      <c r="AY557" s="213"/>
      <c r="AZ557" s="214"/>
      <c r="BA557" s="215"/>
      <c r="BB557" s="216"/>
      <c r="BC557" s="217" t="str">
        <f t="shared" si="104"/>
        <v/>
      </c>
      <c r="BD557" s="218"/>
      <c r="BE557" s="219"/>
      <c r="BF557" s="220"/>
      <c r="BG557" s="219"/>
      <c r="BH557" s="219"/>
      <c r="BI557" s="220"/>
      <c r="BJ557" s="218"/>
      <c r="BK557" s="219"/>
      <c r="BL557" s="197"/>
      <c r="BM557" s="215"/>
      <c r="BN557" s="221"/>
      <c r="BO557" s="222" t="str">
        <f t="shared" si="105"/>
        <v/>
      </c>
      <c r="BP557" s="217" t="str">
        <f t="shared" si="106"/>
        <v/>
      </c>
      <c r="BQ557" s="215"/>
      <c r="BR557" s="224"/>
      <c r="BS557" s="225"/>
      <c r="BT557" s="223"/>
      <c r="BU557" s="215"/>
      <c r="BV557" s="226"/>
      <c r="BW557" s="222" t="str">
        <f t="shared" si="107"/>
        <v/>
      </c>
      <c r="BX557" s="223" t="str">
        <f t="shared" si="108"/>
        <v/>
      </c>
      <c r="BY557" s="215"/>
      <c r="BZ557" s="227"/>
      <c r="CA557" s="227"/>
      <c r="CB557" s="228"/>
      <c r="CC557" s="229"/>
      <c r="CD557" s="230" t="str">
        <f t="shared" si="109"/>
        <v/>
      </c>
      <c r="CE557" s="231" t="str">
        <f t="shared" si="110"/>
        <v/>
      </c>
      <c r="CF557" s="232" t="str">
        <f t="shared" si="111"/>
        <v/>
      </c>
      <c r="CG557" s="233" t="str">
        <f t="shared" si="112"/>
        <v/>
      </c>
      <c r="CH557" s="207" t="str">
        <f>IF(OR(G557="",CC557= ""), "", IF(ISERROR(SMALL((CJ557,CN557,CV557), 1)-CC557), "",  SMALL((CJ557,CN557,CV557), 1)-CC557))</f>
        <v/>
      </c>
      <c r="CI557" s="234"/>
      <c r="CJ557" s="235"/>
      <c r="CK557" s="236"/>
      <c r="CL557" s="222" t="str">
        <f t="shared" si="113"/>
        <v/>
      </c>
      <c r="CM557" s="237" t="str">
        <f>IF(OR(G557="", CJ557="",CK557=""), "", IF(ISERROR(SMALL((CN557,CV557), 1)-CK557), "",  SMALL((CN557,CV557), 1)-CK557))</f>
        <v/>
      </c>
      <c r="CN557" s="235"/>
      <c r="CO557" s="236"/>
      <c r="CP557" s="224" t="str">
        <f t="shared" si="114"/>
        <v/>
      </c>
      <c r="CQ557" s="235"/>
      <c r="CR557" s="236"/>
      <c r="CS557" s="222" t="str">
        <f t="shared" si="115"/>
        <v/>
      </c>
      <c r="CT557" s="237" t="str">
        <f t="shared" si="116"/>
        <v/>
      </c>
      <c r="CU557" s="238"/>
      <c r="CV557" s="239"/>
      <c r="CW557" s="240"/>
    </row>
    <row r="558" spans="2:101" ht="16.5" customHeight="1">
      <c r="B558" s="122"/>
      <c r="E558" s="122"/>
      <c r="F558" s="194"/>
      <c r="G558" s="195"/>
      <c r="H558" s="195"/>
      <c r="I558" s="195"/>
      <c r="J558" s="196"/>
      <c r="K558" s="197"/>
      <c r="L558" s="198"/>
      <c r="M558" s="199"/>
      <c r="N558" s="200"/>
      <c r="O558" s="201"/>
      <c r="P558" s="201"/>
      <c r="Q558" s="201"/>
      <c r="R558" s="201"/>
      <c r="S558" s="201"/>
      <c r="T558" s="201"/>
      <c r="U558" s="201"/>
      <c r="V558" s="201"/>
      <c r="W558" s="201"/>
      <c r="X558" s="202"/>
      <c r="Y558" s="203"/>
      <c r="Z558" s="204"/>
      <c r="AA558" s="205"/>
      <c r="AB558" s="206"/>
      <c r="AC558" s="206"/>
      <c r="AD558" s="194"/>
      <c r="AE558" s="201"/>
      <c r="AF558" s="207"/>
      <c r="AG558" s="208"/>
      <c r="AH558" s="209"/>
      <c r="AI558" s="210"/>
      <c r="AJ558" s="197"/>
      <c r="AK558" s="201"/>
      <c r="AL558" s="196"/>
      <c r="AM558" s="201"/>
      <c r="AN558" s="201"/>
      <c r="AO558" s="201"/>
      <c r="AP558" s="211"/>
      <c r="AQ558" s="212"/>
      <c r="AR558" s="201"/>
      <c r="AS558" s="201"/>
      <c r="AT558" s="201"/>
      <c r="AU558" s="201"/>
      <c r="AV558" s="202"/>
      <c r="AW558" s="194"/>
      <c r="AX558" s="201"/>
      <c r="AY558" s="213"/>
      <c r="AZ558" s="214"/>
      <c r="BA558" s="215"/>
      <c r="BB558" s="216"/>
      <c r="BC558" s="217" t="str">
        <f t="shared" si="104"/>
        <v/>
      </c>
      <c r="BD558" s="218"/>
      <c r="BE558" s="219"/>
      <c r="BF558" s="220"/>
      <c r="BG558" s="219"/>
      <c r="BH558" s="219"/>
      <c r="BI558" s="220"/>
      <c r="BJ558" s="218"/>
      <c r="BK558" s="219"/>
      <c r="BL558" s="197"/>
      <c r="BM558" s="215"/>
      <c r="BN558" s="221"/>
      <c r="BO558" s="222" t="str">
        <f t="shared" si="105"/>
        <v/>
      </c>
      <c r="BP558" s="217" t="str">
        <f t="shared" si="106"/>
        <v/>
      </c>
      <c r="BQ558" s="215"/>
      <c r="BR558" s="224"/>
      <c r="BS558" s="225"/>
      <c r="BT558" s="223"/>
      <c r="BU558" s="215"/>
      <c r="BV558" s="226"/>
      <c r="BW558" s="222" t="str">
        <f t="shared" si="107"/>
        <v/>
      </c>
      <c r="BX558" s="223" t="str">
        <f t="shared" si="108"/>
        <v/>
      </c>
      <c r="BY558" s="215"/>
      <c r="BZ558" s="227"/>
      <c r="CA558" s="227"/>
      <c r="CB558" s="228"/>
      <c r="CC558" s="229"/>
      <c r="CD558" s="230" t="str">
        <f t="shared" si="109"/>
        <v/>
      </c>
      <c r="CE558" s="231" t="str">
        <f t="shared" si="110"/>
        <v/>
      </c>
      <c r="CF558" s="232" t="str">
        <f t="shared" si="111"/>
        <v/>
      </c>
      <c r="CG558" s="233" t="str">
        <f t="shared" si="112"/>
        <v/>
      </c>
      <c r="CH558" s="207" t="str">
        <f>IF(OR(G558="",CC558= ""), "", IF(ISERROR(SMALL((CJ558,CN558,CV558), 1)-CC558), "",  SMALL((CJ558,CN558,CV558), 1)-CC558))</f>
        <v/>
      </c>
      <c r="CI558" s="234"/>
      <c r="CJ558" s="235"/>
      <c r="CK558" s="236"/>
      <c r="CL558" s="222" t="str">
        <f t="shared" si="113"/>
        <v/>
      </c>
      <c r="CM558" s="237" t="str">
        <f>IF(OR(G558="", CJ558="",CK558=""), "", IF(ISERROR(SMALL((CN558,CV558), 1)-CK558), "",  SMALL((CN558,CV558), 1)-CK558))</f>
        <v/>
      </c>
      <c r="CN558" s="235"/>
      <c r="CO558" s="236"/>
      <c r="CP558" s="224" t="str">
        <f t="shared" si="114"/>
        <v/>
      </c>
      <c r="CQ558" s="235"/>
      <c r="CR558" s="236"/>
      <c r="CS558" s="222" t="str">
        <f t="shared" si="115"/>
        <v/>
      </c>
      <c r="CT558" s="237" t="str">
        <f t="shared" si="116"/>
        <v/>
      </c>
      <c r="CU558" s="238"/>
      <c r="CV558" s="239"/>
      <c r="CW558" s="240"/>
    </row>
    <row r="559" spans="2:101" ht="16.5" customHeight="1">
      <c r="B559" s="122"/>
      <c r="E559" s="122"/>
      <c r="F559" s="194"/>
      <c r="G559" s="195"/>
      <c r="H559" s="195"/>
      <c r="I559" s="195"/>
      <c r="J559" s="196"/>
      <c r="K559" s="197"/>
      <c r="L559" s="198"/>
      <c r="M559" s="199"/>
      <c r="N559" s="200"/>
      <c r="O559" s="201"/>
      <c r="P559" s="201"/>
      <c r="Q559" s="201"/>
      <c r="R559" s="201"/>
      <c r="S559" s="201"/>
      <c r="T559" s="201"/>
      <c r="U559" s="201"/>
      <c r="V559" s="201"/>
      <c r="W559" s="201"/>
      <c r="X559" s="202"/>
      <c r="Y559" s="203"/>
      <c r="Z559" s="204"/>
      <c r="AA559" s="205"/>
      <c r="AB559" s="206"/>
      <c r="AC559" s="206"/>
      <c r="AD559" s="194"/>
      <c r="AE559" s="201"/>
      <c r="AF559" s="207"/>
      <c r="AG559" s="208"/>
      <c r="AH559" s="209"/>
      <c r="AI559" s="210"/>
      <c r="AJ559" s="197"/>
      <c r="AK559" s="201"/>
      <c r="AL559" s="196"/>
      <c r="AM559" s="201"/>
      <c r="AN559" s="201"/>
      <c r="AO559" s="201"/>
      <c r="AP559" s="211"/>
      <c r="AQ559" s="212"/>
      <c r="AR559" s="201"/>
      <c r="AS559" s="201"/>
      <c r="AT559" s="201"/>
      <c r="AU559" s="201"/>
      <c r="AV559" s="202"/>
      <c r="AW559" s="194"/>
      <c r="AX559" s="201"/>
      <c r="AY559" s="213"/>
      <c r="AZ559" s="214"/>
      <c r="BA559" s="215"/>
      <c r="BB559" s="216"/>
      <c r="BC559" s="217" t="str">
        <f t="shared" si="104"/>
        <v/>
      </c>
      <c r="BD559" s="218"/>
      <c r="BE559" s="219"/>
      <c r="BF559" s="220"/>
      <c r="BG559" s="219"/>
      <c r="BH559" s="219"/>
      <c r="BI559" s="220"/>
      <c r="BJ559" s="218"/>
      <c r="BK559" s="219"/>
      <c r="BL559" s="197"/>
      <c r="BM559" s="215"/>
      <c r="BN559" s="221"/>
      <c r="BO559" s="222" t="str">
        <f t="shared" si="105"/>
        <v/>
      </c>
      <c r="BP559" s="217" t="str">
        <f t="shared" si="106"/>
        <v/>
      </c>
      <c r="BQ559" s="215"/>
      <c r="BR559" s="224"/>
      <c r="BS559" s="225"/>
      <c r="BT559" s="223"/>
      <c r="BU559" s="215"/>
      <c r="BV559" s="226"/>
      <c r="BW559" s="222" t="str">
        <f t="shared" si="107"/>
        <v/>
      </c>
      <c r="BX559" s="223" t="str">
        <f t="shared" si="108"/>
        <v/>
      </c>
      <c r="BY559" s="215"/>
      <c r="BZ559" s="227"/>
      <c r="CA559" s="227"/>
      <c r="CB559" s="228"/>
      <c r="CC559" s="229"/>
      <c r="CD559" s="230" t="str">
        <f t="shared" si="109"/>
        <v/>
      </c>
      <c r="CE559" s="231" t="str">
        <f t="shared" si="110"/>
        <v/>
      </c>
      <c r="CF559" s="232" t="str">
        <f t="shared" si="111"/>
        <v/>
      </c>
      <c r="CG559" s="233" t="str">
        <f t="shared" si="112"/>
        <v/>
      </c>
      <c r="CH559" s="207" t="str">
        <f>IF(OR(G559="",CC559= ""), "", IF(ISERROR(SMALL((CJ559,CN559,CV559), 1)-CC559), "",  SMALL((CJ559,CN559,CV559), 1)-CC559))</f>
        <v/>
      </c>
      <c r="CI559" s="234"/>
      <c r="CJ559" s="235"/>
      <c r="CK559" s="236"/>
      <c r="CL559" s="222" t="str">
        <f t="shared" si="113"/>
        <v/>
      </c>
      <c r="CM559" s="237" t="str">
        <f>IF(OR(G559="", CJ559="",CK559=""), "", IF(ISERROR(SMALL((CN559,CV559), 1)-CK559), "",  SMALL((CN559,CV559), 1)-CK559))</f>
        <v/>
      </c>
      <c r="CN559" s="235"/>
      <c r="CO559" s="236"/>
      <c r="CP559" s="224" t="str">
        <f t="shared" si="114"/>
        <v/>
      </c>
      <c r="CQ559" s="235"/>
      <c r="CR559" s="236"/>
      <c r="CS559" s="222" t="str">
        <f t="shared" si="115"/>
        <v/>
      </c>
      <c r="CT559" s="237" t="str">
        <f t="shared" si="116"/>
        <v/>
      </c>
      <c r="CU559" s="238"/>
      <c r="CV559" s="239"/>
      <c r="CW559" s="240"/>
    </row>
    <row r="560" spans="2:101" ht="16.5" customHeight="1">
      <c r="B560" s="122"/>
      <c r="E560" s="122"/>
      <c r="F560" s="194"/>
      <c r="G560" s="195"/>
      <c r="H560" s="195"/>
      <c r="I560" s="195"/>
      <c r="J560" s="196"/>
      <c r="K560" s="197"/>
      <c r="L560" s="198"/>
      <c r="M560" s="199"/>
      <c r="N560" s="200"/>
      <c r="O560" s="201"/>
      <c r="P560" s="201"/>
      <c r="Q560" s="201"/>
      <c r="R560" s="201"/>
      <c r="S560" s="201"/>
      <c r="T560" s="201"/>
      <c r="U560" s="201"/>
      <c r="V560" s="201"/>
      <c r="W560" s="201"/>
      <c r="X560" s="202"/>
      <c r="Y560" s="203"/>
      <c r="Z560" s="204"/>
      <c r="AA560" s="205"/>
      <c r="AB560" s="206"/>
      <c r="AC560" s="206"/>
      <c r="AD560" s="194"/>
      <c r="AE560" s="201"/>
      <c r="AF560" s="207"/>
      <c r="AG560" s="208"/>
      <c r="AH560" s="209"/>
      <c r="AI560" s="210"/>
      <c r="AJ560" s="197"/>
      <c r="AK560" s="201"/>
      <c r="AL560" s="196"/>
      <c r="AM560" s="201"/>
      <c r="AN560" s="201"/>
      <c r="AO560" s="201"/>
      <c r="AP560" s="211"/>
      <c r="AQ560" s="212"/>
      <c r="AR560" s="201"/>
      <c r="AS560" s="201"/>
      <c r="AT560" s="201"/>
      <c r="AU560" s="201"/>
      <c r="AV560" s="202"/>
      <c r="AW560" s="194"/>
      <c r="AX560" s="201"/>
      <c r="AY560" s="213"/>
      <c r="AZ560" s="214"/>
      <c r="BA560" s="215"/>
      <c r="BB560" s="216"/>
      <c r="BC560" s="217" t="str">
        <f t="shared" si="104"/>
        <v/>
      </c>
      <c r="BD560" s="218"/>
      <c r="BE560" s="219"/>
      <c r="BF560" s="220"/>
      <c r="BG560" s="219"/>
      <c r="BH560" s="219"/>
      <c r="BI560" s="220"/>
      <c r="BJ560" s="218"/>
      <c r="BK560" s="219"/>
      <c r="BL560" s="197"/>
      <c r="BM560" s="215"/>
      <c r="BN560" s="221"/>
      <c r="BO560" s="222" t="str">
        <f t="shared" si="105"/>
        <v/>
      </c>
      <c r="BP560" s="217" t="str">
        <f t="shared" si="106"/>
        <v/>
      </c>
      <c r="BQ560" s="215"/>
      <c r="BR560" s="224"/>
      <c r="BS560" s="225"/>
      <c r="BT560" s="223"/>
      <c r="BU560" s="215"/>
      <c r="BV560" s="226"/>
      <c r="BW560" s="222" t="str">
        <f t="shared" si="107"/>
        <v/>
      </c>
      <c r="BX560" s="223" t="str">
        <f t="shared" si="108"/>
        <v/>
      </c>
      <c r="BY560" s="215"/>
      <c r="BZ560" s="227"/>
      <c r="CA560" s="227"/>
      <c r="CB560" s="228"/>
      <c r="CC560" s="229"/>
      <c r="CD560" s="230" t="str">
        <f t="shared" si="109"/>
        <v/>
      </c>
      <c r="CE560" s="231" t="str">
        <f t="shared" si="110"/>
        <v/>
      </c>
      <c r="CF560" s="232" t="str">
        <f t="shared" si="111"/>
        <v/>
      </c>
      <c r="CG560" s="233" t="str">
        <f t="shared" si="112"/>
        <v/>
      </c>
      <c r="CH560" s="207" t="str">
        <f>IF(OR(G560="",CC560= ""), "", IF(ISERROR(SMALL((CJ560,CN560,CV560), 1)-CC560), "",  SMALL((CJ560,CN560,CV560), 1)-CC560))</f>
        <v/>
      </c>
      <c r="CI560" s="234"/>
      <c r="CJ560" s="235"/>
      <c r="CK560" s="236"/>
      <c r="CL560" s="222" t="str">
        <f t="shared" si="113"/>
        <v/>
      </c>
      <c r="CM560" s="237" t="str">
        <f>IF(OR(G560="", CJ560="",CK560=""), "", IF(ISERROR(SMALL((CN560,CV560), 1)-CK560), "",  SMALL((CN560,CV560), 1)-CK560))</f>
        <v/>
      </c>
      <c r="CN560" s="235"/>
      <c r="CO560" s="236"/>
      <c r="CP560" s="224" t="str">
        <f t="shared" si="114"/>
        <v/>
      </c>
      <c r="CQ560" s="235"/>
      <c r="CR560" s="236"/>
      <c r="CS560" s="222" t="str">
        <f t="shared" si="115"/>
        <v/>
      </c>
      <c r="CT560" s="237" t="str">
        <f t="shared" si="116"/>
        <v/>
      </c>
      <c r="CU560" s="238"/>
      <c r="CV560" s="239"/>
      <c r="CW560" s="240"/>
    </row>
    <row r="561" spans="2:101" ht="16.5" customHeight="1">
      <c r="B561" s="122"/>
      <c r="E561" s="122"/>
      <c r="F561" s="194"/>
      <c r="G561" s="195"/>
      <c r="H561" s="195"/>
      <c r="I561" s="195"/>
      <c r="J561" s="196"/>
      <c r="K561" s="197"/>
      <c r="L561" s="198"/>
      <c r="M561" s="199"/>
      <c r="N561" s="200"/>
      <c r="O561" s="201"/>
      <c r="P561" s="201"/>
      <c r="Q561" s="201"/>
      <c r="R561" s="201"/>
      <c r="S561" s="201"/>
      <c r="T561" s="201"/>
      <c r="U561" s="201"/>
      <c r="V561" s="201"/>
      <c r="W561" s="201"/>
      <c r="X561" s="202"/>
      <c r="Y561" s="203"/>
      <c r="Z561" s="204"/>
      <c r="AA561" s="205"/>
      <c r="AB561" s="206"/>
      <c r="AC561" s="206"/>
      <c r="AD561" s="194"/>
      <c r="AE561" s="201"/>
      <c r="AF561" s="207"/>
      <c r="AG561" s="208"/>
      <c r="AH561" s="209"/>
      <c r="AI561" s="210"/>
      <c r="AJ561" s="197"/>
      <c r="AK561" s="201"/>
      <c r="AL561" s="196"/>
      <c r="AM561" s="201"/>
      <c r="AN561" s="201"/>
      <c r="AO561" s="201"/>
      <c r="AP561" s="211"/>
      <c r="AQ561" s="212"/>
      <c r="AR561" s="201"/>
      <c r="AS561" s="201"/>
      <c r="AT561" s="201"/>
      <c r="AU561" s="201"/>
      <c r="AV561" s="202"/>
      <c r="AW561" s="194"/>
      <c r="AX561" s="201"/>
      <c r="AY561" s="213"/>
      <c r="AZ561" s="214"/>
      <c r="BA561" s="215"/>
      <c r="BB561" s="216"/>
      <c r="BC561" s="217" t="str">
        <f t="shared" si="104"/>
        <v/>
      </c>
      <c r="BD561" s="218"/>
      <c r="BE561" s="219"/>
      <c r="BF561" s="220"/>
      <c r="BG561" s="219"/>
      <c r="BH561" s="219"/>
      <c r="BI561" s="220"/>
      <c r="BJ561" s="218"/>
      <c r="BK561" s="219"/>
      <c r="BL561" s="197"/>
      <c r="BM561" s="215"/>
      <c r="BN561" s="221"/>
      <c r="BO561" s="222" t="str">
        <f t="shared" si="105"/>
        <v/>
      </c>
      <c r="BP561" s="217" t="str">
        <f t="shared" si="106"/>
        <v/>
      </c>
      <c r="BQ561" s="215"/>
      <c r="BR561" s="224"/>
      <c r="BS561" s="225"/>
      <c r="BT561" s="223"/>
      <c r="BU561" s="215"/>
      <c r="BV561" s="226"/>
      <c r="BW561" s="222" t="str">
        <f t="shared" si="107"/>
        <v/>
      </c>
      <c r="BX561" s="223" t="str">
        <f t="shared" si="108"/>
        <v/>
      </c>
      <c r="BY561" s="215"/>
      <c r="BZ561" s="227"/>
      <c r="CA561" s="227"/>
      <c r="CB561" s="228"/>
      <c r="CC561" s="229"/>
      <c r="CD561" s="230" t="str">
        <f t="shared" si="109"/>
        <v/>
      </c>
      <c r="CE561" s="231" t="str">
        <f t="shared" si="110"/>
        <v/>
      </c>
      <c r="CF561" s="232" t="str">
        <f t="shared" si="111"/>
        <v/>
      </c>
      <c r="CG561" s="233" t="str">
        <f t="shared" si="112"/>
        <v/>
      </c>
      <c r="CH561" s="207" t="str">
        <f>IF(OR(G561="",CC561= ""), "", IF(ISERROR(SMALL((CJ561,CN561,CV561), 1)-CC561), "",  SMALL((CJ561,CN561,CV561), 1)-CC561))</f>
        <v/>
      </c>
      <c r="CI561" s="234"/>
      <c r="CJ561" s="235"/>
      <c r="CK561" s="236"/>
      <c r="CL561" s="222" t="str">
        <f t="shared" si="113"/>
        <v/>
      </c>
      <c r="CM561" s="237" t="str">
        <f>IF(OR(G561="", CJ561="",CK561=""), "", IF(ISERROR(SMALL((CN561,CV561), 1)-CK561), "",  SMALL((CN561,CV561), 1)-CK561))</f>
        <v/>
      </c>
      <c r="CN561" s="235"/>
      <c r="CO561" s="236"/>
      <c r="CP561" s="224" t="str">
        <f t="shared" si="114"/>
        <v/>
      </c>
      <c r="CQ561" s="235"/>
      <c r="CR561" s="236"/>
      <c r="CS561" s="222" t="str">
        <f t="shared" si="115"/>
        <v/>
      </c>
      <c r="CT561" s="237" t="str">
        <f t="shared" si="116"/>
        <v/>
      </c>
      <c r="CU561" s="238"/>
      <c r="CV561" s="239"/>
      <c r="CW561" s="240"/>
    </row>
    <row r="562" spans="2:101" ht="16.5" customHeight="1">
      <c r="B562" s="122"/>
      <c r="E562" s="122"/>
      <c r="F562" s="194"/>
      <c r="G562" s="195"/>
      <c r="H562" s="195"/>
      <c r="I562" s="195"/>
      <c r="J562" s="196"/>
      <c r="K562" s="197"/>
      <c r="L562" s="198"/>
      <c r="M562" s="199"/>
      <c r="N562" s="200"/>
      <c r="O562" s="201"/>
      <c r="P562" s="201"/>
      <c r="Q562" s="201"/>
      <c r="R562" s="201"/>
      <c r="S562" s="201"/>
      <c r="T562" s="201"/>
      <c r="U562" s="201"/>
      <c r="V562" s="201"/>
      <c r="W562" s="201"/>
      <c r="X562" s="202"/>
      <c r="Y562" s="203"/>
      <c r="Z562" s="204"/>
      <c r="AA562" s="205"/>
      <c r="AB562" s="206"/>
      <c r="AC562" s="206"/>
      <c r="AD562" s="194"/>
      <c r="AE562" s="201"/>
      <c r="AF562" s="207"/>
      <c r="AG562" s="208"/>
      <c r="AH562" s="209"/>
      <c r="AI562" s="210"/>
      <c r="AJ562" s="197"/>
      <c r="AK562" s="201"/>
      <c r="AL562" s="196"/>
      <c r="AM562" s="201"/>
      <c r="AN562" s="201"/>
      <c r="AO562" s="201"/>
      <c r="AP562" s="211"/>
      <c r="AQ562" s="212"/>
      <c r="AR562" s="201"/>
      <c r="AS562" s="201"/>
      <c r="AT562" s="201"/>
      <c r="AU562" s="201"/>
      <c r="AV562" s="202"/>
      <c r="AW562" s="194"/>
      <c r="AX562" s="201"/>
      <c r="AY562" s="213"/>
      <c r="AZ562" s="214"/>
      <c r="BA562" s="215"/>
      <c r="BB562" s="216"/>
      <c r="BC562" s="217" t="str">
        <f t="shared" si="104"/>
        <v/>
      </c>
      <c r="BD562" s="218"/>
      <c r="BE562" s="219"/>
      <c r="BF562" s="220"/>
      <c r="BG562" s="219"/>
      <c r="BH562" s="219"/>
      <c r="BI562" s="220"/>
      <c r="BJ562" s="218"/>
      <c r="BK562" s="219"/>
      <c r="BL562" s="197"/>
      <c r="BM562" s="215"/>
      <c r="BN562" s="221"/>
      <c r="BO562" s="222" t="str">
        <f t="shared" si="105"/>
        <v/>
      </c>
      <c r="BP562" s="217" t="str">
        <f t="shared" si="106"/>
        <v/>
      </c>
      <c r="BQ562" s="215"/>
      <c r="BR562" s="224"/>
      <c r="BS562" s="225"/>
      <c r="BT562" s="223"/>
      <c r="BU562" s="215"/>
      <c r="BV562" s="226"/>
      <c r="BW562" s="222" t="str">
        <f t="shared" si="107"/>
        <v/>
      </c>
      <c r="BX562" s="223" t="str">
        <f t="shared" si="108"/>
        <v/>
      </c>
      <c r="BY562" s="215"/>
      <c r="BZ562" s="227"/>
      <c r="CA562" s="227"/>
      <c r="CB562" s="228"/>
      <c r="CC562" s="229"/>
      <c r="CD562" s="230" t="str">
        <f t="shared" si="109"/>
        <v/>
      </c>
      <c r="CE562" s="231" t="str">
        <f t="shared" si="110"/>
        <v/>
      </c>
      <c r="CF562" s="232" t="str">
        <f t="shared" si="111"/>
        <v/>
      </c>
      <c r="CG562" s="233" t="str">
        <f t="shared" si="112"/>
        <v/>
      </c>
      <c r="CH562" s="207" t="str">
        <f>IF(OR(G562="",CC562= ""), "", IF(ISERROR(SMALL((CJ562,CN562,CV562), 1)-CC562), "",  SMALL((CJ562,CN562,CV562), 1)-CC562))</f>
        <v/>
      </c>
      <c r="CI562" s="234"/>
      <c r="CJ562" s="235"/>
      <c r="CK562" s="236"/>
      <c r="CL562" s="222" t="str">
        <f t="shared" si="113"/>
        <v/>
      </c>
      <c r="CM562" s="237" t="str">
        <f>IF(OR(G562="", CJ562="",CK562=""), "", IF(ISERROR(SMALL((CN562,CV562), 1)-CK562), "",  SMALL((CN562,CV562), 1)-CK562))</f>
        <v/>
      </c>
      <c r="CN562" s="235"/>
      <c r="CO562" s="236"/>
      <c r="CP562" s="224" t="str">
        <f t="shared" si="114"/>
        <v/>
      </c>
      <c r="CQ562" s="235"/>
      <c r="CR562" s="236"/>
      <c r="CS562" s="222" t="str">
        <f t="shared" si="115"/>
        <v/>
      </c>
      <c r="CT562" s="237" t="str">
        <f t="shared" si="116"/>
        <v/>
      </c>
      <c r="CU562" s="238"/>
      <c r="CV562" s="239"/>
      <c r="CW562" s="240"/>
    </row>
    <row r="563" spans="2:101" ht="16.5" customHeight="1">
      <c r="B563" s="122"/>
      <c r="E563" s="122"/>
      <c r="F563" s="194"/>
      <c r="G563" s="195"/>
      <c r="H563" s="195"/>
      <c r="I563" s="195"/>
      <c r="J563" s="196"/>
      <c r="K563" s="197"/>
      <c r="L563" s="198"/>
      <c r="M563" s="199"/>
      <c r="N563" s="200"/>
      <c r="O563" s="201"/>
      <c r="P563" s="201"/>
      <c r="Q563" s="201"/>
      <c r="R563" s="201"/>
      <c r="S563" s="201"/>
      <c r="T563" s="201"/>
      <c r="U563" s="201"/>
      <c r="V563" s="201"/>
      <c r="W563" s="201"/>
      <c r="X563" s="202"/>
      <c r="Y563" s="203"/>
      <c r="Z563" s="204"/>
      <c r="AA563" s="205"/>
      <c r="AB563" s="206"/>
      <c r="AC563" s="206"/>
      <c r="AD563" s="194"/>
      <c r="AE563" s="201"/>
      <c r="AF563" s="207"/>
      <c r="AG563" s="208"/>
      <c r="AH563" s="209"/>
      <c r="AI563" s="210"/>
      <c r="AJ563" s="197"/>
      <c r="AK563" s="201"/>
      <c r="AL563" s="196"/>
      <c r="AM563" s="201"/>
      <c r="AN563" s="201"/>
      <c r="AO563" s="201"/>
      <c r="AP563" s="211"/>
      <c r="AQ563" s="212"/>
      <c r="AR563" s="201"/>
      <c r="AS563" s="201"/>
      <c r="AT563" s="201"/>
      <c r="AU563" s="201"/>
      <c r="AV563" s="202"/>
      <c r="AW563" s="194"/>
      <c r="AX563" s="201"/>
      <c r="AY563" s="213"/>
      <c r="AZ563" s="214"/>
      <c r="BA563" s="215"/>
      <c r="BB563" s="216"/>
      <c r="BC563" s="217" t="str">
        <f t="shared" si="104"/>
        <v/>
      </c>
      <c r="BD563" s="218"/>
      <c r="BE563" s="219"/>
      <c r="BF563" s="220"/>
      <c r="BG563" s="219"/>
      <c r="BH563" s="219"/>
      <c r="BI563" s="220"/>
      <c r="BJ563" s="218"/>
      <c r="BK563" s="219"/>
      <c r="BL563" s="197"/>
      <c r="BM563" s="215"/>
      <c r="BN563" s="221"/>
      <c r="BO563" s="222" t="str">
        <f t="shared" si="105"/>
        <v/>
      </c>
      <c r="BP563" s="217" t="str">
        <f t="shared" si="106"/>
        <v/>
      </c>
      <c r="BQ563" s="215"/>
      <c r="BR563" s="224"/>
      <c r="BS563" s="225"/>
      <c r="BT563" s="223"/>
      <c r="BU563" s="215"/>
      <c r="BV563" s="226"/>
      <c r="BW563" s="222" t="str">
        <f t="shared" si="107"/>
        <v/>
      </c>
      <c r="BX563" s="223" t="str">
        <f t="shared" si="108"/>
        <v/>
      </c>
      <c r="BY563" s="215"/>
      <c r="BZ563" s="227"/>
      <c r="CA563" s="227"/>
      <c r="CB563" s="228"/>
      <c r="CC563" s="229"/>
      <c r="CD563" s="230" t="str">
        <f t="shared" si="109"/>
        <v/>
      </c>
      <c r="CE563" s="231" t="str">
        <f t="shared" si="110"/>
        <v/>
      </c>
      <c r="CF563" s="232" t="str">
        <f t="shared" si="111"/>
        <v/>
      </c>
      <c r="CG563" s="233" t="str">
        <f t="shared" si="112"/>
        <v/>
      </c>
      <c r="CH563" s="207" t="str">
        <f>IF(OR(G563="",CC563= ""), "", IF(ISERROR(SMALL((CJ563,CN563,CV563), 1)-CC563), "",  SMALL((CJ563,CN563,CV563), 1)-CC563))</f>
        <v/>
      </c>
      <c r="CI563" s="234"/>
      <c r="CJ563" s="235"/>
      <c r="CK563" s="236"/>
      <c r="CL563" s="222" t="str">
        <f t="shared" si="113"/>
        <v/>
      </c>
      <c r="CM563" s="237" t="str">
        <f>IF(OR(G563="", CJ563="",CK563=""), "", IF(ISERROR(SMALL((CN563,CV563), 1)-CK563), "",  SMALL((CN563,CV563), 1)-CK563))</f>
        <v/>
      </c>
      <c r="CN563" s="235"/>
      <c r="CO563" s="236"/>
      <c r="CP563" s="224" t="str">
        <f t="shared" si="114"/>
        <v/>
      </c>
      <c r="CQ563" s="235"/>
      <c r="CR563" s="236"/>
      <c r="CS563" s="222" t="str">
        <f t="shared" si="115"/>
        <v/>
      </c>
      <c r="CT563" s="237" t="str">
        <f t="shared" si="116"/>
        <v/>
      </c>
      <c r="CU563" s="238"/>
      <c r="CV563" s="239"/>
      <c r="CW563" s="240"/>
    </row>
    <row r="564" spans="2:101" ht="16.5" customHeight="1">
      <c r="B564" s="122"/>
      <c r="E564" s="122"/>
      <c r="F564" s="194"/>
      <c r="G564" s="195"/>
      <c r="H564" s="195"/>
      <c r="I564" s="195"/>
      <c r="J564" s="196"/>
      <c r="K564" s="197"/>
      <c r="L564" s="198"/>
      <c r="M564" s="199"/>
      <c r="N564" s="200"/>
      <c r="O564" s="201"/>
      <c r="P564" s="201"/>
      <c r="Q564" s="201"/>
      <c r="R564" s="201"/>
      <c r="S564" s="201"/>
      <c r="T564" s="201"/>
      <c r="U564" s="201"/>
      <c r="V564" s="201"/>
      <c r="W564" s="201"/>
      <c r="X564" s="202"/>
      <c r="Y564" s="203"/>
      <c r="Z564" s="204"/>
      <c r="AA564" s="205"/>
      <c r="AB564" s="206"/>
      <c r="AC564" s="206"/>
      <c r="AD564" s="194"/>
      <c r="AE564" s="201"/>
      <c r="AF564" s="207"/>
      <c r="AG564" s="208"/>
      <c r="AH564" s="209"/>
      <c r="AI564" s="210"/>
      <c r="AJ564" s="197"/>
      <c r="AK564" s="201"/>
      <c r="AL564" s="196"/>
      <c r="AM564" s="201"/>
      <c r="AN564" s="201"/>
      <c r="AO564" s="201"/>
      <c r="AP564" s="211"/>
      <c r="AQ564" s="212"/>
      <c r="AR564" s="201"/>
      <c r="AS564" s="201"/>
      <c r="AT564" s="201"/>
      <c r="AU564" s="201"/>
      <c r="AV564" s="202"/>
      <c r="AW564" s="194"/>
      <c r="AX564" s="201"/>
      <c r="AY564" s="213"/>
      <c r="AZ564" s="214"/>
      <c r="BA564" s="215"/>
      <c r="BB564" s="216"/>
      <c r="BC564" s="217" t="str">
        <f t="shared" si="104"/>
        <v/>
      </c>
      <c r="BD564" s="218"/>
      <c r="BE564" s="219"/>
      <c r="BF564" s="220"/>
      <c r="BG564" s="219"/>
      <c r="BH564" s="219"/>
      <c r="BI564" s="220"/>
      <c r="BJ564" s="218"/>
      <c r="BK564" s="219"/>
      <c r="BL564" s="197"/>
      <c r="BM564" s="215"/>
      <c r="BN564" s="221"/>
      <c r="BO564" s="222" t="str">
        <f t="shared" si="105"/>
        <v/>
      </c>
      <c r="BP564" s="217" t="str">
        <f t="shared" si="106"/>
        <v/>
      </c>
      <c r="BQ564" s="215"/>
      <c r="BR564" s="224"/>
      <c r="BS564" s="225"/>
      <c r="BT564" s="223"/>
      <c r="BU564" s="215"/>
      <c r="BV564" s="226"/>
      <c r="BW564" s="222" t="str">
        <f t="shared" si="107"/>
        <v/>
      </c>
      <c r="BX564" s="223" t="str">
        <f t="shared" si="108"/>
        <v/>
      </c>
      <c r="BY564" s="215"/>
      <c r="BZ564" s="227"/>
      <c r="CA564" s="227"/>
      <c r="CB564" s="228"/>
      <c r="CC564" s="229"/>
      <c r="CD564" s="230" t="str">
        <f t="shared" si="109"/>
        <v/>
      </c>
      <c r="CE564" s="231" t="str">
        <f t="shared" si="110"/>
        <v/>
      </c>
      <c r="CF564" s="232" t="str">
        <f t="shared" si="111"/>
        <v/>
      </c>
      <c r="CG564" s="233" t="str">
        <f t="shared" si="112"/>
        <v/>
      </c>
      <c r="CH564" s="207" t="str">
        <f>IF(OR(G564="",CC564= ""), "", IF(ISERROR(SMALL((CJ564,CN564,CV564), 1)-CC564), "",  SMALL((CJ564,CN564,CV564), 1)-CC564))</f>
        <v/>
      </c>
      <c r="CI564" s="234"/>
      <c r="CJ564" s="235"/>
      <c r="CK564" s="236"/>
      <c r="CL564" s="222" t="str">
        <f t="shared" si="113"/>
        <v/>
      </c>
      <c r="CM564" s="237" t="str">
        <f>IF(OR(G564="", CJ564="",CK564=""), "", IF(ISERROR(SMALL((CN564,CV564), 1)-CK564), "",  SMALL((CN564,CV564), 1)-CK564))</f>
        <v/>
      </c>
      <c r="CN564" s="235"/>
      <c r="CO564" s="236"/>
      <c r="CP564" s="224" t="str">
        <f t="shared" si="114"/>
        <v/>
      </c>
      <c r="CQ564" s="235"/>
      <c r="CR564" s="236"/>
      <c r="CS564" s="222" t="str">
        <f t="shared" si="115"/>
        <v/>
      </c>
      <c r="CT564" s="237" t="str">
        <f t="shared" si="116"/>
        <v/>
      </c>
      <c r="CU564" s="238"/>
      <c r="CV564" s="239"/>
      <c r="CW564" s="240"/>
    </row>
    <row r="565" spans="2:101" ht="16.5" customHeight="1">
      <c r="B565" s="122"/>
      <c r="E565" s="122"/>
      <c r="F565" s="194"/>
      <c r="G565" s="195"/>
      <c r="H565" s="195"/>
      <c r="I565" s="195"/>
      <c r="J565" s="196"/>
      <c r="K565" s="197"/>
      <c r="L565" s="198"/>
      <c r="M565" s="199"/>
      <c r="N565" s="200"/>
      <c r="O565" s="201"/>
      <c r="P565" s="201"/>
      <c r="Q565" s="201"/>
      <c r="R565" s="201"/>
      <c r="S565" s="201"/>
      <c r="T565" s="201"/>
      <c r="U565" s="201"/>
      <c r="V565" s="201"/>
      <c r="W565" s="201"/>
      <c r="X565" s="202"/>
      <c r="Y565" s="203"/>
      <c r="Z565" s="204"/>
      <c r="AA565" s="205"/>
      <c r="AB565" s="206"/>
      <c r="AC565" s="206"/>
      <c r="AD565" s="194"/>
      <c r="AE565" s="201"/>
      <c r="AF565" s="207"/>
      <c r="AG565" s="208"/>
      <c r="AH565" s="209"/>
      <c r="AI565" s="210"/>
      <c r="AJ565" s="197"/>
      <c r="AK565" s="201"/>
      <c r="AL565" s="196"/>
      <c r="AM565" s="201"/>
      <c r="AN565" s="201"/>
      <c r="AO565" s="201"/>
      <c r="AP565" s="211"/>
      <c r="AQ565" s="212"/>
      <c r="AR565" s="201"/>
      <c r="AS565" s="201"/>
      <c r="AT565" s="201"/>
      <c r="AU565" s="201"/>
      <c r="AV565" s="202"/>
      <c r="AW565" s="194"/>
      <c r="AX565" s="201"/>
      <c r="AY565" s="213"/>
      <c r="AZ565" s="214"/>
      <c r="BA565" s="215"/>
      <c r="BB565" s="216"/>
      <c r="BC565" s="217" t="str">
        <f t="shared" si="104"/>
        <v/>
      </c>
      <c r="BD565" s="218"/>
      <c r="BE565" s="219"/>
      <c r="BF565" s="220"/>
      <c r="BG565" s="219"/>
      <c r="BH565" s="219"/>
      <c r="BI565" s="220"/>
      <c r="BJ565" s="218"/>
      <c r="BK565" s="219"/>
      <c r="BL565" s="197"/>
      <c r="BM565" s="215"/>
      <c r="BN565" s="221"/>
      <c r="BO565" s="222" t="str">
        <f t="shared" si="105"/>
        <v/>
      </c>
      <c r="BP565" s="217" t="str">
        <f t="shared" si="106"/>
        <v/>
      </c>
      <c r="BQ565" s="215"/>
      <c r="BR565" s="224"/>
      <c r="BS565" s="225"/>
      <c r="BT565" s="223"/>
      <c r="BU565" s="215"/>
      <c r="BV565" s="226"/>
      <c r="BW565" s="222" t="str">
        <f t="shared" si="107"/>
        <v/>
      </c>
      <c r="BX565" s="223" t="str">
        <f t="shared" si="108"/>
        <v/>
      </c>
      <c r="BY565" s="215"/>
      <c r="BZ565" s="227"/>
      <c r="CA565" s="227"/>
      <c r="CB565" s="228"/>
      <c r="CC565" s="229"/>
      <c r="CD565" s="230" t="str">
        <f t="shared" si="109"/>
        <v/>
      </c>
      <c r="CE565" s="231" t="str">
        <f t="shared" si="110"/>
        <v/>
      </c>
      <c r="CF565" s="232" t="str">
        <f t="shared" si="111"/>
        <v/>
      </c>
      <c r="CG565" s="233" t="str">
        <f t="shared" si="112"/>
        <v/>
      </c>
      <c r="CH565" s="207" t="str">
        <f>IF(OR(G565="",CC565= ""), "", IF(ISERROR(SMALL((CJ565,CN565,CV565), 1)-CC565), "",  SMALL((CJ565,CN565,CV565), 1)-CC565))</f>
        <v/>
      </c>
      <c r="CI565" s="234"/>
      <c r="CJ565" s="235"/>
      <c r="CK565" s="236"/>
      <c r="CL565" s="222" t="str">
        <f t="shared" si="113"/>
        <v/>
      </c>
      <c r="CM565" s="237" t="str">
        <f>IF(OR(G565="", CJ565="",CK565=""), "", IF(ISERROR(SMALL((CN565,CV565), 1)-CK565), "",  SMALL((CN565,CV565), 1)-CK565))</f>
        <v/>
      </c>
      <c r="CN565" s="235"/>
      <c r="CO565" s="236"/>
      <c r="CP565" s="224" t="str">
        <f t="shared" si="114"/>
        <v/>
      </c>
      <c r="CQ565" s="235"/>
      <c r="CR565" s="236"/>
      <c r="CS565" s="222" t="str">
        <f t="shared" si="115"/>
        <v/>
      </c>
      <c r="CT565" s="237" t="str">
        <f t="shared" si="116"/>
        <v/>
      </c>
      <c r="CU565" s="238"/>
      <c r="CV565" s="239"/>
      <c r="CW565" s="240"/>
    </row>
    <row r="566" spans="2:101" ht="16.5" customHeight="1">
      <c r="B566" s="122"/>
      <c r="E566" s="122"/>
      <c r="F566" s="194"/>
      <c r="G566" s="195"/>
      <c r="H566" s="195"/>
      <c r="I566" s="195"/>
      <c r="J566" s="196"/>
      <c r="K566" s="197"/>
      <c r="L566" s="198"/>
      <c r="M566" s="199"/>
      <c r="N566" s="200"/>
      <c r="O566" s="201"/>
      <c r="P566" s="201"/>
      <c r="Q566" s="201"/>
      <c r="R566" s="201"/>
      <c r="S566" s="201"/>
      <c r="T566" s="201"/>
      <c r="U566" s="201"/>
      <c r="V566" s="201"/>
      <c r="W566" s="201"/>
      <c r="X566" s="202"/>
      <c r="Y566" s="203"/>
      <c r="Z566" s="204"/>
      <c r="AA566" s="205"/>
      <c r="AB566" s="206"/>
      <c r="AC566" s="206"/>
      <c r="AD566" s="194"/>
      <c r="AE566" s="201"/>
      <c r="AF566" s="207"/>
      <c r="AG566" s="208"/>
      <c r="AH566" s="209"/>
      <c r="AI566" s="210"/>
      <c r="AJ566" s="197"/>
      <c r="AK566" s="201"/>
      <c r="AL566" s="196"/>
      <c r="AM566" s="201"/>
      <c r="AN566" s="201"/>
      <c r="AO566" s="201"/>
      <c r="AP566" s="211"/>
      <c r="AQ566" s="212"/>
      <c r="AR566" s="201"/>
      <c r="AS566" s="201"/>
      <c r="AT566" s="201"/>
      <c r="AU566" s="201"/>
      <c r="AV566" s="202"/>
      <c r="AW566" s="194"/>
      <c r="AX566" s="201"/>
      <c r="AY566" s="213"/>
      <c r="AZ566" s="214"/>
      <c r="BA566" s="215"/>
      <c r="BB566" s="216"/>
      <c r="BC566" s="217" t="str">
        <f t="shared" si="104"/>
        <v/>
      </c>
      <c r="BD566" s="218"/>
      <c r="BE566" s="219"/>
      <c r="BF566" s="220"/>
      <c r="BG566" s="219"/>
      <c r="BH566" s="219"/>
      <c r="BI566" s="220"/>
      <c r="BJ566" s="218"/>
      <c r="BK566" s="219"/>
      <c r="BL566" s="197"/>
      <c r="BM566" s="215"/>
      <c r="BN566" s="221"/>
      <c r="BO566" s="222" t="str">
        <f t="shared" si="105"/>
        <v/>
      </c>
      <c r="BP566" s="217" t="str">
        <f t="shared" si="106"/>
        <v/>
      </c>
      <c r="BQ566" s="215"/>
      <c r="BR566" s="224"/>
      <c r="BS566" s="225"/>
      <c r="BT566" s="223"/>
      <c r="BU566" s="215"/>
      <c r="BV566" s="226"/>
      <c r="BW566" s="222" t="str">
        <f t="shared" si="107"/>
        <v/>
      </c>
      <c r="BX566" s="223" t="str">
        <f t="shared" si="108"/>
        <v/>
      </c>
      <c r="BY566" s="215"/>
      <c r="BZ566" s="227"/>
      <c r="CA566" s="227"/>
      <c r="CB566" s="228"/>
      <c r="CC566" s="229"/>
      <c r="CD566" s="230" t="str">
        <f t="shared" si="109"/>
        <v/>
      </c>
      <c r="CE566" s="231" t="str">
        <f t="shared" si="110"/>
        <v/>
      </c>
      <c r="CF566" s="232" t="str">
        <f t="shared" si="111"/>
        <v/>
      </c>
      <c r="CG566" s="233" t="str">
        <f t="shared" si="112"/>
        <v/>
      </c>
      <c r="CH566" s="207" t="str">
        <f>IF(OR(G566="",CC566= ""), "", IF(ISERROR(SMALL((CJ566,CN566,CV566), 1)-CC566), "",  SMALL((CJ566,CN566,CV566), 1)-CC566))</f>
        <v/>
      </c>
      <c r="CI566" s="234"/>
      <c r="CJ566" s="235"/>
      <c r="CK566" s="236"/>
      <c r="CL566" s="222" t="str">
        <f t="shared" si="113"/>
        <v/>
      </c>
      <c r="CM566" s="237" t="str">
        <f>IF(OR(G566="", CJ566="",CK566=""), "", IF(ISERROR(SMALL((CN566,CV566), 1)-CK566), "",  SMALL((CN566,CV566), 1)-CK566))</f>
        <v/>
      </c>
      <c r="CN566" s="235"/>
      <c r="CO566" s="236"/>
      <c r="CP566" s="224" t="str">
        <f t="shared" si="114"/>
        <v/>
      </c>
      <c r="CQ566" s="235"/>
      <c r="CR566" s="236"/>
      <c r="CS566" s="222" t="str">
        <f t="shared" si="115"/>
        <v/>
      </c>
      <c r="CT566" s="237" t="str">
        <f t="shared" si="116"/>
        <v/>
      </c>
      <c r="CU566" s="238"/>
      <c r="CV566" s="239"/>
      <c r="CW566" s="240"/>
    </row>
    <row r="567" spans="2:101" ht="16.5" customHeight="1">
      <c r="B567" s="122"/>
      <c r="E567" s="122"/>
      <c r="F567" s="194"/>
      <c r="G567" s="195"/>
      <c r="H567" s="195"/>
      <c r="I567" s="195"/>
      <c r="J567" s="196"/>
      <c r="K567" s="197"/>
      <c r="L567" s="198"/>
      <c r="M567" s="199"/>
      <c r="N567" s="200"/>
      <c r="O567" s="201"/>
      <c r="P567" s="201"/>
      <c r="Q567" s="201"/>
      <c r="R567" s="201"/>
      <c r="S567" s="201"/>
      <c r="T567" s="201"/>
      <c r="U567" s="201"/>
      <c r="V567" s="201"/>
      <c r="W567" s="201"/>
      <c r="X567" s="202"/>
      <c r="Y567" s="203"/>
      <c r="Z567" s="204"/>
      <c r="AA567" s="205"/>
      <c r="AB567" s="206"/>
      <c r="AC567" s="206"/>
      <c r="AD567" s="194"/>
      <c r="AE567" s="201"/>
      <c r="AF567" s="207"/>
      <c r="AG567" s="208"/>
      <c r="AH567" s="209"/>
      <c r="AI567" s="210"/>
      <c r="AJ567" s="197"/>
      <c r="AK567" s="201"/>
      <c r="AL567" s="196"/>
      <c r="AM567" s="201"/>
      <c r="AN567" s="201"/>
      <c r="AO567" s="201"/>
      <c r="AP567" s="211"/>
      <c r="AQ567" s="212"/>
      <c r="AR567" s="201"/>
      <c r="AS567" s="201"/>
      <c r="AT567" s="201"/>
      <c r="AU567" s="201"/>
      <c r="AV567" s="202"/>
      <c r="AW567" s="194"/>
      <c r="AX567" s="201"/>
      <c r="AY567" s="213"/>
      <c r="AZ567" s="214"/>
      <c r="BA567" s="215"/>
      <c r="BB567" s="216"/>
      <c r="BC567" s="217" t="str">
        <f t="shared" si="104"/>
        <v/>
      </c>
      <c r="BD567" s="218"/>
      <c r="BE567" s="219"/>
      <c r="BF567" s="220"/>
      <c r="BG567" s="219"/>
      <c r="BH567" s="219"/>
      <c r="BI567" s="220"/>
      <c r="BJ567" s="218"/>
      <c r="BK567" s="219"/>
      <c r="BL567" s="197"/>
      <c r="BM567" s="215"/>
      <c r="BN567" s="221"/>
      <c r="BO567" s="222" t="str">
        <f t="shared" si="105"/>
        <v/>
      </c>
      <c r="BP567" s="217" t="str">
        <f t="shared" si="106"/>
        <v/>
      </c>
      <c r="BQ567" s="215"/>
      <c r="BR567" s="224"/>
      <c r="BS567" s="225"/>
      <c r="BT567" s="223"/>
      <c r="BU567" s="215"/>
      <c r="BV567" s="226"/>
      <c r="BW567" s="222" t="str">
        <f t="shared" si="107"/>
        <v/>
      </c>
      <c r="BX567" s="223" t="str">
        <f t="shared" si="108"/>
        <v/>
      </c>
      <c r="BY567" s="215"/>
      <c r="BZ567" s="227"/>
      <c r="CA567" s="227"/>
      <c r="CB567" s="228"/>
      <c r="CC567" s="229"/>
      <c r="CD567" s="230" t="str">
        <f t="shared" si="109"/>
        <v/>
      </c>
      <c r="CE567" s="231" t="str">
        <f t="shared" si="110"/>
        <v/>
      </c>
      <c r="CF567" s="232" t="str">
        <f t="shared" si="111"/>
        <v/>
      </c>
      <c r="CG567" s="233" t="str">
        <f t="shared" si="112"/>
        <v/>
      </c>
      <c r="CH567" s="207" t="str">
        <f>IF(OR(G567="",CC567= ""), "", IF(ISERROR(SMALL((CJ567,CN567,CV567), 1)-CC567), "",  SMALL((CJ567,CN567,CV567), 1)-CC567))</f>
        <v/>
      </c>
      <c r="CI567" s="234"/>
      <c r="CJ567" s="235"/>
      <c r="CK567" s="236"/>
      <c r="CL567" s="222" t="str">
        <f t="shared" si="113"/>
        <v/>
      </c>
      <c r="CM567" s="237" t="str">
        <f>IF(OR(G567="", CJ567="",CK567=""), "", IF(ISERROR(SMALL((CN567,CV567), 1)-CK567), "",  SMALL((CN567,CV567), 1)-CK567))</f>
        <v/>
      </c>
      <c r="CN567" s="235"/>
      <c r="CO567" s="236"/>
      <c r="CP567" s="224" t="str">
        <f t="shared" si="114"/>
        <v/>
      </c>
      <c r="CQ567" s="235"/>
      <c r="CR567" s="236"/>
      <c r="CS567" s="222" t="str">
        <f t="shared" si="115"/>
        <v/>
      </c>
      <c r="CT567" s="237" t="str">
        <f t="shared" si="116"/>
        <v/>
      </c>
      <c r="CU567" s="238"/>
      <c r="CV567" s="239"/>
      <c r="CW567" s="240"/>
    </row>
    <row r="568" spans="2:101" ht="16.5" customHeight="1">
      <c r="B568" s="122"/>
      <c r="E568" s="122"/>
      <c r="F568" s="194"/>
      <c r="G568" s="195"/>
      <c r="H568" s="195"/>
      <c r="I568" s="195"/>
      <c r="J568" s="196"/>
      <c r="K568" s="197"/>
      <c r="L568" s="198"/>
      <c r="M568" s="199"/>
      <c r="N568" s="200"/>
      <c r="O568" s="201"/>
      <c r="P568" s="201"/>
      <c r="Q568" s="201"/>
      <c r="R568" s="201"/>
      <c r="S568" s="201"/>
      <c r="T568" s="201"/>
      <c r="U568" s="201"/>
      <c r="V568" s="201"/>
      <c r="W568" s="201"/>
      <c r="X568" s="202"/>
      <c r="Y568" s="203"/>
      <c r="Z568" s="204"/>
      <c r="AA568" s="205"/>
      <c r="AB568" s="206"/>
      <c r="AC568" s="206"/>
      <c r="AD568" s="194"/>
      <c r="AE568" s="201"/>
      <c r="AF568" s="207"/>
      <c r="AG568" s="208"/>
      <c r="AH568" s="209"/>
      <c r="AI568" s="210"/>
      <c r="AJ568" s="197"/>
      <c r="AK568" s="201"/>
      <c r="AL568" s="196"/>
      <c r="AM568" s="201"/>
      <c r="AN568" s="201"/>
      <c r="AO568" s="201"/>
      <c r="AP568" s="211"/>
      <c r="AQ568" s="212"/>
      <c r="AR568" s="201"/>
      <c r="AS568" s="201"/>
      <c r="AT568" s="201"/>
      <c r="AU568" s="201"/>
      <c r="AV568" s="202"/>
      <c r="AW568" s="194"/>
      <c r="AX568" s="201"/>
      <c r="AY568" s="213"/>
      <c r="AZ568" s="214"/>
      <c r="BA568" s="215"/>
      <c r="BB568" s="216"/>
      <c r="BC568" s="217" t="str">
        <f t="shared" si="104"/>
        <v/>
      </c>
      <c r="BD568" s="218"/>
      <c r="BE568" s="219"/>
      <c r="BF568" s="220"/>
      <c r="BG568" s="219"/>
      <c r="BH568" s="219"/>
      <c r="BI568" s="220"/>
      <c r="BJ568" s="218"/>
      <c r="BK568" s="219"/>
      <c r="BL568" s="197"/>
      <c r="BM568" s="215"/>
      <c r="BN568" s="221"/>
      <c r="BO568" s="222" t="str">
        <f t="shared" si="105"/>
        <v/>
      </c>
      <c r="BP568" s="217" t="str">
        <f t="shared" si="106"/>
        <v/>
      </c>
      <c r="BQ568" s="215"/>
      <c r="BR568" s="224"/>
      <c r="BS568" s="225"/>
      <c r="BT568" s="223"/>
      <c r="BU568" s="215"/>
      <c r="BV568" s="226"/>
      <c r="BW568" s="222" t="str">
        <f t="shared" si="107"/>
        <v/>
      </c>
      <c r="BX568" s="223" t="str">
        <f t="shared" si="108"/>
        <v/>
      </c>
      <c r="BY568" s="215"/>
      <c r="BZ568" s="227"/>
      <c r="CA568" s="227"/>
      <c r="CB568" s="228"/>
      <c r="CC568" s="229"/>
      <c r="CD568" s="230" t="str">
        <f t="shared" si="109"/>
        <v/>
      </c>
      <c r="CE568" s="231" t="str">
        <f t="shared" si="110"/>
        <v/>
      </c>
      <c r="CF568" s="232" t="str">
        <f t="shared" si="111"/>
        <v/>
      </c>
      <c r="CG568" s="233" t="str">
        <f t="shared" si="112"/>
        <v/>
      </c>
      <c r="CH568" s="207" t="str">
        <f>IF(OR(G568="",CC568= ""), "", IF(ISERROR(SMALL((CJ568,CN568,CV568), 1)-CC568), "",  SMALL((CJ568,CN568,CV568), 1)-CC568))</f>
        <v/>
      </c>
      <c r="CI568" s="234"/>
      <c r="CJ568" s="235"/>
      <c r="CK568" s="236"/>
      <c r="CL568" s="222" t="str">
        <f t="shared" si="113"/>
        <v/>
      </c>
      <c r="CM568" s="237" t="str">
        <f>IF(OR(G568="", CJ568="",CK568=""), "", IF(ISERROR(SMALL((CN568,CV568), 1)-CK568), "",  SMALL((CN568,CV568), 1)-CK568))</f>
        <v/>
      </c>
      <c r="CN568" s="235"/>
      <c r="CO568" s="236"/>
      <c r="CP568" s="224" t="str">
        <f t="shared" si="114"/>
        <v/>
      </c>
      <c r="CQ568" s="235"/>
      <c r="CR568" s="236"/>
      <c r="CS568" s="222" t="str">
        <f t="shared" si="115"/>
        <v/>
      </c>
      <c r="CT568" s="237" t="str">
        <f t="shared" si="116"/>
        <v/>
      </c>
      <c r="CU568" s="238"/>
      <c r="CV568" s="239"/>
      <c r="CW568" s="240"/>
    </row>
    <row r="569" spans="2:101" ht="16.5" customHeight="1">
      <c r="B569" s="122"/>
      <c r="E569" s="122"/>
      <c r="F569" s="194"/>
      <c r="G569" s="195"/>
      <c r="H569" s="195"/>
      <c r="I569" s="195"/>
      <c r="J569" s="196"/>
      <c r="K569" s="197"/>
      <c r="L569" s="198"/>
      <c r="M569" s="199"/>
      <c r="N569" s="200"/>
      <c r="O569" s="201"/>
      <c r="P569" s="201"/>
      <c r="Q569" s="201"/>
      <c r="R569" s="201"/>
      <c r="S569" s="201"/>
      <c r="T569" s="201"/>
      <c r="U569" s="201"/>
      <c r="V569" s="201"/>
      <c r="W569" s="201"/>
      <c r="X569" s="202"/>
      <c r="Y569" s="203"/>
      <c r="Z569" s="204"/>
      <c r="AA569" s="205"/>
      <c r="AB569" s="206"/>
      <c r="AC569" s="206"/>
      <c r="AD569" s="194"/>
      <c r="AE569" s="201"/>
      <c r="AF569" s="207"/>
      <c r="AG569" s="208"/>
      <c r="AH569" s="209"/>
      <c r="AI569" s="210"/>
      <c r="AJ569" s="197"/>
      <c r="AK569" s="201"/>
      <c r="AL569" s="196"/>
      <c r="AM569" s="201"/>
      <c r="AN569" s="201"/>
      <c r="AO569" s="201"/>
      <c r="AP569" s="211"/>
      <c r="AQ569" s="212"/>
      <c r="AR569" s="201"/>
      <c r="AS569" s="201"/>
      <c r="AT569" s="201"/>
      <c r="AU569" s="201"/>
      <c r="AV569" s="202"/>
      <c r="AW569" s="194"/>
      <c r="AX569" s="201"/>
      <c r="AY569" s="213"/>
      <c r="AZ569" s="214"/>
      <c r="BA569" s="215"/>
      <c r="BB569" s="216"/>
      <c r="BC569" s="217" t="str">
        <f t="shared" si="104"/>
        <v/>
      </c>
      <c r="BD569" s="218"/>
      <c r="BE569" s="219"/>
      <c r="BF569" s="220"/>
      <c r="BG569" s="219"/>
      <c r="BH569" s="219"/>
      <c r="BI569" s="220"/>
      <c r="BJ569" s="218"/>
      <c r="BK569" s="219"/>
      <c r="BL569" s="197"/>
      <c r="BM569" s="215"/>
      <c r="BN569" s="221"/>
      <c r="BO569" s="222" t="str">
        <f t="shared" si="105"/>
        <v/>
      </c>
      <c r="BP569" s="217" t="str">
        <f t="shared" si="106"/>
        <v/>
      </c>
      <c r="BQ569" s="215"/>
      <c r="BR569" s="224"/>
      <c r="BS569" s="225"/>
      <c r="BT569" s="223"/>
      <c r="BU569" s="215"/>
      <c r="BV569" s="226"/>
      <c r="BW569" s="222" t="str">
        <f t="shared" si="107"/>
        <v/>
      </c>
      <c r="BX569" s="223" t="str">
        <f t="shared" si="108"/>
        <v/>
      </c>
      <c r="BY569" s="215"/>
      <c r="BZ569" s="227"/>
      <c r="CA569" s="227"/>
      <c r="CB569" s="228"/>
      <c r="CC569" s="229"/>
      <c r="CD569" s="230" t="str">
        <f t="shared" si="109"/>
        <v/>
      </c>
      <c r="CE569" s="231" t="str">
        <f t="shared" si="110"/>
        <v/>
      </c>
      <c r="CF569" s="232" t="str">
        <f t="shared" si="111"/>
        <v/>
      </c>
      <c r="CG569" s="233" t="str">
        <f t="shared" si="112"/>
        <v/>
      </c>
      <c r="CH569" s="207" t="str">
        <f>IF(OR(G569="",CC569= ""), "", IF(ISERROR(SMALL((CJ569,CN569,CV569), 1)-CC569), "",  SMALL((CJ569,CN569,CV569), 1)-CC569))</f>
        <v/>
      </c>
      <c r="CI569" s="234"/>
      <c r="CJ569" s="235"/>
      <c r="CK569" s="236"/>
      <c r="CL569" s="222" t="str">
        <f t="shared" si="113"/>
        <v/>
      </c>
      <c r="CM569" s="237" t="str">
        <f>IF(OR(G569="", CJ569="",CK569=""), "", IF(ISERROR(SMALL((CN569,CV569), 1)-CK569), "",  SMALL((CN569,CV569), 1)-CK569))</f>
        <v/>
      </c>
      <c r="CN569" s="235"/>
      <c r="CO569" s="236"/>
      <c r="CP569" s="224" t="str">
        <f t="shared" si="114"/>
        <v/>
      </c>
      <c r="CQ569" s="235"/>
      <c r="CR569" s="236"/>
      <c r="CS569" s="222" t="str">
        <f t="shared" si="115"/>
        <v/>
      </c>
      <c r="CT569" s="237" t="str">
        <f t="shared" si="116"/>
        <v/>
      </c>
      <c r="CU569" s="238"/>
      <c r="CV569" s="239"/>
      <c r="CW569" s="240"/>
    </row>
    <row r="570" spans="2:101" ht="16.5" customHeight="1">
      <c r="B570" s="122"/>
      <c r="E570" s="122"/>
      <c r="F570" s="194"/>
      <c r="G570" s="195"/>
      <c r="H570" s="195"/>
      <c r="I570" s="195"/>
      <c r="J570" s="196"/>
      <c r="K570" s="197"/>
      <c r="L570" s="198"/>
      <c r="M570" s="199"/>
      <c r="N570" s="200"/>
      <c r="O570" s="201"/>
      <c r="P570" s="201"/>
      <c r="Q570" s="201"/>
      <c r="R570" s="201"/>
      <c r="S570" s="201"/>
      <c r="T570" s="201"/>
      <c r="U570" s="201"/>
      <c r="V570" s="201"/>
      <c r="W570" s="201"/>
      <c r="X570" s="202"/>
      <c r="Y570" s="203"/>
      <c r="Z570" s="204"/>
      <c r="AA570" s="205"/>
      <c r="AB570" s="206"/>
      <c r="AC570" s="206"/>
      <c r="AD570" s="194"/>
      <c r="AE570" s="201"/>
      <c r="AF570" s="207"/>
      <c r="AG570" s="208"/>
      <c r="AH570" s="209"/>
      <c r="AI570" s="210"/>
      <c r="AJ570" s="197"/>
      <c r="AK570" s="201"/>
      <c r="AL570" s="196"/>
      <c r="AM570" s="201"/>
      <c r="AN570" s="201"/>
      <c r="AO570" s="201"/>
      <c r="AP570" s="211"/>
      <c r="AQ570" s="212"/>
      <c r="AR570" s="201"/>
      <c r="AS570" s="201"/>
      <c r="AT570" s="201"/>
      <c r="AU570" s="201"/>
      <c r="AV570" s="202"/>
      <c r="AW570" s="194"/>
      <c r="AX570" s="201"/>
      <c r="AY570" s="213"/>
      <c r="AZ570" s="214"/>
      <c r="BA570" s="215"/>
      <c r="BB570" s="216"/>
      <c r="BC570" s="217" t="str">
        <f t="shared" si="104"/>
        <v/>
      </c>
      <c r="BD570" s="218"/>
      <c r="BE570" s="219"/>
      <c r="BF570" s="220"/>
      <c r="BG570" s="219"/>
      <c r="BH570" s="219"/>
      <c r="BI570" s="220"/>
      <c r="BJ570" s="218"/>
      <c r="BK570" s="219"/>
      <c r="BL570" s="197"/>
      <c r="BM570" s="215"/>
      <c r="BN570" s="221"/>
      <c r="BO570" s="222" t="str">
        <f t="shared" si="105"/>
        <v/>
      </c>
      <c r="BP570" s="217" t="str">
        <f t="shared" si="106"/>
        <v/>
      </c>
      <c r="BQ570" s="215"/>
      <c r="BR570" s="224"/>
      <c r="BS570" s="225"/>
      <c r="BT570" s="223"/>
      <c r="BU570" s="215"/>
      <c r="BV570" s="226"/>
      <c r="BW570" s="222" t="str">
        <f t="shared" si="107"/>
        <v/>
      </c>
      <c r="BX570" s="223" t="str">
        <f t="shared" si="108"/>
        <v/>
      </c>
      <c r="BY570" s="215"/>
      <c r="BZ570" s="227"/>
      <c r="CA570" s="227"/>
      <c r="CB570" s="228"/>
      <c r="CC570" s="229"/>
      <c r="CD570" s="230" t="str">
        <f t="shared" si="109"/>
        <v/>
      </c>
      <c r="CE570" s="231" t="str">
        <f t="shared" si="110"/>
        <v/>
      </c>
      <c r="CF570" s="232" t="str">
        <f t="shared" si="111"/>
        <v/>
      </c>
      <c r="CG570" s="233" t="str">
        <f t="shared" si="112"/>
        <v/>
      </c>
      <c r="CH570" s="207" t="str">
        <f>IF(OR(G570="",CC570= ""), "", IF(ISERROR(SMALL((CJ570,CN570,CV570), 1)-CC570), "",  SMALL((CJ570,CN570,CV570), 1)-CC570))</f>
        <v/>
      </c>
      <c r="CI570" s="234"/>
      <c r="CJ570" s="235"/>
      <c r="CK570" s="236"/>
      <c r="CL570" s="222" t="str">
        <f t="shared" si="113"/>
        <v/>
      </c>
      <c r="CM570" s="237" t="str">
        <f>IF(OR(G570="", CJ570="",CK570=""), "", IF(ISERROR(SMALL((CN570,CV570), 1)-CK570), "",  SMALL((CN570,CV570), 1)-CK570))</f>
        <v/>
      </c>
      <c r="CN570" s="235"/>
      <c r="CO570" s="236"/>
      <c r="CP570" s="224" t="str">
        <f t="shared" si="114"/>
        <v/>
      </c>
      <c r="CQ570" s="235"/>
      <c r="CR570" s="236"/>
      <c r="CS570" s="222" t="str">
        <f t="shared" si="115"/>
        <v/>
      </c>
      <c r="CT570" s="237" t="str">
        <f t="shared" si="116"/>
        <v/>
      </c>
      <c r="CU570" s="238"/>
      <c r="CV570" s="239"/>
      <c r="CW570" s="240"/>
    </row>
    <row r="571" spans="2:101" ht="16.5" customHeight="1">
      <c r="B571" s="122"/>
      <c r="E571" s="122"/>
      <c r="F571" s="194"/>
      <c r="G571" s="195"/>
      <c r="H571" s="195"/>
      <c r="I571" s="195"/>
      <c r="J571" s="196"/>
      <c r="K571" s="197"/>
      <c r="L571" s="198"/>
      <c r="M571" s="199"/>
      <c r="N571" s="200"/>
      <c r="O571" s="201"/>
      <c r="P571" s="201"/>
      <c r="Q571" s="201"/>
      <c r="R571" s="201"/>
      <c r="S571" s="201"/>
      <c r="T571" s="201"/>
      <c r="U571" s="201"/>
      <c r="V571" s="201"/>
      <c r="W571" s="201"/>
      <c r="X571" s="202"/>
      <c r="Y571" s="203"/>
      <c r="Z571" s="204"/>
      <c r="AA571" s="205"/>
      <c r="AB571" s="206"/>
      <c r="AC571" s="206"/>
      <c r="AD571" s="194"/>
      <c r="AE571" s="201"/>
      <c r="AF571" s="207"/>
      <c r="AG571" s="208"/>
      <c r="AH571" s="209"/>
      <c r="AI571" s="210"/>
      <c r="AJ571" s="197"/>
      <c r="AK571" s="201"/>
      <c r="AL571" s="196"/>
      <c r="AM571" s="201"/>
      <c r="AN571" s="201"/>
      <c r="AO571" s="201"/>
      <c r="AP571" s="211"/>
      <c r="AQ571" s="212"/>
      <c r="AR571" s="201"/>
      <c r="AS571" s="201"/>
      <c r="AT571" s="201"/>
      <c r="AU571" s="201"/>
      <c r="AV571" s="202"/>
      <c r="AW571" s="194"/>
      <c r="AX571" s="201"/>
      <c r="AY571" s="213"/>
      <c r="AZ571" s="214"/>
      <c r="BA571" s="215"/>
      <c r="BB571" s="216"/>
      <c r="BC571" s="217" t="str">
        <f t="shared" si="104"/>
        <v/>
      </c>
      <c r="BD571" s="218"/>
      <c r="BE571" s="219"/>
      <c r="BF571" s="220"/>
      <c r="BG571" s="219"/>
      <c r="BH571" s="219"/>
      <c r="BI571" s="220"/>
      <c r="BJ571" s="218"/>
      <c r="BK571" s="219"/>
      <c r="BL571" s="197"/>
      <c r="BM571" s="215"/>
      <c r="BN571" s="221"/>
      <c r="BO571" s="222" t="str">
        <f t="shared" si="105"/>
        <v/>
      </c>
      <c r="BP571" s="217" t="str">
        <f t="shared" si="106"/>
        <v/>
      </c>
      <c r="BQ571" s="215"/>
      <c r="BR571" s="224"/>
      <c r="BS571" s="225"/>
      <c r="BT571" s="223"/>
      <c r="BU571" s="215"/>
      <c r="BV571" s="226"/>
      <c r="BW571" s="222" t="str">
        <f t="shared" si="107"/>
        <v/>
      </c>
      <c r="BX571" s="223" t="str">
        <f t="shared" si="108"/>
        <v/>
      </c>
      <c r="BY571" s="215"/>
      <c r="BZ571" s="227"/>
      <c r="CA571" s="227"/>
      <c r="CB571" s="228"/>
      <c r="CC571" s="229"/>
      <c r="CD571" s="230" t="str">
        <f t="shared" si="109"/>
        <v/>
      </c>
      <c r="CE571" s="231" t="str">
        <f t="shared" si="110"/>
        <v/>
      </c>
      <c r="CF571" s="232" t="str">
        <f t="shared" si="111"/>
        <v/>
      </c>
      <c r="CG571" s="233" t="str">
        <f t="shared" si="112"/>
        <v/>
      </c>
      <c r="CH571" s="207" t="str">
        <f>IF(OR(G571="",CC571= ""), "", IF(ISERROR(SMALL((CJ571,CN571,CV571), 1)-CC571), "",  SMALL((CJ571,CN571,CV571), 1)-CC571))</f>
        <v/>
      </c>
      <c r="CI571" s="234"/>
      <c r="CJ571" s="235"/>
      <c r="CK571" s="236"/>
      <c r="CL571" s="222" t="str">
        <f t="shared" si="113"/>
        <v/>
      </c>
      <c r="CM571" s="237" t="str">
        <f>IF(OR(G571="", CJ571="",CK571=""), "", IF(ISERROR(SMALL((CN571,CV571), 1)-CK571), "",  SMALL((CN571,CV571), 1)-CK571))</f>
        <v/>
      </c>
      <c r="CN571" s="235"/>
      <c r="CO571" s="236"/>
      <c r="CP571" s="224" t="str">
        <f t="shared" si="114"/>
        <v/>
      </c>
      <c r="CQ571" s="235"/>
      <c r="CR571" s="236"/>
      <c r="CS571" s="222" t="str">
        <f t="shared" si="115"/>
        <v/>
      </c>
      <c r="CT571" s="237" t="str">
        <f t="shared" si="116"/>
        <v/>
      </c>
      <c r="CU571" s="238"/>
      <c r="CV571" s="239"/>
      <c r="CW571" s="240"/>
    </row>
    <row r="572" spans="2:101" ht="16.5" customHeight="1">
      <c r="B572" s="122"/>
      <c r="E572" s="122"/>
      <c r="F572" s="194"/>
      <c r="G572" s="241"/>
      <c r="H572" s="241"/>
      <c r="I572" s="241"/>
      <c r="J572" s="196"/>
      <c r="K572" s="197"/>
      <c r="L572" s="198"/>
      <c r="M572" s="199"/>
      <c r="N572" s="200"/>
      <c r="O572" s="201"/>
      <c r="P572" s="201"/>
      <c r="Q572" s="201"/>
      <c r="R572" s="201"/>
      <c r="S572" s="201"/>
      <c r="T572" s="201"/>
      <c r="U572" s="201"/>
      <c r="V572" s="201"/>
      <c r="W572" s="201"/>
      <c r="X572" s="202"/>
      <c r="Y572" s="203"/>
      <c r="Z572" s="204"/>
      <c r="AA572" s="205"/>
      <c r="AB572" s="206"/>
      <c r="AC572" s="206"/>
      <c r="AD572" s="194"/>
      <c r="AE572" s="201"/>
      <c r="AF572" s="207"/>
      <c r="AG572" s="208"/>
      <c r="AH572" s="209"/>
      <c r="AI572" s="210"/>
      <c r="AJ572" s="197"/>
      <c r="AK572" s="201"/>
      <c r="AL572" s="196"/>
      <c r="AM572" s="201"/>
      <c r="AN572" s="201"/>
      <c r="AO572" s="201"/>
      <c r="AP572" s="211"/>
      <c r="AQ572" s="212"/>
      <c r="AR572" s="201"/>
      <c r="AS572" s="201"/>
      <c r="AT572" s="201"/>
      <c r="AU572" s="201"/>
      <c r="AV572" s="202"/>
      <c r="AW572" s="194"/>
      <c r="AX572" s="201"/>
      <c r="AY572" s="213"/>
      <c r="AZ572" s="214"/>
      <c r="BA572" s="215"/>
      <c r="BB572" s="216"/>
      <c r="BC572" s="217" t="str">
        <f t="shared" si="104"/>
        <v/>
      </c>
      <c r="BD572" s="218"/>
      <c r="BE572" s="219"/>
      <c r="BF572" s="220"/>
      <c r="BG572" s="219"/>
      <c r="BH572" s="219"/>
      <c r="BI572" s="220"/>
      <c r="BJ572" s="218"/>
      <c r="BK572" s="219"/>
      <c r="BL572" s="197"/>
      <c r="BM572" s="215"/>
      <c r="BN572" s="221"/>
      <c r="BO572" s="222" t="str">
        <f t="shared" si="105"/>
        <v/>
      </c>
      <c r="BP572" s="217" t="str">
        <f t="shared" si="106"/>
        <v/>
      </c>
      <c r="BQ572" s="215"/>
      <c r="BR572" s="224"/>
      <c r="BS572" s="225"/>
      <c r="BT572" s="223"/>
      <c r="BU572" s="215"/>
      <c r="BV572" s="226"/>
      <c r="BW572" s="222" t="str">
        <f t="shared" si="107"/>
        <v/>
      </c>
      <c r="BX572" s="223" t="str">
        <f t="shared" si="108"/>
        <v/>
      </c>
      <c r="BY572" s="215"/>
      <c r="BZ572" s="227"/>
      <c r="CA572" s="227"/>
      <c r="CB572" s="228"/>
      <c r="CC572" s="229"/>
      <c r="CD572" s="230" t="str">
        <f t="shared" si="109"/>
        <v/>
      </c>
      <c r="CE572" s="231" t="str">
        <f t="shared" si="110"/>
        <v/>
      </c>
      <c r="CF572" s="232" t="str">
        <f t="shared" si="111"/>
        <v/>
      </c>
      <c r="CG572" s="233" t="str">
        <f t="shared" si="112"/>
        <v/>
      </c>
      <c r="CH572" s="207" t="str">
        <f>IF(OR(G572="",CC572= ""), "", IF(ISERROR(SMALL((CJ572,CN572,CV572), 1)-CC572), "",  SMALL((CJ572,CN572,CV572), 1)-CC572))</f>
        <v/>
      </c>
      <c r="CI572" s="234"/>
      <c r="CJ572" s="235"/>
      <c r="CK572" s="236"/>
      <c r="CL572" s="222" t="str">
        <f t="shared" si="113"/>
        <v/>
      </c>
      <c r="CM572" s="237" t="str">
        <f>IF(OR(G572="", CJ572="",CK572=""), "", IF(ISERROR(SMALL((CN572,CV572), 1)-CK572), "",  SMALL((CN572,CV572), 1)-CK572))</f>
        <v/>
      </c>
      <c r="CN572" s="235"/>
      <c r="CO572" s="236"/>
      <c r="CP572" s="224" t="str">
        <f t="shared" si="114"/>
        <v/>
      </c>
      <c r="CQ572" s="235"/>
      <c r="CR572" s="236"/>
      <c r="CS572" s="222" t="str">
        <f t="shared" si="115"/>
        <v/>
      </c>
      <c r="CT572" s="237" t="str">
        <f t="shared" si="116"/>
        <v/>
      </c>
      <c r="CU572" s="238"/>
      <c r="CV572" s="239"/>
      <c r="CW572" s="240"/>
    </row>
    <row r="573" spans="2:101" ht="16.5" customHeight="1">
      <c r="B573" s="122"/>
      <c r="E573" s="122"/>
      <c r="F573" s="194"/>
      <c r="G573" s="195"/>
      <c r="H573" s="195"/>
      <c r="I573" s="195"/>
      <c r="J573" s="196"/>
      <c r="K573" s="197"/>
      <c r="L573" s="198"/>
      <c r="M573" s="199"/>
      <c r="N573" s="200"/>
      <c r="O573" s="201"/>
      <c r="P573" s="201"/>
      <c r="Q573" s="201"/>
      <c r="R573" s="201"/>
      <c r="S573" s="201"/>
      <c r="T573" s="201"/>
      <c r="U573" s="201"/>
      <c r="V573" s="201"/>
      <c r="W573" s="201"/>
      <c r="X573" s="202"/>
      <c r="Y573" s="203"/>
      <c r="Z573" s="204"/>
      <c r="AA573" s="205"/>
      <c r="AB573" s="206"/>
      <c r="AC573" s="206"/>
      <c r="AD573" s="194"/>
      <c r="AE573" s="201"/>
      <c r="AF573" s="207"/>
      <c r="AG573" s="208"/>
      <c r="AH573" s="209"/>
      <c r="AI573" s="210"/>
      <c r="AJ573" s="197"/>
      <c r="AK573" s="201"/>
      <c r="AL573" s="196"/>
      <c r="AM573" s="201"/>
      <c r="AN573" s="201"/>
      <c r="AO573" s="201"/>
      <c r="AP573" s="211"/>
      <c r="AQ573" s="212"/>
      <c r="AR573" s="201"/>
      <c r="AS573" s="201"/>
      <c r="AT573" s="201"/>
      <c r="AU573" s="201"/>
      <c r="AV573" s="202"/>
      <c r="AW573" s="194"/>
      <c r="AX573" s="201"/>
      <c r="AY573" s="213"/>
      <c r="AZ573" s="214"/>
      <c r="BA573" s="215"/>
      <c r="BB573" s="216"/>
      <c r="BC573" s="217" t="str">
        <f t="shared" si="104"/>
        <v/>
      </c>
      <c r="BD573" s="218"/>
      <c r="BE573" s="219"/>
      <c r="BF573" s="220"/>
      <c r="BG573" s="219"/>
      <c r="BH573" s="219"/>
      <c r="BI573" s="220"/>
      <c r="BJ573" s="218"/>
      <c r="BK573" s="219"/>
      <c r="BL573" s="197"/>
      <c r="BM573" s="215"/>
      <c r="BN573" s="221"/>
      <c r="BO573" s="222" t="str">
        <f t="shared" si="105"/>
        <v/>
      </c>
      <c r="BP573" s="217" t="str">
        <f t="shared" si="106"/>
        <v/>
      </c>
      <c r="BQ573" s="215"/>
      <c r="BR573" s="224"/>
      <c r="BS573" s="225"/>
      <c r="BT573" s="223"/>
      <c r="BU573" s="215"/>
      <c r="BV573" s="226"/>
      <c r="BW573" s="222" t="str">
        <f t="shared" si="107"/>
        <v/>
      </c>
      <c r="BX573" s="223" t="str">
        <f t="shared" si="108"/>
        <v/>
      </c>
      <c r="BY573" s="215"/>
      <c r="BZ573" s="227"/>
      <c r="CA573" s="227"/>
      <c r="CB573" s="228"/>
      <c r="CC573" s="229"/>
      <c r="CD573" s="230" t="str">
        <f t="shared" si="109"/>
        <v/>
      </c>
      <c r="CE573" s="231" t="str">
        <f t="shared" si="110"/>
        <v/>
      </c>
      <c r="CF573" s="232" t="str">
        <f t="shared" si="111"/>
        <v/>
      </c>
      <c r="CG573" s="233" t="str">
        <f t="shared" si="112"/>
        <v/>
      </c>
      <c r="CH573" s="207" t="str">
        <f>IF(OR(G573="",CC573= ""), "", IF(ISERROR(SMALL((CJ573,CN573,CV573), 1)-CC573), "",  SMALL((CJ573,CN573,CV573), 1)-CC573))</f>
        <v/>
      </c>
      <c r="CI573" s="234"/>
      <c r="CJ573" s="235"/>
      <c r="CK573" s="236"/>
      <c r="CL573" s="222" t="str">
        <f t="shared" si="113"/>
        <v/>
      </c>
      <c r="CM573" s="237" t="str">
        <f>IF(OR(G573="", CJ573="",CK573=""), "", IF(ISERROR(SMALL((CN573,CV573), 1)-CK573), "",  SMALL((CN573,CV573), 1)-CK573))</f>
        <v/>
      </c>
      <c r="CN573" s="235"/>
      <c r="CO573" s="236"/>
      <c r="CP573" s="224" t="str">
        <f t="shared" si="114"/>
        <v/>
      </c>
      <c r="CQ573" s="235"/>
      <c r="CR573" s="236"/>
      <c r="CS573" s="222" t="str">
        <f t="shared" si="115"/>
        <v/>
      </c>
      <c r="CT573" s="237" t="str">
        <f t="shared" si="116"/>
        <v/>
      </c>
      <c r="CU573" s="238"/>
      <c r="CV573" s="239"/>
      <c r="CW573" s="240"/>
    </row>
    <row r="574" spans="2:101" ht="16.5" customHeight="1">
      <c r="B574" s="122"/>
      <c r="E574" s="122"/>
      <c r="F574" s="194"/>
      <c r="G574" s="241"/>
      <c r="H574" s="241"/>
      <c r="I574" s="241"/>
      <c r="J574" s="196"/>
      <c r="K574" s="197"/>
      <c r="L574" s="198"/>
      <c r="M574" s="199"/>
      <c r="N574" s="200"/>
      <c r="O574" s="201"/>
      <c r="P574" s="201"/>
      <c r="Q574" s="201"/>
      <c r="R574" s="201"/>
      <c r="S574" s="201"/>
      <c r="T574" s="201"/>
      <c r="U574" s="201"/>
      <c r="V574" s="201"/>
      <c r="W574" s="201"/>
      <c r="X574" s="202"/>
      <c r="Y574" s="203"/>
      <c r="Z574" s="204"/>
      <c r="AA574" s="205"/>
      <c r="AB574" s="206"/>
      <c r="AC574" s="206"/>
      <c r="AD574" s="194"/>
      <c r="AE574" s="201"/>
      <c r="AF574" s="207"/>
      <c r="AG574" s="208"/>
      <c r="AH574" s="209"/>
      <c r="AI574" s="210"/>
      <c r="AJ574" s="197"/>
      <c r="AK574" s="201"/>
      <c r="AL574" s="196"/>
      <c r="AM574" s="201"/>
      <c r="AN574" s="201"/>
      <c r="AO574" s="201"/>
      <c r="AP574" s="211"/>
      <c r="AQ574" s="212"/>
      <c r="AR574" s="201"/>
      <c r="AS574" s="201"/>
      <c r="AT574" s="201"/>
      <c r="AU574" s="201"/>
      <c r="AV574" s="202"/>
      <c r="AW574" s="194"/>
      <c r="AX574" s="201"/>
      <c r="AY574" s="213"/>
      <c r="AZ574" s="214"/>
      <c r="BA574" s="215"/>
      <c r="BB574" s="216"/>
      <c r="BC574" s="217" t="str">
        <f t="shared" si="104"/>
        <v/>
      </c>
      <c r="BD574" s="218"/>
      <c r="BE574" s="219"/>
      <c r="BF574" s="220"/>
      <c r="BG574" s="219"/>
      <c r="BH574" s="219"/>
      <c r="BI574" s="220"/>
      <c r="BJ574" s="218"/>
      <c r="BK574" s="219"/>
      <c r="BL574" s="197"/>
      <c r="BM574" s="215"/>
      <c r="BN574" s="221"/>
      <c r="BO574" s="222" t="str">
        <f t="shared" si="105"/>
        <v/>
      </c>
      <c r="BP574" s="217" t="str">
        <f t="shared" si="106"/>
        <v/>
      </c>
      <c r="BQ574" s="215"/>
      <c r="BR574" s="224"/>
      <c r="BS574" s="225"/>
      <c r="BT574" s="223"/>
      <c r="BU574" s="215"/>
      <c r="BV574" s="226"/>
      <c r="BW574" s="222" t="str">
        <f t="shared" si="107"/>
        <v/>
      </c>
      <c r="BX574" s="223" t="str">
        <f t="shared" si="108"/>
        <v/>
      </c>
      <c r="BY574" s="215"/>
      <c r="BZ574" s="227"/>
      <c r="CA574" s="227"/>
      <c r="CB574" s="228"/>
      <c r="CC574" s="229"/>
      <c r="CD574" s="230" t="str">
        <f t="shared" si="109"/>
        <v/>
      </c>
      <c r="CE574" s="231" t="str">
        <f t="shared" si="110"/>
        <v/>
      </c>
      <c r="CF574" s="232" t="str">
        <f t="shared" si="111"/>
        <v/>
      </c>
      <c r="CG574" s="233" t="str">
        <f t="shared" si="112"/>
        <v/>
      </c>
      <c r="CH574" s="207" t="str">
        <f>IF(OR(G574="",CC574= ""), "", IF(ISERROR(SMALL((CJ574,CN574,CV574), 1)-CC574), "",  SMALL((CJ574,CN574,CV574), 1)-CC574))</f>
        <v/>
      </c>
      <c r="CI574" s="234"/>
      <c r="CJ574" s="235"/>
      <c r="CK574" s="236"/>
      <c r="CL574" s="222" t="str">
        <f t="shared" si="113"/>
        <v/>
      </c>
      <c r="CM574" s="237" t="str">
        <f>IF(OR(G574="", CJ574="",CK574=""), "", IF(ISERROR(SMALL((CN574,CV574), 1)-CK574), "",  SMALL((CN574,CV574), 1)-CK574))</f>
        <v/>
      </c>
      <c r="CN574" s="235"/>
      <c r="CO574" s="236"/>
      <c r="CP574" s="224" t="str">
        <f t="shared" si="114"/>
        <v/>
      </c>
      <c r="CQ574" s="235"/>
      <c r="CR574" s="236"/>
      <c r="CS574" s="222" t="str">
        <f t="shared" si="115"/>
        <v/>
      </c>
      <c r="CT574" s="237" t="str">
        <f t="shared" si="116"/>
        <v/>
      </c>
      <c r="CU574" s="238"/>
      <c r="CV574" s="239"/>
      <c r="CW574" s="240"/>
    </row>
    <row r="575" spans="2:101" ht="16.5" customHeight="1">
      <c r="B575" s="122"/>
      <c r="E575" s="122"/>
      <c r="F575" s="194"/>
      <c r="G575" s="195"/>
      <c r="H575" s="195"/>
      <c r="I575" s="195"/>
      <c r="J575" s="196"/>
      <c r="K575" s="197"/>
      <c r="L575" s="198"/>
      <c r="M575" s="199"/>
      <c r="N575" s="200"/>
      <c r="O575" s="201"/>
      <c r="P575" s="201"/>
      <c r="Q575" s="201"/>
      <c r="R575" s="201"/>
      <c r="S575" s="201"/>
      <c r="T575" s="201"/>
      <c r="U575" s="201"/>
      <c r="V575" s="201"/>
      <c r="W575" s="201"/>
      <c r="X575" s="202"/>
      <c r="Y575" s="203"/>
      <c r="Z575" s="204"/>
      <c r="AA575" s="205"/>
      <c r="AB575" s="206"/>
      <c r="AC575" s="206"/>
      <c r="AD575" s="194"/>
      <c r="AE575" s="201"/>
      <c r="AF575" s="207"/>
      <c r="AG575" s="208"/>
      <c r="AH575" s="209"/>
      <c r="AI575" s="210"/>
      <c r="AJ575" s="197"/>
      <c r="AK575" s="201"/>
      <c r="AL575" s="196"/>
      <c r="AM575" s="201"/>
      <c r="AN575" s="201"/>
      <c r="AO575" s="201"/>
      <c r="AP575" s="211"/>
      <c r="AQ575" s="212"/>
      <c r="AR575" s="201"/>
      <c r="AS575" s="201"/>
      <c r="AT575" s="201"/>
      <c r="AU575" s="201"/>
      <c r="AV575" s="202"/>
      <c r="AW575" s="194"/>
      <c r="AX575" s="201"/>
      <c r="AY575" s="213"/>
      <c r="AZ575" s="214"/>
      <c r="BA575" s="215"/>
      <c r="BB575" s="216"/>
      <c r="BC575" s="217" t="str">
        <f t="shared" si="104"/>
        <v/>
      </c>
      <c r="BD575" s="218"/>
      <c r="BE575" s="219"/>
      <c r="BF575" s="220"/>
      <c r="BG575" s="219"/>
      <c r="BH575" s="219"/>
      <c r="BI575" s="220"/>
      <c r="BJ575" s="218"/>
      <c r="BK575" s="219"/>
      <c r="BL575" s="197"/>
      <c r="BM575" s="215"/>
      <c r="BN575" s="221"/>
      <c r="BO575" s="222" t="str">
        <f t="shared" si="105"/>
        <v/>
      </c>
      <c r="BP575" s="217" t="str">
        <f t="shared" si="106"/>
        <v/>
      </c>
      <c r="BQ575" s="215"/>
      <c r="BR575" s="224"/>
      <c r="BS575" s="225"/>
      <c r="BT575" s="223"/>
      <c r="BU575" s="215"/>
      <c r="BV575" s="226"/>
      <c r="BW575" s="222" t="str">
        <f t="shared" si="107"/>
        <v/>
      </c>
      <c r="BX575" s="223" t="str">
        <f t="shared" si="108"/>
        <v/>
      </c>
      <c r="BY575" s="215"/>
      <c r="BZ575" s="227"/>
      <c r="CA575" s="227"/>
      <c r="CB575" s="228"/>
      <c r="CC575" s="229"/>
      <c r="CD575" s="230" t="str">
        <f t="shared" si="109"/>
        <v/>
      </c>
      <c r="CE575" s="231" t="str">
        <f t="shared" si="110"/>
        <v/>
      </c>
      <c r="CF575" s="232" t="str">
        <f t="shared" si="111"/>
        <v/>
      </c>
      <c r="CG575" s="233" t="str">
        <f t="shared" si="112"/>
        <v/>
      </c>
      <c r="CH575" s="207" t="str">
        <f>IF(OR(G575="",CC575= ""), "", IF(ISERROR(SMALL((CJ575,CN575,CV575), 1)-CC575), "",  SMALL((CJ575,CN575,CV575), 1)-CC575))</f>
        <v/>
      </c>
      <c r="CI575" s="234"/>
      <c r="CJ575" s="235"/>
      <c r="CK575" s="236"/>
      <c r="CL575" s="222" t="str">
        <f t="shared" si="113"/>
        <v/>
      </c>
      <c r="CM575" s="237" t="str">
        <f>IF(OR(G575="", CJ575="",CK575=""), "", IF(ISERROR(SMALL((CN575,CV575), 1)-CK575), "",  SMALL((CN575,CV575), 1)-CK575))</f>
        <v/>
      </c>
      <c r="CN575" s="235"/>
      <c r="CO575" s="236"/>
      <c r="CP575" s="224" t="str">
        <f t="shared" si="114"/>
        <v/>
      </c>
      <c r="CQ575" s="235"/>
      <c r="CR575" s="236"/>
      <c r="CS575" s="222" t="str">
        <f t="shared" si="115"/>
        <v/>
      </c>
      <c r="CT575" s="237" t="str">
        <f t="shared" si="116"/>
        <v/>
      </c>
      <c r="CU575" s="238"/>
      <c r="CV575" s="239"/>
      <c r="CW575" s="240"/>
    </row>
    <row r="576" spans="2:101" ht="16.5" customHeight="1">
      <c r="B576" s="122"/>
      <c r="E576" s="122"/>
      <c r="F576" s="194"/>
      <c r="G576" s="195"/>
      <c r="H576" s="195"/>
      <c r="I576" s="195"/>
      <c r="J576" s="196"/>
      <c r="K576" s="197"/>
      <c r="L576" s="198"/>
      <c r="M576" s="199"/>
      <c r="N576" s="200"/>
      <c r="O576" s="201"/>
      <c r="P576" s="201"/>
      <c r="Q576" s="201"/>
      <c r="R576" s="201"/>
      <c r="S576" s="201"/>
      <c r="T576" s="201"/>
      <c r="U576" s="201"/>
      <c r="V576" s="201"/>
      <c r="W576" s="201"/>
      <c r="X576" s="202"/>
      <c r="Y576" s="203"/>
      <c r="Z576" s="204"/>
      <c r="AA576" s="205"/>
      <c r="AB576" s="206"/>
      <c r="AC576" s="206"/>
      <c r="AD576" s="194"/>
      <c r="AE576" s="201"/>
      <c r="AF576" s="207"/>
      <c r="AG576" s="208"/>
      <c r="AH576" s="209"/>
      <c r="AI576" s="210"/>
      <c r="AJ576" s="197"/>
      <c r="AK576" s="201"/>
      <c r="AL576" s="196"/>
      <c r="AM576" s="201"/>
      <c r="AN576" s="201"/>
      <c r="AO576" s="201"/>
      <c r="AP576" s="211"/>
      <c r="AQ576" s="212"/>
      <c r="AR576" s="201"/>
      <c r="AS576" s="201"/>
      <c r="AT576" s="201"/>
      <c r="AU576" s="201"/>
      <c r="AV576" s="202"/>
      <c r="AW576" s="194"/>
      <c r="AX576" s="201"/>
      <c r="AY576" s="213"/>
      <c r="AZ576" s="214"/>
      <c r="BA576" s="215"/>
      <c r="BB576" s="216"/>
      <c r="BC576" s="217" t="str">
        <f t="shared" si="104"/>
        <v/>
      </c>
      <c r="BD576" s="218"/>
      <c r="BE576" s="219"/>
      <c r="BF576" s="220"/>
      <c r="BG576" s="219"/>
      <c r="BH576" s="219"/>
      <c r="BI576" s="220"/>
      <c r="BJ576" s="218"/>
      <c r="BK576" s="219"/>
      <c r="BL576" s="197"/>
      <c r="BM576" s="215"/>
      <c r="BN576" s="221"/>
      <c r="BO576" s="222" t="str">
        <f t="shared" si="105"/>
        <v/>
      </c>
      <c r="BP576" s="217" t="str">
        <f t="shared" si="106"/>
        <v/>
      </c>
      <c r="BQ576" s="215"/>
      <c r="BR576" s="224"/>
      <c r="BS576" s="225"/>
      <c r="BT576" s="223"/>
      <c r="BU576" s="215"/>
      <c r="BV576" s="226"/>
      <c r="BW576" s="222" t="str">
        <f t="shared" si="107"/>
        <v/>
      </c>
      <c r="BX576" s="223" t="str">
        <f t="shared" si="108"/>
        <v/>
      </c>
      <c r="BY576" s="215"/>
      <c r="BZ576" s="227"/>
      <c r="CA576" s="227"/>
      <c r="CB576" s="228"/>
      <c r="CC576" s="229"/>
      <c r="CD576" s="230" t="str">
        <f t="shared" si="109"/>
        <v/>
      </c>
      <c r="CE576" s="231" t="str">
        <f t="shared" si="110"/>
        <v/>
      </c>
      <c r="CF576" s="232" t="str">
        <f t="shared" si="111"/>
        <v/>
      </c>
      <c r="CG576" s="233" t="str">
        <f t="shared" si="112"/>
        <v/>
      </c>
      <c r="CH576" s="207" t="str">
        <f>IF(OR(G576="",CC576= ""), "", IF(ISERROR(SMALL((CJ576,CN576,CV576), 1)-CC576), "",  SMALL((CJ576,CN576,CV576), 1)-CC576))</f>
        <v/>
      </c>
      <c r="CI576" s="234"/>
      <c r="CJ576" s="235"/>
      <c r="CK576" s="236"/>
      <c r="CL576" s="222" t="str">
        <f t="shared" si="113"/>
        <v/>
      </c>
      <c r="CM576" s="237" t="str">
        <f>IF(OR(G576="", CJ576="",CK576=""), "", IF(ISERROR(SMALL((CN576,CV576), 1)-CK576), "",  SMALL((CN576,CV576), 1)-CK576))</f>
        <v/>
      </c>
      <c r="CN576" s="235"/>
      <c r="CO576" s="236"/>
      <c r="CP576" s="224" t="str">
        <f t="shared" si="114"/>
        <v/>
      </c>
      <c r="CQ576" s="235"/>
      <c r="CR576" s="236"/>
      <c r="CS576" s="222" t="str">
        <f t="shared" si="115"/>
        <v/>
      </c>
      <c r="CT576" s="237" t="str">
        <f t="shared" si="116"/>
        <v/>
      </c>
      <c r="CU576" s="238"/>
      <c r="CV576" s="239"/>
      <c r="CW576" s="240"/>
    </row>
    <row r="577" spans="2:101" ht="16.5" customHeight="1">
      <c r="B577" s="122"/>
      <c r="E577" s="122"/>
      <c r="F577" s="194"/>
      <c r="G577" s="195"/>
      <c r="H577" s="195"/>
      <c r="I577" s="195"/>
      <c r="J577" s="196"/>
      <c r="K577" s="197"/>
      <c r="L577" s="198"/>
      <c r="M577" s="199"/>
      <c r="N577" s="200"/>
      <c r="O577" s="201"/>
      <c r="P577" s="201"/>
      <c r="Q577" s="201"/>
      <c r="R577" s="201"/>
      <c r="S577" s="201"/>
      <c r="T577" s="201"/>
      <c r="U577" s="201"/>
      <c r="V577" s="201"/>
      <c r="W577" s="201"/>
      <c r="X577" s="202"/>
      <c r="Y577" s="203"/>
      <c r="Z577" s="204"/>
      <c r="AA577" s="205"/>
      <c r="AB577" s="206"/>
      <c r="AC577" s="206"/>
      <c r="AD577" s="194"/>
      <c r="AE577" s="201"/>
      <c r="AF577" s="207"/>
      <c r="AG577" s="208"/>
      <c r="AH577" s="209"/>
      <c r="AI577" s="210"/>
      <c r="AJ577" s="197"/>
      <c r="AK577" s="201"/>
      <c r="AL577" s="196"/>
      <c r="AM577" s="201"/>
      <c r="AN577" s="201"/>
      <c r="AO577" s="201"/>
      <c r="AP577" s="211"/>
      <c r="AQ577" s="212"/>
      <c r="AR577" s="201"/>
      <c r="AS577" s="201"/>
      <c r="AT577" s="201"/>
      <c r="AU577" s="201"/>
      <c r="AV577" s="202"/>
      <c r="AW577" s="194"/>
      <c r="AX577" s="201"/>
      <c r="AY577" s="213"/>
      <c r="AZ577" s="214"/>
      <c r="BA577" s="215"/>
      <c r="BB577" s="216"/>
      <c r="BC577" s="217" t="str">
        <f t="shared" si="104"/>
        <v/>
      </c>
      <c r="BD577" s="218"/>
      <c r="BE577" s="219"/>
      <c r="BF577" s="220"/>
      <c r="BG577" s="219"/>
      <c r="BH577" s="219"/>
      <c r="BI577" s="220"/>
      <c r="BJ577" s="218"/>
      <c r="BK577" s="219"/>
      <c r="BL577" s="197"/>
      <c r="BM577" s="215"/>
      <c r="BN577" s="221"/>
      <c r="BO577" s="222" t="str">
        <f t="shared" si="105"/>
        <v/>
      </c>
      <c r="BP577" s="217" t="str">
        <f t="shared" si="106"/>
        <v/>
      </c>
      <c r="BQ577" s="215"/>
      <c r="BR577" s="224"/>
      <c r="BS577" s="225"/>
      <c r="BT577" s="223"/>
      <c r="BU577" s="215"/>
      <c r="BV577" s="226"/>
      <c r="BW577" s="222" t="str">
        <f t="shared" si="107"/>
        <v/>
      </c>
      <c r="BX577" s="223" t="str">
        <f t="shared" si="108"/>
        <v/>
      </c>
      <c r="BY577" s="215"/>
      <c r="BZ577" s="227"/>
      <c r="CA577" s="227"/>
      <c r="CB577" s="228"/>
      <c r="CC577" s="229"/>
      <c r="CD577" s="230" t="str">
        <f t="shared" si="109"/>
        <v/>
      </c>
      <c r="CE577" s="231" t="str">
        <f t="shared" si="110"/>
        <v/>
      </c>
      <c r="CF577" s="232" t="str">
        <f t="shared" si="111"/>
        <v/>
      </c>
      <c r="CG577" s="233" t="str">
        <f t="shared" si="112"/>
        <v/>
      </c>
      <c r="CH577" s="207" t="str">
        <f>IF(OR(G577="",CC577= ""), "", IF(ISERROR(SMALL((CJ577,CN577,CV577), 1)-CC577), "",  SMALL((CJ577,CN577,CV577), 1)-CC577))</f>
        <v/>
      </c>
      <c r="CI577" s="234"/>
      <c r="CJ577" s="235"/>
      <c r="CK577" s="236"/>
      <c r="CL577" s="222" t="str">
        <f t="shared" si="113"/>
        <v/>
      </c>
      <c r="CM577" s="237" t="str">
        <f>IF(OR(G577="", CJ577="",CK577=""), "", IF(ISERROR(SMALL((CN577,CV577), 1)-CK577), "",  SMALL((CN577,CV577), 1)-CK577))</f>
        <v/>
      </c>
      <c r="CN577" s="235"/>
      <c r="CO577" s="236"/>
      <c r="CP577" s="224" t="str">
        <f t="shared" si="114"/>
        <v/>
      </c>
      <c r="CQ577" s="235"/>
      <c r="CR577" s="236"/>
      <c r="CS577" s="222" t="str">
        <f t="shared" si="115"/>
        <v/>
      </c>
      <c r="CT577" s="237" t="str">
        <f t="shared" si="116"/>
        <v/>
      </c>
      <c r="CU577" s="238"/>
      <c r="CV577" s="239"/>
      <c r="CW577" s="240"/>
    </row>
    <row r="578" spans="2:101" ht="16.5" customHeight="1">
      <c r="B578" s="122"/>
      <c r="E578" s="122"/>
      <c r="F578" s="194"/>
      <c r="G578" s="195"/>
      <c r="H578" s="195"/>
      <c r="I578" s="195"/>
      <c r="J578" s="196"/>
      <c r="K578" s="197"/>
      <c r="L578" s="198"/>
      <c r="M578" s="199"/>
      <c r="N578" s="200"/>
      <c r="O578" s="201"/>
      <c r="P578" s="201"/>
      <c r="Q578" s="201"/>
      <c r="R578" s="201"/>
      <c r="S578" s="201"/>
      <c r="T578" s="201"/>
      <c r="U578" s="201"/>
      <c r="V578" s="201"/>
      <c r="W578" s="201"/>
      <c r="X578" s="202"/>
      <c r="Y578" s="203"/>
      <c r="Z578" s="204"/>
      <c r="AA578" s="205"/>
      <c r="AB578" s="206"/>
      <c r="AC578" s="206"/>
      <c r="AD578" s="194"/>
      <c r="AE578" s="201"/>
      <c r="AF578" s="207"/>
      <c r="AG578" s="208"/>
      <c r="AH578" s="209"/>
      <c r="AI578" s="210"/>
      <c r="AJ578" s="197"/>
      <c r="AK578" s="201"/>
      <c r="AL578" s="196"/>
      <c r="AM578" s="201"/>
      <c r="AN578" s="201"/>
      <c r="AO578" s="201"/>
      <c r="AP578" s="211"/>
      <c r="AQ578" s="212"/>
      <c r="AR578" s="201"/>
      <c r="AS578" s="201"/>
      <c r="AT578" s="201"/>
      <c r="AU578" s="201"/>
      <c r="AV578" s="202"/>
      <c r="AW578" s="194"/>
      <c r="AX578" s="201"/>
      <c r="AY578" s="213"/>
      <c r="AZ578" s="214"/>
      <c r="BA578" s="215"/>
      <c r="BB578" s="216"/>
      <c r="BC578" s="217" t="str">
        <f t="shared" si="104"/>
        <v/>
      </c>
      <c r="BD578" s="218"/>
      <c r="BE578" s="219"/>
      <c r="BF578" s="220"/>
      <c r="BG578" s="219"/>
      <c r="BH578" s="219"/>
      <c r="BI578" s="220"/>
      <c r="BJ578" s="218"/>
      <c r="BK578" s="219"/>
      <c r="BL578" s="197"/>
      <c r="BM578" s="215"/>
      <c r="BN578" s="221"/>
      <c r="BO578" s="222" t="str">
        <f t="shared" si="105"/>
        <v/>
      </c>
      <c r="BP578" s="217" t="str">
        <f t="shared" si="106"/>
        <v/>
      </c>
      <c r="BQ578" s="215"/>
      <c r="BR578" s="224"/>
      <c r="BS578" s="225"/>
      <c r="BT578" s="223"/>
      <c r="BU578" s="215"/>
      <c r="BV578" s="226"/>
      <c r="BW578" s="222" t="str">
        <f t="shared" si="107"/>
        <v/>
      </c>
      <c r="BX578" s="223" t="str">
        <f t="shared" si="108"/>
        <v/>
      </c>
      <c r="BY578" s="215"/>
      <c r="BZ578" s="227"/>
      <c r="CA578" s="227"/>
      <c r="CB578" s="228"/>
      <c r="CC578" s="229"/>
      <c r="CD578" s="230" t="str">
        <f t="shared" si="109"/>
        <v/>
      </c>
      <c r="CE578" s="231" t="str">
        <f t="shared" si="110"/>
        <v/>
      </c>
      <c r="CF578" s="232" t="str">
        <f t="shared" si="111"/>
        <v/>
      </c>
      <c r="CG578" s="233" t="str">
        <f t="shared" si="112"/>
        <v/>
      </c>
      <c r="CH578" s="207" t="str">
        <f>IF(OR(G578="",CC578= ""), "", IF(ISERROR(SMALL((CJ578,CN578,CV578), 1)-CC578), "",  SMALL((CJ578,CN578,CV578), 1)-CC578))</f>
        <v/>
      </c>
      <c r="CI578" s="234"/>
      <c r="CJ578" s="235"/>
      <c r="CK578" s="236"/>
      <c r="CL578" s="222" t="str">
        <f t="shared" si="113"/>
        <v/>
      </c>
      <c r="CM578" s="237" t="str">
        <f>IF(OR(G578="", CJ578="",CK578=""), "", IF(ISERROR(SMALL((CN578,CV578), 1)-CK578), "",  SMALL((CN578,CV578), 1)-CK578))</f>
        <v/>
      </c>
      <c r="CN578" s="235"/>
      <c r="CO578" s="236"/>
      <c r="CP578" s="224" t="str">
        <f t="shared" si="114"/>
        <v/>
      </c>
      <c r="CQ578" s="235"/>
      <c r="CR578" s="236"/>
      <c r="CS578" s="222" t="str">
        <f t="shared" si="115"/>
        <v/>
      </c>
      <c r="CT578" s="237" t="str">
        <f t="shared" si="116"/>
        <v/>
      </c>
      <c r="CU578" s="238"/>
      <c r="CV578" s="239"/>
      <c r="CW578" s="240"/>
    </row>
    <row r="579" spans="2:101" ht="16.5" customHeight="1">
      <c r="B579" s="122"/>
      <c r="E579" s="122"/>
      <c r="F579" s="194"/>
      <c r="G579" s="195"/>
      <c r="H579" s="195"/>
      <c r="I579" s="195"/>
      <c r="J579" s="196"/>
      <c r="K579" s="197"/>
      <c r="L579" s="198"/>
      <c r="M579" s="199"/>
      <c r="N579" s="200"/>
      <c r="O579" s="201"/>
      <c r="P579" s="201"/>
      <c r="Q579" s="201"/>
      <c r="R579" s="201"/>
      <c r="S579" s="201"/>
      <c r="T579" s="201"/>
      <c r="U579" s="201"/>
      <c r="V579" s="201"/>
      <c r="W579" s="201"/>
      <c r="X579" s="202"/>
      <c r="Y579" s="203"/>
      <c r="Z579" s="204"/>
      <c r="AA579" s="205"/>
      <c r="AB579" s="206"/>
      <c r="AC579" s="206"/>
      <c r="AD579" s="194"/>
      <c r="AE579" s="201"/>
      <c r="AF579" s="207"/>
      <c r="AG579" s="208"/>
      <c r="AH579" s="209"/>
      <c r="AI579" s="210"/>
      <c r="AJ579" s="197"/>
      <c r="AK579" s="201"/>
      <c r="AL579" s="196"/>
      <c r="AM579" s="201"/>
      <c r="AN579" s="201"/>
      <c r="AO579" s="201"/>
      <c r="AP579" s="211"/>
      <c r="AQ579" s="212"/>
      <c r="AR579" s="201"/>
      <c r="AS579" s="201"/>
      <c r="AT579" s="201"/>
      <c r="AU579" s="201"/>
      <c r="AV579" s="202"/>
      <c r="AW579" s="194"/>
      <c r="AX579" s="201"/>
      <c r="AY579" s="213"/>
      <c r="AZ579" s="214"/>
      <c r="BA579" s="215"/>
      <c r="BB579" s="216"/>
      <c r="BC579" s="217" t="str">
        <f t="shared" si="104"/>
        <v/>
      </c>
      <c r="BD579" s="218"/>
      <c r="BE579" s="219"/>
      <c r="BF579" s="220"/>
      <c r="BG579" s="219"/>
      <c r="BH579" s="219"/>
      <c r="BI579" s="220"/>
      <c r="BJ579" s="218"/>
      <c r="BK579" s="219"/>
      <c r="BL579" s="197"/>
      <c r="BM579" s="215"/>
      <c r="BN579" s="221"/>
      <c r="BO579" s="222" t="str">
        <f t="shared" si="105"/>
        <v/>
      </c>
      <c r="BP579" s="217" t="str">
        <f t="shared" si="106"/>
        <v/>
      </c>
      <c r="BQ579" s="215"/>
      <c r="BR579" s="224"/>
      <c r="BS579" s="225"/>
      <c r="BT579" s="223"/>
      <c r="BU579" s="215"/>
      <c r="BV579" s="226"/>
      <c r="BW579" s="222" t="str">
        <f t="shared" si="107"/>
        <v/>
      </c>
      <c r="BX579" s="223" t="str">
        <f t="shared" si="108"/>
        <v/>
      </c>
      <c r="BY579" s="215"/>
      <c r="BZ579" s="227"/>
      <c r="CA579" s="227"/>
      <c r="CB579" s="228"/>
      <c r="CC579" s="229"/>
      <c r="CD579" s="230" t="str">
        <f t="shared" si="109"/>
        <v/>
      </c>
      <c r="CE579" s="231" t="str">
        <f t="shared" si="110"/>
        <v/>
      </c>
      <c r="CF579" s="232" t="str">
        <f t="shared" si="111"/>
        <v/>
      </c>
      <c r="CG579" s="233" t="str">
        <f t="shared" si="112"/>
        <v/>
      </c>
      <c r="CH579" s="207" t="str">
        <f>IF(OR(G579="",CC579= ""), "", IF(ISERROR(SMALL((CJ579,CN579,CV579), 1)-CC579), "",  SMALL((CJ579,CN579,CV579), 1)-CC579))</f>
        <v/>
      </c>
      <c r="CI579" s="234"/>
      <c r="CJ579" s="235"/>
      <c r="CK579" s="236"/>
      <c r="CL579" s="222" t="str">
        <f t="shared" si="113"/>
        <v/>
      </c>
      <c r="CM579" s="237" t="str">
        <f>IF(OR(G579="", CJ579="",CK579=""), "", IF(ISERROR(SMALL((CN579,CV579), 1)-CK579), "",  SMALL((CN579,CV579), 1)-CK579))</f>
        <v/>
      </c>
      <c r="CN579" s="235"/>
      <c r="CO579" s="236"/>
      <c r="CP579" s="224" t="str">
        <f t="shared" si="114"/>
        <v/>
      </c>
      <c r="CQ579" s="235"/>
      <c r="CR579" s="236"/>
      <c r="CS579" s="222" t="str">
        <f t="shared" si="115"/>
        <v/>
      </c>
      <c r="CT579" s="237" t="str">
        <f t="shared" si="116"/>
        <v/>
      </c>
      <c r="CU579" s="238"/>
      <c r="CV579" s="239"/>
      <c r="CW579" s="240"/>
    </row>
    <row r="580" spans="2:101" ht="16.5" customHeight="1">
      <c r="B580" s="122"/>
      <c r="E580" s="122"/>
      <c r="F580" s="194"/>
      <c r="G580" s="195"/>
      <c r="H580" s="195"/>
      <c r="I580" s="195"/>
      <c r="J580" s="196"/>
      <c r="K580" s="197"/>
      <c r="L580" s="198"/>
      <c r="M580" s="199"/>
      <c r="N580" s="200"/>
      <c r="O580" s="201"/>
      <c r="P580" s="201"/>
      <c r="Q580" s="201"/>
      <c r="R580" s="201"/>
      <c r="S580" s="201"/>
      <c r="T580" s="201"/>
      <c r="U580" s="201"/>
      <c r="V580" s="201"/>
      <c r="W580" s="201"/>
      <c r="X580" s="202"/>
      <c r="Y580" s="203"/>
      <c r="Z580" s="204"/>
      <c r="AA580" s="205"/>
      <c r="AB580" s="206"/>
      <c r="AC580" s="206"/>
      <c r="AD580" s="194"/>
      <c r="AE580" s="201"/>
      <c r="AF580" s="207"/>
      <c r="AG580" s="208"/>
      <c r="AH580" s="209"/>
      <c r="AI580" s="210"/>
      <c r="AJ580" s="197"/>
      <c r="AK580" s="201"/>
      <c r="AL580" s="196"/>
      <c r="AM580" s="201"/>
      <c r="AN580" s="201"/>
      <c r="AO580" s="201"/>
      <c r="AP580" s="211"/>
      <c r="AQ580" s="212"/>
      <c r="AR580" s="201"/>
      <c r="AS580" s="201"/>
      <c r="AT580" s="201"/>
      <c r="AU580" s="201"/>
      <c r="AV580" s="202"/>
      <c r="AW580" s="194"/>
      <c r="AX580" s="201"/>
      <c r="AY580" s="213"/>
      <c r="AZ580" s="214"/>
      <c r="BA580" s="215"/>
      <c r="BB580" s="216"/>
      <c r="BC580" s="217" t="str">
        <f t="shared" si="104"/>
        <v/>
      </c>
      <c r="BD580" s="218"/>
      <c r="BE580" s="219"/>
      <c r="BF580" s="220"/>
      <c r="BG580" s="219"/>
      <c r="BH580" s="219"/>
      <c r="BI580" s="220"/>
      <c r="BJ580" s="218"/>
      <c r="BK580" s="219"/>
      <c r="BL580" s="197"/>
      <c r="BM580" s="215"/>
      <c r="BN580" s="221"/>
      <c r="BO580" s="222" t="str">
        <f t="shared" si="105"/>
        <v/>
      </c>
      <c r="BP580" s="217" t="str">
        <f t="shared" si="106"/>
        <v/>
      </c>
      <c r="BQ580" s="215"/>
      <c r="BR580" s="224"/>
      <c r="BS580" s="225"/>
      <c r="BT580" s="223"/>
      <c r="BU580" s="215"/>
      <c r="BV580" s="226"/>
      <c r="BW580" s="222" t="str">
        <f t="shared" si="107"/>
        <v/>
      </c>
      <c r="BX580" s="223" t="str">
        <f t="shared" si="108"/>
        <v/>
      </c>
      <c r="BY580" s="215"/>
      <c r="BZ580" s="227"/>
      <c r="CA580" s="227"/>
      <c r="CB580" s="228"/>
      <c r="CC580" s="229"/>
      <c r="CD580" s="230" t="str">
        <f t="shared" si="109"/>
        <v/>
      </c>
      <c r="CE580" s="231" t="str">
        <f t="shared" si="110"/>
        <v/>
      </c>
      <c r="CF580" s="232" t="str">
        <f t="shared" si="111"/>
        <v/>
      </c>
      <c r="CG580" s="233" t="str">
        <f t="shared" si="112"/>
        <v/>
      </c>
      <c r="CH580" s="207" t="str">
        <f>IF(OR(G580="",CC580= ""), "", IF(ISERROR(SMALL((CJ580,CN580,CV580), 1)-CC580), "",  SMALL((CJ580,CN580,CV580), 1)-CC580))</f>
        <v/>
      </c>
      <c r="CI580" s="234"/>
      <c r="CJ580" s="235"/>
      <c r="CK580" s="236"/>
      <c r="CL580" s="222" t="str">
        <f t="shared" si="113"/>
        <v/>
      </c>
      <c r="CM580" s="237" t="str">
        <f>IF(OR(G580="", CJ580="",CK580=""), "", IF(ISERROR(SMALL((CN580,CV580), 1)-CK580), "",  SMALL((CN580,CV580), 1)-CK580))</f>
        <v/>
      </c>
      <c r="CN580" s="235"/>
      <c r="CO580" s="236"/>
      <c r="CP580" s="224" t="str">
        <f t="shared" si="114"/>
        <v/>
      </c>
      <c r="CQ580" s="235"/>
      <c r="CR580" s="236"/>
      <c r="CS580" s="222" t="str">
        <f t="shared" si="115"/>
        <v/>
      </c>
      <c r="CT580" s="237" t="str">
        <f t="shared" si="116"/>
        <v/>
      </c>
      <c r="CU580" s="238"/>
      <c r="CV580" s="239"/>
      <c r="CW580" s="240"/>
    </row>
    <row r="581" spans="2:101" ht="16.5" customHeight="1">
      <c r="B581" s="122"/>
      <c r="E581" s="122"/>
      <c r="F581" s="194"/>
      <c r="G581" s="195"/>
      <c r="H581" s="195"/>
      <c r="I581" s="195"/>
      <c r="J581" s="196"/>
      <c r="K581" s="197"/>
      <c r="L581" s="198"/>
      <c r="M581" s="199"/>
      <c r="N581" s="200"/>
      <c r="O581" s="201"/>
      <c r="P581" s="201"/>
      <c r="Q581" s="201"/>
      <c r="R581" s="201"/>
      <c r="S581" s="201"/>
      <c r="T581" s="201"/>
      <c r="U581" s="201"/>
      <c r="V581" s="201"/>
      <c r="W581" s="201"/>
      <c r="X581" s="202"/>
      <c r="Y581" s="203"/>
      <c r="Z581" s="204"/>
      <c r="AA581" s="205"/>
      <c r="AB581" s="206"/>
      <c r="AC581" s="206"/>
      <c r="AD581" s="194"/>
      <c r="AE581" s="201"/>
      <c r="AF581" s="207"/>
      <c r="AG581" s="208"/>
      <c r="AH581" s="209"/>
      <c r="AI581" s="210"/>
      <c r="AJ581" s="197"/>
      <c r="AK581" s="201"/>
      <c r="AL581" s="196"/>
      <c r="AM581" s="201"/>
      <c r="AN581" s="201"/>
      <c r="AO581" s="201"/>
      <c r="AP581" s="211"/>
      <c r="AQ581" s="212"/>
      <c r="AR581" s="201"/>
      <c r="AS581" s="201"/>
      <c r="AT581" s="201"/>
      <c r="AU581" s="201"/>
      <c r="AV581" s="202"/>
      <c r="AW581" s="194"/>
      <c r="AX581" s="201"/>
      <c r="AY581" s="213"/>
      <c r="AZ581" s="214"/>
      <c r="BA581" s="215"/>
      <c r="BB581" s="216"/>
      <c r="BC581" s="217" t="str">
        <f t="shared" si="104"/>
        <v/>
      </c>
      <c r="BD581" s="218"/>
      <c r="BE581" s="219"/>
      <c r="BF581" s="220"/>
      <c r="BG581" s="219"/>
      <c r="BH581" s="219"/>
      <c r="BI581" s="220"/>
      <c r="BJ581" s="218"/>
      <c r="BK581" s="219"/>
      <c r="BL581" s="197"/>
      <c r="BM581" s="215"/>
      <c r="BN581" s="221"/>
      <c r="BO581" s="222" t="str">
        <f t="shared" si="105"/>
        <v/>
      </c>
      <c r="BP581" s="217" t="str">
        <f t="shared" si="106"/>
        <v/>
      </c>
      <c r="BQ581" s="215"/>
      <c r="BR581" s="224"/>
      <c r="BS581" s="225"/>
      <c r="BT581" s="223"/>
      <c r="BU581" s="215"/>
      <c r="BV581" s="226"/>
      <c r="BW581" s="222" t="str">
        <f t="shared" si="107"/>
        <v/>
      </c>
      <c r="BX581" s="223" t="str">
        <f t="shared" si="108"/>
        <v/>
      </c>
      <c r="BY581" s="215"/>
      <c r="BZ581" s="227"/>
      <c r="CA581" s="227"/>
      <c r="CB581" s="228"/>
      <c r="CC581" s="229"/>
      <c r="CD581" s="230" t="str">
        <f t="shared" si="109"/>
        <v/>
      </c>
      <c r="CE581" s="231" t="str">
        <f t="shared" si="110"/>
        <v/>
      </c>
      <c r="CF581" s="232" t="str">
        <f t="shared" si="111"/>
        <v/>
      </c>
      <c r="CG581" s="233" t="str">
        <f t="shared" si="112"/>
        <v/>
      </c>
      <c r="CH581" s="207" t="str">
        <f>IF(OR(G581="",CC581= ""), "", IF(ISERROR(SMALL((CJ581,CN581,CV581), 1)-CC581), "",  SMALL((CJ581,CN581,CV581), 1)-CC581))</f>
        <v/>
      </c>
      <c r="CI581" s="234"/>
      <c r="CJ581" s="235"/>
      <c r="CK581" s="236"/>
      <c r="CL581" s="222" t="str">
        <f t="shared" si="113"/>
        <v/>
      </c>
      <c r="CM581" s="237" t="str">
        <f>IF(OR(G581="", CJ581="",CK581=""), "", IF(ISERROR(SMALL((CN581,CV581), 1)-CK581), "",  SMALL((CN581,CV581), 1)-CK581))</f>
        <v/>
      </c>
      <c r="CN581" s="235"/>
      <c r="CO581" s="236"/>
      <c r="CP581" s="224" t="str">
        <f t="shared" si="114"/>
        <v/>
      </c>
      <c r="CQ581" s="235"/>
      <c r="CR581" s="236"/>
      <c r="CS581" s="222" t="str">
        <f t="shared" si="115"/>
        <v/>
      </c>
      <c r="CT581" s="237" t="str">
        <f t="shared" si="116"/>
        <v/>
      </c>
      <c r="CU581" s="238"/>
      <c r="CV581" s="239"/>
      <c r="CW581" s="240"/>
    </row>
    <row r="582" spans="2:101" ht="16.5" customHeight="1">
      <c r="B582" s="122"/>
      <c r="E582" s="122"/>
      <c r="F582" s="194"/>
      <c r="G582" s="195"/>
      <c r="H582" s="195"/>
      <c r="I582" s="195"/>
      <c r="J582" s="196"/>
      <c r="K582" s="197"/>
      <c r="L582" s="198"/>
      <c r="M582" s="199"/>
      <c r="N582" s="200"/>
      <c r="O582" s="201"/>
      <c r="P582" s="201"/>
      <c r="Q582" s="201"/>
      <c r="R582" s="201"/>
      <c r="S582" s="201"/>
      <c r="T582" s="201"/>
      <c r="U582" s="201"/>
      <c r="V582" s="201"/>
      <c r="W582" s="201"/>
      <c r="X582" s="202"/>
      <c r="Y582" s="203"/>
      <c r="Z582" s="204"/>
      <c r="AA582" s="205"/>
      <c r="AB582" s="206"/>
      <c r="AC582" s="206"/>
      <c r="AD582" s="194"/>
      <c r="AE582" s="201"/>
      <c r="AF582" s="207"/>
      <c r="AG582" s="208"/>
      <c r="AH582" s="209"/>
      <c r="AI582" s="210"/>
      <c r="AJ582" s="197"/>
      <c r="AK582" s="201"/>
      <c r="AL582" s="196"/>
      <c r="AM582" s="201"/>
      <c r="AN582" s="201"/>
      <c r="AO582" s="201"/>
      <c r="AP582" s="211"/>
      <c r="AQ582" s="212"/>
      <c r="AR582" s="201"/>
      <c r="AS582" s="201"/>
      <c r="AT582" s="201"/>
      <c r="AU582" s="201"/>
      <c r="AV582" s="202"/>
      <c r="AW582" s="194"/>
      <c r="AX582" s="201"/>
      <c r="AY582" s="213"/>
      <c r="AZ582" s="214"/>
      <c r="BA582" s="215"/>
      <c r="BB582" s="216"/>
      <c r="BC582" s="217" t="str">
        <f t="shared" si="104"/>
        <v/>
      </c>
      <c r="BD582" s="218"/>
      <c r="BE582" s="219"/>
      <c r="BF582" s="220"/>
      <c r="BG582" s="219"/>
      <c r="BH582" s="219"/>
      <c r="BI582" s="220"/>
      <c r="BJ582" s="218"/>
      <c r="BK582" s="219"/>
      <c r="BL582" s="197"/>
      <c r="BM582" s="215"/>
      <c r="BN582" s="221"/>
      <c r="BO582" s="222" t="str">
        <f t="shared" si="105"/>
        <v/>
      </c>
      <c r="BP582" s="217" t="str">
        <f t="shared" si="106"/>
        <v/>
      </c>
      <c r="BQ582" s="215"/>
      <c r="BR582" s="224"/>
      <c r="BS582" s="225"/>
      <c r="BT582" s="223"/>
      <c r="BU582" s="215"/>
      <c r="BV582" s="226"/>
      <c r="BW582" s="222" t="str">
        <f t="shared" si="107"/>
        <v/>
      </c>
      <c r="BX582" s="223" t="str">
        <f t="shared" si="108"/>
        <v/>
      </c>
      <c r="BY582" s="215"/>
      <c r="BZ582" s="227"/>
      <c r="CA582" s="227"/>
      <c r="CB582" s="228"/>
      <c r="CC582" s="229"/>
      <c r="CD582" s="230" t="str">
        <f t="shared" si="109"/>
        <v/>
      </c>
      <c r="CE582" s="231" t="str">
        <f t="shared" si="110"/>
        <v/>
      </c>
      <c r="CF582" s="232" t="str">
        <f t="shared" si="111"/>
        <v/>
      </c>
      <c r="CG582" s="233" t="str">
        <f t="shared" si="112"/>
        <v/>
      </c>
      <c r="CH582" s="207" t="str">
        <f>IF(OR(G582="",CC582= ""), "", IF(ISERROR(SMALL((CJ582,CN582,CV582), 1)-CC582), "",  SMALL((CJ582,CN582,CV582), 1)-CC582))</f>
        <v/>
      </c>
      <c r="CI582" s="234"/>
      <c r="CJ582" s="235"/>
      <c r="CK582" s="236"/>
      <c r="CL582" s="222" t="str">
        <f t="shared" si="113"/>
        <v/>
      </c>
      <c r="CM582" s="237" t="str">
        <f>IF(OR(G582="", CJ582="",CK582=""), "", IF(ISERROR(SMALL((CN582,CV582), 1)-CK582), "",  SMALL((CN582,CV582), 1)-CK582))</f>
        <v/>
      </c>
      <c r="CN582" s="235"/>
      <c r="CO582" s="236"/>
      <c r="CP582" s="224" t="str">
        <f t="shared" si="114"/>
        <v/>
      </c>
      <c r="CQ582" s="235"/>
      <c r="CR582" s="236"/>
      <c r="CS582" s="222" t="str">
        <f t="shared" si="115"/>
        <v/>
      </c>
      <c r="CT582" s="237" t="str">
        <f t="shared" si="116"/>
        <v/>
      </c>
      <c r="CU582" s="238"/>
      <c r="CV582" s="239"/>
      <c r="CW582" s="240"/>
    </row>
    <row r="583" spans="2:101" ht="16.5" customHeight="1">
      <c r="B583" s="122"/>
      <c r="E583" s="122"/>
      <c r="F583" s="194"/>
      <c r="G583" s="195"/>
      <c r="H583" s="195"/>
      <c r="I583" s="195"/>
      <c r="J583" s="196"/>
      <c r="K583" s="197"/>
      <c r="L583" s="198"/>
      <c r="M583" s="199"/>
      <c r="N583" s="200"/>
      <c r="O583" s="201"/>
      <c r="P583" s="201"/>
      <c r="Q583" s="201"/>
      <c r="R583" s="201"/>
      <c r="S583" s="201"/>
      <c r="T583" s="201"/>
      <c r="U583" s="201"/>
      <c r="V583" s="201"/>
      <c r="W583" s="201"/>
      <c r="X583" s="202"/>
      <c r="Y583" s="203"/>
      <c r="Z583" s="204"/>
      <c r="AA583" s="205"/>
      <c r="AB583" s="206"/>
      <c r="AC583" s="206"/>
      <c r="AD583" s="194"/>
      <c r="AE583" s="201"/>
      <c r="AF583" s="207"/>
      <c r="AG583" s="208"/>
      <c r="AH583" s="209"/>
      <c r="AI583" s="210"/>
      <c r="AJ583" s="197"/>
      <c r="AK583" s="201"/>
      <c r="AL583" s="196"/>
      <c r="AM583" s="201"/>
      <c r="AN583" s="201"/>
      <c r="AO583" s="201"/>
      <c r="AP583" s="211"/>
      <c r="AQ583" s="212"/>
      <c r="AR583" s="201"/>
      <c r="AS583" s="201"/>
      <c r="AT583" s="201"/>
      <c r="AU583" s="201"/>
      <c r="AV583" s="202"/>
      <c r="AW583" s="194"/>
      <c r="AX583" s="201"/>
      <c r="AY583" s="213"/>
      <c r="AZ583" s="214"/>
      <c r="BA583" s="215"/>
      <c r="BB583" s="216"/>
      <c r="BC583" s="217" t="str">
        <f t="shared" si="104"/>
        <v/>
      </c>
      <c r="BD583" s="218"/>
      <c r="BE583" s="219"/>
      <c r="BF583" s="220"/>
      <c r="BG583" s="219"/>
      <c r="BH583" s="219"/>
      <c r="BI583" s="220"/>
      <c r="BJ583" s="218"/>
      <c r="BK583" s="219"/>
      <c r="BL583" s="197"/>
      <c r="BM583" s="215"/>
      <c r="BN583" s="221"/>
      <c r="BO583" s="222" t="str">
        <f t="shared" si="105"/>
        <v/>
      </c>
      <c r="BP583" s="217" t="str">
        <f t="shared" si="106"/>
        <v/>
      </c>
      <c r="BQ583" s="215"/>
      <c r="BR583" s="224"/>
      <c r="BS583" s="225"/>
      <c r="BT583" s="223"/>
      <c r="BU583" s="215"/>
      <c r="BV583" s="226"/>
      <c r="BW583" s="222" t="str">
        <f t="shared" si="107"/>
        <v/>
      </c>
      <c r="BX583" s="223" t="str">
        <f t="shared" si="108"/>
        <v/>
      </c>
      <c r="BY583" s="215"/>
      <c r="BZ583" s="227"/>
      <c r="CA583" s="227"/>
      <c r="CB583" s="228"/>
      <c r="CC583" s="229"/>
      <c r="CD583" s="230" t="str">
        <f t="shared" si="109"/>
        <v/>
      </c>
      <c r="CE583" s="231" t="str">
        <f t="shared" si="110"/>
        <v/>
      </c>
      <c r="CF583" s="232" t="str">
        <f t="shared" si="111"/>
        <v/>
      </c>
      <c r="CG583" s="233" t="str">
        <f t="shared" si="112"/>
        <v/>
      </c>
      <c r="CH583" s="207" t="str">
        <f>IF(OR(G583="",CC583= ""), "", IF(ISERROR(SMALL((CJ583,CN583,CV583), 1)-CC583), "",  SMALL((CJ583,CN583,CV583), 1)-CC583))</f>
        <v/>
      </c>
      <c r="CI583" s="234"/>
      <c r="CJ583" s="235"/>
      <c r="CK583" s="236"/>
      <c r="CL583" s="222" t="str">
        <f t="shared" si="113"/>
        <v/>
      </c>
      <c r="CM583" s="237" t="str">
        <f>IF(OR(G583="", CJ583="",CK583=""), "", IF(ISERROR(SMALL((CN583,CV583), 1)-CK583), "",  SMALL((CN583,CV583), 1)-CK583))</f>
        <v/>
      </c>
      <c r="CN583" s="235"/>
      <c r="CO583" s="236"/>
      <c r="CP583" s="224" t="str">
        <f t="shared" si="114"/>
        <v/>
      </c>
      <c r="CQ583" s="235"/>
      <c r="CR583" s="236"/>
      <c r="CS583" s="222" t="str">
        <f t="shared" si="115"/>
        <v/>
      </c>
      <c r="CT583" s="237" t="str">
        <f t="shared" si="116"/>
        <v/>
      </c>
      <c r="CU583" s="238"/>
      <c r="CV583" s="239"/>
      <c r="CW583" s="240"/>
    </row>
    <row r="584" spans="2:101" ht="16.5" customHeight="1">
      <c r="B584" s="122"/>
      <c r="E584" s="122"/>
      <c r="F584" s="194"/>
      <c r="G584" s="195"/>
      <c r="H584" s="195"/>
      <c r="I584" s="195"/>
      <c r="J584" s="196"/>
      <c r="K584" s="197"/>
      <c r="L584" s="198"/>
      <c r="M584" s="199"/>
      <c r="N584" s="200"/>
      <c r="O584" s="201"/>
      <c r="P584" s="201"/>
      <c r="Q584" s="201"/>
      <c r="R584" s="201"/>
      <c r="S584" s="201"/>
      <c r="T584" s="201"/>
      <c r="U584" s="201"/>
      <c r="V584" s="201"/>
      <c r="W584" s="201"/>
      <c r="X584" s="202"/>
      <c r="Y584" s="203"/>
      <c r="Z584" s="204"/>
      <c r="AA584" s="205"/>
      <c r="AB584" s="206"/>
      <c r="AC584" s="206"/>
      <c r="AD584" s="194"/>
      <c r="AE584" s="201"/>
      <c r="AF584" s="207"/>
      <c r="AG584" s="208"/>
      <c r="AH584" s="209"/>
      <c r="AI584" s="210"/>
      <c r="AJ584" s="197"/>
      <c r="AK584" s="201"/>
      <c r="AL584" s="196"/>
      <c r="AM584" s="201"/>
      <c r="AN584" s="201"/>
      <c r="AO584" s="201"/>
      <c r="AP584" s="211"/>
      <c r="AQ584" s="212"/>
      <c r="AR584" s="201"/>
      <c r="AS584" s="201"/>
      <c r="AT584" s="201"/>
      <c r="AU584" s="201"/>
      <c r="AV584" s="202"/>
      <c r="AW584" s="194"/>
      <c r="AX584" s="201"/>
      <c r="AY584" s="213"/>
      <c r="AZ584" s="214"/>
      <c r="BA584" s="215"/>
      <c r="BB584" s="216"/>
      <c r="BC584" s="217" t="str">
        <f t="shared" si="104"/>
        <v/>
      </c>
      <c r="BD584" s="218"/>
      <c r="BE584" s="219"/>
      <c r="BF584" s="220"/>
      <c r="BG584" s="219"/>
      <c r="BH584" s="219"/>
      <c r="BI584" s="220"/>
      <c r="BJ584" s="218"/>
      <c r="BK584" s="219"/>
      <c r="BL584" s="197"/>
      <c r="BM584" s="215"/>
      <c r="BN584" s="221"/>
      <c r="BO584" s="222" t="str">
        <f t="shared" si="105"/>
        <v/>
      </c>
      <c r="BP584" s="217" t="str">
        <f t="shared" si="106"/>
        <v/>
      </c>
      <c r="BQ584" s="215"/>
      <c r="BR584" s="224"/>
      <c r="BS584" s="225"/>
      <c r="BT584" s="223"/>
      <c r="BU584" s="215"/>
      <c r="BV584" s="226"/>
      <c r="BW584" s="222" t="str">
        <f t="shared" si="107"/>
        <v/>
      </c>
      <c r="BX584" s="223" t="str">
        <f t="shared" si="108"/>
        <v/>
      </c>
      <c r="BY584" s="215"/>
      <c r="BZ584" s="227"/>
      <c r="CA584" s="227"/>
      <c r="CB584" s="228"/>
      <c r="CC584" s="229"/>
      <c r="CD584" s="230" t="str">
        <f t="shared" si="109"/>
        <v/>
      </c>
      <c r="CE584" s="231" t="str">
        <f t="shared" si="110"/>
        <v/>
      </c>
      <c r="CF584" s="232" t="str">
        <f t="shared" si="111"/>
        <v/>
      </c>
      <c r="CG584" s="233" t="str">
        <f t="shared" si="112"/>
        <v/>
      </c>
      <c r="CH584" s="207" t="str">
        <f>IF(OR(G584="",CC584= ""), "", IF(ISERROR(SMALL((CJ584,CN584,CV584), 1)-CC584), "",  SMALL((CJ584,CN584,CV584), 1)-CC584))</f>
        <v/>
      </c>
      <c r="CI584" s="234"/>
      <c r="CJ584" s="235"/>
      <c r="CK584" s="236"/>
      <c r="CL584" s="222" t="str">
        <f t="shared" si="113"/>
        <v/>
      </c>
      <c r="CM584" s="237" t="str">
        <f>IF(OR(G584="", CJ584="",CK584=""), "", IF(ISERROR(SMALL((CN584,CV584), 1)-CK584), "",  SMALL((CN584,CV584), 1)-CK584))</f>
        <v/>
      </c>
      <c r="CN584" s="235"/>
      <c r="CO584" s="236"/>
      <c r="CP584" s="224" t="str">
        <f t="shared" si="114"/>
        <v/>
      </c>
      <c r="CQ584" s="235"/>
      <c r="CR584" s="236"/>
      <c r="CS584" s="222" t="str">
        <f t="shared" si="115"/>
        <v/>
      </c>
      <c r="CT584" s="237" t="str">
        <f t="shared" si="116"/>
        <v/>
      </c>
      <c r="CU584" s="238"/>
      <c r="CV584" s="239"/>
      <c r="CW584" s="240"/>
    </row>
    <row r="585" spans="2:101" ht="16.5" customHeight="1">
      <c r="B585" s="122"/>
      <c r="E585" s="122"/>
      <c r="F585" s="194"/>
      <c r="G585" s="195"/>
      <c r="H585" s="195"/>
      <c r="I585" s="195"/>
      <c r="J585" s="196"/>
      <c r="K585" s="197"/>
      <c r="L585" s="198"/>
      <c r="M585" s="199"/>
      <c r="N585" s="200"/>
      <c r="O585" s="201"/>
      <c r="P585" s="201"/>
      <c r="Q585" s="201"/>
      <c r="R585" s="201"/>
      <c r="S585" s="201"/>
      <c r="T585" s="201"/>
      <c r="U585" s="201"/>
      <c r="V585" s="201"/>
      <c r="W585" s="201"/>
      <c r="X585" s="202"/>
      <c r="Y585" s="203"/>
      <c r="Z585" s="204"/>
      <c r="AA585" s="205"/>
      <c r="AB585" s="206"/>
      <c r="AC585" s="206"/>
      <c r="AD585" s="194"/>
      <c r="AE585" s="201"/>
      <c r="AF585" s="207"/>
      <c r="AG585" s="208"/>
      <c r="AH585" s="209"/>
      <c r="AI585" s="210"/>
      <c r="AJ585" s="197"/>
      <c r="AK585" s="201"/>
      <c r="AL585" s="196"/>
      <c r="AM585" s="201"/>
      <c r="AN585" s="201"/>
      <c r="AO585" s="201"/>
      <c r="AP585" s="211"/>
      <c r="AQ585" s="212"/>
      <c r="AR585" s="201"/>
      <c r="AS585" s="201"/>
      <c r="AT585" s="201"/>
      <c r="AU585" s="201"/>
      <c r="AV585" s="202"/>
      <c r="AW585" s="194"/>
      <c r="AX585" s="201"/>
      <c r="AY585" s="213"/>
      <c r="AZ585" s="214"/>
      <c r="BA585" s="215"/>
      <c r="BB585" s="216"/>
      <c r="BC585" s="217" t="str">
        <f t="shared" ref="BC585:BC648" si="117">IF(OR($H585="", $BM585="", BB585=""), "", IF(ISERROR($BM585-BB585), "", $BM585-BB585))</f>
        <v/>
      </c>
      <c r="BD585" s="218"/>
      <c r="BE585" s="219"/>
      <c r="BF585" s="220"/>
      <c r="BG585" s="219"/>
      <c r="BH585" s="219"/>
      <c r="BI585" s="220"/>
      <c r="BJ585" s="218"/>
      <c r="BK585" s="219"/>
      <c r="BL585" s="197"/>
      <c r="BM585" s="215"/>
      <c r="BN585" s="221"/>
      <c r="BO585" s="222" t="str">
        <f t="shared" ref="BO585:BO648" si="118">IF(OR(G585="", BM585="", BN585=""), "", IF(ISERROR(BN585-BM585+1), "", BN585-BM585+1))</f>
        <v/>
      </c>
      <c r="BP585" s="217" t="str">
        <f t="shared" ref="BP585:BP648" si="119">IF(OR(G585="", BN585="", BY585=""), "", IF(ISERROR(BY585-BN585), "", BY585-BN585))</f>
        <v/>
      </c>
      <c r="BQ585" s="215"/>
      <c r="BR585" s="224"/>
      <c r="BS585" s="225"/>
      <c r="BT585" s="223"/>
      <c r="BU585" s="215"/>
      <c r="BV585" s="226"/>
      <c r="BW585" s="222" t="str">
        <f t="shared" ref="BW585:BW600" si="120">IF(OR(H585="", BU585="", BV585=""), "", IF(ISERROR(BV585-BU585+1), "", BV585-BU585+1))</f>
        <v/>
      </c>
      <c r="BX585" s="223" t="str">
        <f t="shared" ref="BX585:BX648" si="121">IF(OR(H585="", BV585="", CB585=""), "", IF(ISERROR(CB585-BV585), "", CB585-BV585))</f>
        <v/>
      </c>
      <c r="BY585" s="215"/>
      <c r="BZ585" s="227"/>
      <c r="CA585" s="227"/>
      <c r="CB585" s="228"/>
      <c r="CC585" s="229"/>
      <c r="CD585" s="230" t="str">
        <f t="shared" ref="CD585:CD600" si="122">IF(OR($H585="",$BY585="",$CB585=""),"",IF((ISERROR($CB585-$BY585+1)),"",$CB585-$BY585+1))</f>
        <v/>
      </c>
      <c r="CE585" s="231" t="str">
        <f t="shared" ref="CE585:CE600" si="123">IF(OR(CB585="", CC585=""),"", IF(ISERROR(CC585-CB585+1), "",CC585-CB585+1))</f>
        <v/>
      </c>
      <c r="CF585" s="232" t="str">
        <f t="shared" ref="CF585:CF600" si="124">IF(OR(BY585="", CC585=""), "", IF(ISERROR(CC585-BY585+1), "",CC585-BY585+1))</f>
        <v/>
      </c>
      <c r="CG585" s="233" t="str">
        <f t="shared" ref="CG585:CG600" si="125">IF(OR(G585="", CC585="", CV585=""), "", IF(ISERROR(CV585-CC585), "", CV585-CC585))</f>
        <v/>
      </c>
      <c r="CH585" s="207" t="str">
        <f>IF(OR(G585="",CC585= ""), "", IF(ISERROR(SMALL((CJ585,CN585,CV585), 1)-CC585), "",  SMALL((CJ585,CN585,CV585), 1)-CC585))</f>
        <v/>
      </c>
      <c r="CI585" s="234"/>
      <c r="CJ585" s="235"/>
      <c r="CK585" s="236"/>
      <c r="CL585" s="222" t="str">
        <f t="shared" ref="CL585:CL600" si="126">IF(OR(G585="", CJ585="", CK585=""), "",   IF(ISERROR(CK585-CJ585+1), "",CK585-CJ585+1))</f>
        <v/>
      </c>
      <c r="CM585" s="237" t="str">
        <f>IF(OR(G585="", CJ585="",CK585=""), "", IF(ISERROR(SMALL((CN585,CV585), 1)-CK585), "",  SMALL((CN585,CV585), 1)-CK585))</f>
        <v/>
      </c>
      <c r="CN585" s="235"/>
      <c r="CO585" s="236"/>
      <c r="CP585" s="224" t="str">
        <f t="shared" ref="CP585:CP600" si="127">IF(OR(G585="", CN585="", CO585=""), "",   IF(ISERROR(CO585-CN585+1), "",CO585-CN585+1))</f>
        <v/>
      </c>
      <c r="CQ585" s="235"/>
      <c r="CR585" s="236"/>
      <c r="CS585" s="222" t="str">
        <f t="shared" ref="CS585:CS600" si="128">IF(OR(G585="", CQ585="", CR585=""), "",   IF(ISERROR(CR585-CQ585+1), "",CR585-CQ585+1))</f>
        <v/>
      </c>
      <c r="CT585" s="237" t="str">
        <f t="shared" ref="CT585:CT600" si="129">IF(AND(G585="", CK585="",CR585=""), "",IF(CR585="", IF(ISERROR(CV585-CK585), "",  CV585-CK585),  IF(ISERROR(CV585-CR585), "", CV585-CR585)))</f>
        <v/>
      </c>
      <c r="CU585" s="238"/>
      <c r="CV585" s="239"/>
      <c r="CW585" s="240"/>
    </row>
    <row r="586" spans="2:101" ht="16.5" customHeight="1">
      <c r="B586" s="122"/>
      <c r="E586" s="122"/>
      <c r="F586" s="194"/>
      <c r="G586" s="195"/>
      <c r="H586" s="195"/>
      <c r="I586" s="195"/>
      <c r="J586" s="196"/>
      <c r="K586" s="197"/>
      <c r="L586" s="198"/>
      <c r="M586" s="199"/>
      <c r="N586" s="200"/>
      <c r="O586" s="201"/>
      <c r="P586" s="201"/>
      <c r="Q586" s="201"/>
      <c r="R586" s="201"/>
      <c r="S586" s="201"/>
      <c r="T586" s="201"/>
      <c r="U586" s="201"/>
      <c r="V586" s="201"/>
      <c r="W586" s="201"/>
      <c r="X586" s="202"/>
      <c r="Y586" s="203"/>
      <c r="Z586" s="204"/>
      <c r="AA586" s="205"/>
      <c r="AB586" s="206"/>
      <c r="AC586" s="206"/>
      <c r="AD586" s="194"/>
      <c r="AE586" s="201"/>
      <c r="AF586" s="207"/>
      <c r="AG586" s="208"/>
      <c r="AH586" s="209"/>
      <c r="AI586" s="210"/>
      <c r="AJ586" s="197"/>
      <c r="AK586" s="201"/>
      <c r="AL586" s="196"/>
      <c r="AM586" s="201"/>
      <c r="AN586" s="201"/>
      <c r="AO586" s="201"/>
      <c r="AP586" s="211"/>
      <c r="AQ586" s="212"/>
      <c r="AR586" s="201"/>
      <c r="AS586" s="201"/>
      <c r="AT586" s="201"/>
      <c r="AU586" s="201"/>
      <c r="AV586" s="202"/>
      <c r="AW586" s="194"/>
      <c r="AX586" s="201"/>
      <c r="AY586" s="213"/>
      <c r="AZ586" s="214"/>
      <c r="BA586" s="215"/>
      <c r="BB586" s="216"/>
      <c r="BC586" s="217" t="str">
        <f t="shared" si="117"/>
        <v/>
      </c>
      <c r="BD586" s="218"/>
      <c r="BE586" s="219"/>
      <c r="BF586" s="220"/>
      <c r="BG586" s="219"/>
      <c r="BH586" s="219"/>
      <c r="BI586" s="220"/>
      <c r="BJ586" s="218"/>
      <c r="BK586" s="219"/>
      <c r="BL586" s="197"/>
      <c r="BM586" s="215"/>
      <c r="BN586" s="221"/>
      <c r="BO586" s="222" t="str">
        <f t="shared" si="118"/>
        <v/>
      </c>
      <c r="BP586" s="217" t="str">
        <f t="shared" si="119"/>
        <v/>
      </c>
      <c r="BQ586" s="215"/>
      <c r="BR586" s="224"/>
      <c r="BS586" s="225"/>
      <c r="BT586" s="223"/>
      <c r="BU586" s="215"/>
      <c r="BV586" s="226"/>
      <c r="BW586" s="222" t="str">
        <f t="shared" si="120"/>
        <v/>
      </c>
      <c r="BX586" s="223" t="str">
        <f t="shared" si="121"/>
        <v/>
      </c>
      <c r="BY586" s="215"/>
      <c r="BZ586" s="227"/>
      <c r="CA586" s="227"/>
      <c r="CB586" s="228"/>
      <c r="CC586" s="229"/>
      <c r="CD586" s="230" t="str">
        <f t="shared" si="122"/>
        <v/>
      </c>
      <c r="CE586" s="231" t="str">
        <f t="shared" si="123"/>
        <v/>
      </c>
      <c r="CF586" s="232" t="str">
        <f t="shared" si="124"/>
        <v/>
      </c>
      <c r="CG586" s="233" t="str">
        <f t="shared" si="125"/>
        <v/>
      </c>
      <c r="CH586" s="207" t="str">
        <f>IF(OR(G586="",CC586= ""), "", IF(ISERROR(SMALL((CJ586,CN586,CV586), 1)-CC586), "",  SMALL((CJ586,CN586,CV586), 1)-CC586))</f>
        <v/>
      </c>
      <c r="CI586" s="234"/>
      <c r="CJ586" s="235"/>
      <c r="CK586" s="236"/>
      <c r="CL586" s="222" t="str">
        <f t="shared" si="126"/>
        <v/>
      </c>
      <c r="CM586" s="237" t="str">
        <f>IF(OR(G586="", CJ586="",CK586=""), "", IF(ISERROR(SMALL((CN586,CV586), 1)-CK586), "",  SMALL((CN586,CV586), 1)-CK586))</f>
        <v/>
      </c>
      <c r="CN586" s="235"/>
      <c r="CO586" s="236"/>
      <c r="CP586" s="224" t="str">
        <f t="shared" si="127"/>
        <v/>
      </c>
      <c r="CQ586" s="235"/>
      <c r="CR586" s="236"/>
      <c r="CS586" s="222" t="str">
        <f t="shared" si="128"/>
        <v/>
      </c>
      <c r="CT586" s="237" t="str">
        <f t="shared" si="129"/>
        <v/>
      </c>
      <c r="CU586" s="238"/>
      <c r="CV586" s="239"/>
      <c r="CW586" s="240"/>
    </row>
    <row r="587" spans="2:101" ht="16.5" customHeight="1">
      <c r="B587" s="122"/>
      <c r="E587" s="122"/>
      <c r="F587" s="194"/>
      <c r="G587" s="195"/>
      <c r="H587" s="195"/>
      <c r="I587" s="195"/>
      <c r="J587" s="196"/>
      <c r="K587" s="197"/>
      <c r="L587" s="198"/>
      <c r="M587" s="199"/>
      <c r="N587" s="200"/>
      <c r="O587" s="201"/>
      <c r="P587" s="201"/>
      <c r="Q587" s="201"/>
      <c r="R587" s="201"/>
      <c r="S587" s="201"/>
      <c r="T587" s="201"/>
      <c r="U587" s="201"/>
      <c r="V587" s="201"/>
      <c r="W587" s="201"/>
      <c r="X587" s="202"/>
      <c r="Y587" s="203"/>
      <c r="Z587" s="204"/>
      <c r="AA587" s="205"/>
      <c r="AB587" s="206"/>
      <c r="AC587" s="206"/>
      <c r="AD587" s="194"/>
      <c r="AE587" s="201"/>
      <c r="AF587" s="207"/>
      <c r="AG587" s="208"/>
      <c r="AH587" s="209"/>
      <c r="AI587" s="210"/>
      <c r="AJ587" s="197"/>
      <c r="AK587" s="201"/>
      <c r="AL587" s="196"/>
      <c r="AM587" s="201"/>
      <c r="AN587" s="201"/>
      <c r="AO587" s="201"/>
      <c r="AP587" s="211"/>
      <c r="AQ587" s="212"/>
      <c r="AR587" s="201"/>
      <c r="AS587" s="201"/>
      <c r="AT587" s="201"/>
      <c r="AU587" s="201"/>
      <c r="AV587" s="202"/>
      <c r="AW587" s="194"/>
      <c r="AX587" s="201"/>
      <c r="AY587" s="213"/>
      <c r="AZ587" s="214"/>
      <c r="BA587" s="215"/>
      <c r="BB587" s="216"/>
      <c r="BC587" s="217" t="str">
        <f t="shared" si="117"/>
        <v/>
      </c>
      <c r="BD587" s="218"/>
      <c r="BE587" s="219"/>
      <c r="BF587" s="220"/>
      <c r="BG587" s="219"/>
      <c r="BH587" s="219"/>
      <c r="BI587" s="220"/>
      <c r="BJ587" s="218"/>
      <c r="BK587" s="219"/>
      <c r="BL587" s="197"/>
      <c r="BM587" s="215"/>
      <c r="BN587" s="221"/>
      <c r="BO587" s="222" t="str">
        <f t="shared" si="118"/>
        <v/>
      </c>
      <c r="BP587" s="217" t="str">
        <f t="shared" si="119"/>
        <v/>
      </c>
      <c r="BQ587" s="215"/>
      <c r="BR587" s="224"/>
      <c r="BS587" s="225"/>
      <c r="BT587" s="223"/>
      <c r="BU587" s="215"/>
      <c r="BV587" s="226"/>
      <c r="BW587" s="222" t="str">
        <f t="shared" si="120"/>
        <v/>
      </c>
      <c r="BX587" s="223" t="str">
        <f t="shared" si="121"/>
        <v/>
      </c>
      <c r="BY587" s="215"/>
      <c r="BZ587" s="227"/>
      <c r="CA587" s="227"/>
      <c r="CB587" s="228"/>
      <c r="CC587" s="229"/>
      <c r="CD587" s="230" t="str">
        <f t="shared" si="122"/>
        <v/>
      </c>
      <c r="CE587" s="231" t="str">
        <f t="shared" si="123"/>
        <v/>
      </c>
      <c r="CF587" s="232" t="str">
        <f t="shared" si="124"/>
        <v/>
      </c>
      <c r="CG587" s="233" t="str">
        <f t="shared" si="125"/>
        <v/>
      </c>
      <c r="CH587" s="207" t="str">
        <f>IF(OR(G587="",CC587= ""), "", IF(ISERROR(SMALL((CJ587,CN587,CV587), 1)-CC587), "",  SMALL((CJ587,CN587,CV587), 1)-CC587))</f>
        <v/>
      </c>
      <c r="CI587" s="234"/>
      <c r="CJ587" s="235"/>
      <c r="CK587" s="236"/>
      <c r="CL587" s="222" t="str">
        <f t="shared" si="126"/>
        <v/>
      </c>
      <c r="CM587" s="237" t="str">
        <f>IF(OR(G587="", CJ587="",CK587=""), "", IF(ISERROR(SMALL((CN587,CV587), 1)-CK587), "",  SMALL((CN587,CV587), 1)-CK587))</f>
        <v/>
      </c>
      <c r="CN587" s="235"/>
      <c r="CO587" s="236"/>
      <c r="CP587" s="224" t="str">
        <f t="shared" si="127"/>
        <v/>
      </c>
      <c r="CQ587" s="235"/>
      <c r="CR587" s="236"/>
      <c r="CS587" s="222" t="str">
        <f t="shared" si="128"/>
        <v/>
      </c>
      <c r="CT587" s="237" t="str">
        <f t="shared" si="129"/>
        <v/>
      </c>
      <c r="CU587" s="238"/>
      <c r="CV587" s="239"/>
      <c r="CW587" s="240"/>
    </row>
    <row r="588" spans="2:101" ht="16.5" customHeight="1">
      <c r="B588" s="122"/>
      <c r="E588" s="122"/>
      <c r="F588" s="194"/>
      <c r="G588" s="195"/>
      <c r="H588" s="195"/>
      <c r="I588" s="195"/>
      <c r="J588" s="196"/>
      <c r="K588" s="197"/>
      <c r="L588" s="198"/>
      <c r="M588" s="199"/>
      <c r="N588" s="200"/>
      <c r="O588" s="201"/>
      <c r="P588" s="201"/>
      <c r="Q588" s="201"/>
      <c r="R588" s="201"/>
      <c r="S588" s="201"/>
      <c r="T588" s="201"/>
      <c r="U588" s="201"/>
      <c r="V588" s="201"/>
      <c r="W588" s="201"/>
      <c r="X588" s="202"/>
      <c r="Y588" s="203"/>
      <c r="Z588" s="204"/>
      <c r="AA588" s="205"/>
      <c r="AB588" s="206"/>
      <c r="AC588" s="206"/>
      <c r="AD588" s="194"/>
      <c r="AE588" s="201"/>
      <c r="AF588" s="207"/>
      <c r="AG588" s="208"/>
      <c r="AH588" s="209"/>
      <c r="AI588" s="210"/>
      <c r="AJ588" s="197"/>
      <c r="AK588" s="201"/>
      <c r="AL588" s="196"/>
      <c r="AM588" s="201"/>
      <c r="AN588" s="201"/>
      <c r="AO588" s="201"/>
      <c r="AP588" s="211"/>
      <c r="AQ588" s="212"/>
      <c r="AR588" s="201"/>
      <c r="AS588" s="201"/>
      <c r="AT588" s="201"/>
      <c r="AU588" s="201"/>
      <c r="AV588" s="202"/>
      <c r="AW588" s="194"/>
      <c r="AX588" s="201"/>
      <c r="AY588" s="213"/>
      <c r="AZ588" s="214"/>
      <c r="BA588" s="215"/>
      <c r="BB588" s="216"/>
      <c r="BC588" s="217" t="str">
        <f t="shared" si="117"/>
        <v/>
      </c>
      <c r="BD588" s="218"/>
      <c r="BE588" s="219"/>
      <c r="BF588" s="220"/>
      <c r="BG588" s="219"/>
      <c r="BH588" s="219"/>
      <c r="BI588" s="220"/>
      <c r="BJ588" s="218"/>
      <c r="BK588" s="219"/>
      <c r="BL588" s="197"/>
      <c r="BM588" s="215"/>
      <c r="BN588" s="221"/>
      <c r="BO588" s="222" t="str">
        <f t="shared" si="118"/>
        <v/>
      </c>
      <c r="BP588" s="217" t="str">
        <f t="shared" si="119"/>
        <v/>
      </c>
      <c r="BQ588" s="215"/>
      <c r="BR588" s="224"/>
      <c r="BS588" s="225"/>
      <c r="BT588" s="223"/>
      <c r="BU588" s="215"/>
      <c r="BV588" s="226"/>
      <c r="BW588" s="222" t="str">
        <f t="shared" si="120"/>
        <v/>
      </c>
      <c r="BX588" s="223" t="str">
        <f t="shared" si="121"/>
        <v/>
      </c>
      <c r="BY588" s="215"/>
      <c r="BZ588" s="227"/>
      <c r="CA588" s="227"/>
      <c r="CB588" s="228"/>
      <c r="CC588" s="229"/>
      <c r="CD588" s="230" t="str">
        <f t="shared" si="122"/>
        <v/>
      </c>
      <c r="CE588" s="231" t="str">
        <f t="shared" si="123"/>
        <v/>
      </c>
      <c r="CF588" s="232" t="str">
        <f t="shared" si="124"/>
        <v/>
      </c>
      <c r="CG588" s="233" t="str">
        <f t="shared" si="125"/>
        <v/>
      </c>
      <c r="CH588" s="207" t="str">
        <f>IF(OR(G588="",CC588= ""), "", IF(ISERROR(SMALL((CJ588,CN588,CV588), 1)-CC588), "",  SMALL((CJ588,CN588,CV588), 1)-CC588))</f>
        <v/>
      </c>
      <c r="CI588" s="234"/>
      <c r="CJ588" s="235"/>
      <c r="CK588" s="236"/>
      <c r="CL588" s="222" t="str">
        <f t="shared" si="126"/>
        <v/>
      </c>
      <c r="CM588" s="237" t="str">
        <f>IF(OR(G588="", CJ588="",CK588=""), "", IF(ISERROR(SMALL((CN588,CV588), 1)-CK588), "",  SMALL((CN588,CV588), 1)-CK588))</f>
        <v/>
      </c>
      <c r="CN588" s="235"/>
      <c r="CO588" s="236"/>
      <c r="CP588" s="224" t="str">
        <f t="shared" si="127"/>
        <v/>
      </c>
      <c r="CQ588" s="235"/>
      <c r="CR588" s="236"/>
      <c r="CS588" s="222" t="str">
        <f t="shared" si="128"/>
        <v/>
      </c>
      <c r="CT588" s="237" t="str">
        <f t="shared" si="129"/>
        <v/>
      </c>
      <c r="CU588" s="238"/>
      <c r="CV588" s="239"/>
      <c r="CW588" s="240"/>
    </row>
    <row r="589" spans="2:101" ht="16.5" customHeight="1">
      <c r="B589" s="122"/>
      <c r="E589" s="122"/>
      <c r="F589" s="194"/>
      <c r="G589" s="195"/>
      <c r="H589" s="195"/>
      <c r="I589" s="195"/>
      <c r="J589" s="196"/>
      <c r="K589" s="197"/>
      <c r="L589" s="198"/>
      <c r="M589" s="199"/>
      <c r="N589" s="200"/>
      <c r="O589" s="201"/>
      <c r="P589" s="201"/>
      <c r="Q589" s="201"/>
      <c r="R589" s="201"/>
      <c r="S589" s="201"/>
      <c r="T589" s="201"/>
      <c r="U589" s="201"/>
      <c r="V589" s="201"/>
      <c r="W589" s="201"/>
      <c r="X589" s="202"/>
      <c r="Y589" s="203"/>
      <c r="Z589" s="204"/>
      <c r="AA589" s="205"/>
      <c r="AB589" s="206"/>
      <c r="AC589" s="206"/>
      <c r="AD589" s="194"/>
      <c r="AE589" s="201"/>
      <c r="AF589" s="207"/>
      <c r="AG589" s="208"/>
      <c r="AH589" s="209"/>
      <c r="AI589" s="210"/>
      <c r="AJ589" s="197"/>
      <c r="AK589" s="201"/>
      <c r="AL589" s="196"/>
      <c r="AM589" s="201"/>
      <c r="AN589" s="201"/>
      <c r="AO589" s="201"/>
      <c r="AP589" s="211"/>
      <c r="AQ589" s="212"/>
      <c r="AR589" s="201"/>
      <c r="AS589" s="201"/>
      <c r="AT589" s="201"/>
      <c r="AU589" s="201"/>
      <c r="AV589" s="202"/>
      <c r="AW589" s="194"/>
      <c r="AX589" s="201"/>
      <c r="AY589" s="213"/>
      <c r="AZ589" s="214"/>
      <c r="BA589" s="215"/>
      <c r="BB589" s="216"/>
      <c r="BC589" s="217" t="str">
        <f t="shared" si="117"/>
        <v/>
      </c>
      <c r="BD589" s="218"/>
      <c r="BE589" s="219"/>
      <c r="BF589" s="220"/>
      <c r="BG589" s="219"/>
      <c r="BH589" s="219"/>
      <c r="BI589" s="220"/>
      <c r="BJ589" s="218"/>
      <c r="BK589" s="219"/>
      <c r="BL589" s="197"/>
      <c r="BM589" s="215"/>
      <c r="BN589" s="221"/>
      <c r="BO589" s="222" t="str">
        <f t="shared" si="118"/>
        <v/>
      </c>
      <c r="BP589" s="217" t="str">
        <f t="shared" si="119"/>
        <v/>
      </c>
      <c r="BQ589" s="215"/>
      <c r="BR589" s="224"/>
      <c r="BS589" s="225"/>
      <c r="BT589" s="223"/>
      <c r="BU589" s="215"/>
      <c r="BV589" s="226"/>
      <c r="BW589" s="222" t="str">
        <f t="shared" si="120"/>
        <v/>
      </c>
      <c r="BX589" s="223" t="str">
        <f t="shared" si="121"/>
        <v/>
      </c>
      <c r="BY589" s="215"/>
      <c r="BZ589" s="227"/>
      <c r="CA589" s="227"/>
      <c r="CB589" s="228"/>
      <c r="CC589" s="229"/>
      <c r="CD589" s="230" t="str">
        <f t="shared" si="122"/>
        <v/>
      </c>
      <c r="CE589" s="231" t="str">
        <f t="shared" si="123"/>
        <v/>
      </c>
      <c r="CF589" s="232" t="str">
        <f t="shared" si="124"/>
        <v/>
      </c>
      <c r="CG589" s="233" t="str">
        <f t="shared" si="125"/>
        <v/>
      </c>
      <c r="CH589" s="207" t="str">
        <f>IF(OR(G589="",CC589= ""), "", IF(ISERROR(SMALL((CJ589,CN589,CV589), 1)-CC589), "",  SMALL((CJ589,CN589,CV589), 1)-CC589))</f>
        <v/>
      </c>
      <c r="CI589" s="234"/>
      <c r="CJ589" s="235"/>
      <c r="CK589" s="236"/>
      <c r="CL589" s="222" t="str">
        <f t="shared" si="126"/>
        <v/>
      </c>
      <c r="CM589" s="237" t="str">
        <f>IF(OR(G589="", CJ589="",CK589=""), "", IF(ISERROR(SMALL((CN589,CV589), 1)-CK589), "",  SMALL((CN589,CV589), 1)-CK589))</f>
        <v/>
      </c>
      <c r="CN589" s="235"/>
      <c r="CO589" s="236"/>
      <c r="CP589" s="224" t="str">
        <f t="shared" si="127"/>
        <v/>
      </c>
      <c r="CQ589" s="235"/>
      <c r="CR589" s="236"/>
      <c r="CS589" s="222" t="str">
        <f t="shared" si="128"/>
        <v/>
      </c>
      <c r="CT589" s="237" t="str">
        <f t="shared" si="129"/>
        <v/>
      </c>
      <c r="CU589" s="238"/>
      <c r="CV589" s="239"/>
      <c r="CW589" s="240"/>
    </row>
    <row r="590" spans="2:101" ht="16.5" customHeight="1">
      <c r="B590" s="122"/>
      <c r="E590" s="122"/>
      <c r="F590" s="194"/>
      <c r="G590" s="195"/>
      <c r="H590" s="195"/>
      <c r="I590" s="195"/>
      <c r="J590" s="196"/>
      <c r="K590" s="197"/>
      <c r="L590" s="198"/>
      <c r="M590" s="199"/>
      <c r="N590" s="200"/>
      <c r="O590" s="201"/>
      <c r="P590" s="201"/>
      <c r="Q590" s="201"/>
      <c r="R590" s="201"/>
      <c r="S590" s="201"/>
      <c r="T590" s="201"/>
      <c r="U590" s="201"/>
      <c r="V590" s="201"/>
      <c r="W590" s="201"/>
      <c r="X590" s="202"/>
      <c r="Y590" s="203"/>
      <c r="Z590" s="204"/>
      <c r="AA590" s="205"/>
      <c r="AB590" s="206"/>
      <c r="AC590" s="206"/>
      <c r="AD590" s="194"/>
      <c r="AE590" s="201"/>
      <c r="AF590" s="207"/>
      <c r="AG590" s="208"/>
      <c r="AH590" s="209"/>
      <c r="AI590" s="210"/>
      <c r="AJ590" s="197"/>
      <c r="AK590" s="201"/>
      <c r="AL590" s="196"/>
      <c r="AM590" s="201"/>
      <c r="AN590" s="201"/>
      <c r="AO590" s="201"/>
      <c r="AP590" s="211"/>
      <c r="AQ590" s="212"/>
      <c r="AR590" s="201"/>
      <c r="AS590" s="201"/>
      <c r="AT590" s="201"/>
      <c r="AU590" s="201"/>
      <c r="AV590" s="202"/>
      <c r="AW590" s="194"/>
      <c r="AX590" s="201"/>
      <c r="AY590" s="213"/>
      <c r="AZ590" s="214"/>
      <c r="BA590" s="215"/>
      <c r="BB590" s="216"/>
      <c r="BC590" s="217" t="str">
        <f t="shared" si="117"/>
        <v/>
      </c>
      <c r="BD590" s="218"/>
      <c r="BE590" s="219"/>
      <c r="BF590" s="220"/>
      <c r="BG590" s="219"/>
      <c r="BH590" s="219"/>
      <c r="BI590" s="220"/>
      <c r="BJ590" s="218"/>
      <c r="BK590" s="219"/>
      <c r="BL590" s="197"/>
      <c r="BM590" s="215"/>
      <c r="BN590" s="221"/>
      <c r="BO590" s="222" t="str">
        <f t="shared" si="118"/>
        <v/>
      </c>
      <c r="BP590" s="217" t="str">
        <f t="shared" si="119"/>
        <v/>
      </c>
      <c r="BQ590" s="215"/>
      <c r="BR590" s="224"/>
      <c r="BS590" s="225"/>
      <c r="BT590" s="223"/>
      <c r="BU590" s="215"/>
      <c r="BV590" s="226"/>
      <c r="BW590" s="222" t="str">
        <f t="shared" si="120"/>
        <v/>
      </c>
      <c r="BX590" s="223" t="str">
        <f t="shared" si="121"/>
        <v/>
      </c>
      <c r="BY590" s="215"/>
      <c r="BZ590" s="227"/>
      <c r="CA590" s="227"/>
      <c r="CB590" s="228"/>
      <c r="CC590" s="229"/>
      <c r="CD590" s="230" t="str">
        <f t="shared" si="122"/>
        <v/>
      </c>
      <c r="CE590" s="231" t="str">
        <f t="shared" si="123"/>
        <v/>
      </c>
      <c r="CF590" s="232" t="str">
        <f t="shared" si="124"/>
        <v/>
      </c>
      <c r="CG590" s="233" t="str">
        <f t="shared" si="125"/>
        <v/>
      </c>
      <c r="CH590" s="207" t="str">
        <f>IF(OR(G590="",CC590= ""), "", IF(ISERROR(SMALL((CJ590,CN590,CV590), 1)-CC590), "",  SMALL((CJ590,CN590,CV590), 1)-CC590))</f>
        <v/>
      </c>
      <c r="CI590" s="234"/>
      <c r="CJ590" s="235"/>
      <c r="CK590" s="236"/>
      <c r="CL590" s="222" t="str">
        <f t="shared" si="126"/>
        <v/>
      </c>
      <c r="CM590" s="237" t="str">
        <f>IF(OR(G590="", CJ590="",CK590=""), "", IF(ISERROR(SMALL((CN590,CV590), 1)-CK590), "",  SMALL((CN590,CV590), 1)-CK590))</f>
        <v/>
      </c>
      <c r="CN590" s="235"/>
      <c r="CO590" s="236"/>
      <c r="CP590" s="224" t="str">
        <f t="shared" si="127"/>
        <v/>
      </c>
      <c r="CQ590" s="235"/>
      <c r="CR590" s="236"/>
      <c r="CS590" s="222" t="str">
        <f t="shared" si="128"/>
        <v/>
      </c>
      <c r="CT590" s="237" t="str">
        <f t="shared" si="129"/>
        <v/>
      </c>
      <c r="CU590" s="238"/>
      <c r="CV590" s="239"/>
      <c r="CW590" s="240"/>
    </row>
    <row r="591" spans="2:101" ht="16.5" customHeight="1">
      <c r="B591" s="122"/>
      <c r="E591" s="122"/>
      <c r="F591" s="194"/>
      <c r="G591" s="195"/>
      <c r="H591" s="195"/>
      <c r="I591" s="195"/>
      <c r="J591" s="196"/>
      <c r="K591" s="197"/>
      <c r="L591" s="198"/>
      <c r="M591" s="199"/>
      <c r="N591" s="200"/>
      <c r="O591" s="201"/>
      <c r="P591" s="201"/>
      <c r="Q591" s="201"/>
      <c r="R591" s="201"/>
      <c r="S591" s="201"/>
      <c r="T591" s="201"/>
      <c r="U591" s="201"/>
      <c r="V591" s="201"/>
      <c r="W591" s="201"/>
      <c r="X591" s="202"/>
      <c r="Y591" s="203"/>
      <c r="Z591" s="204"/>
      <c r="AA591" s="205"/>
      <c r="AB591" s="206"/>
      <c r="AC591" s="206"/>
      <c r="AD591" s="194"/>
      <c r="AE591" s="201"/>
      <c r="AF591" s="207"/>
      <c r="AG591" s="208"/>
      <c r="AH591" s="209"/>
      <c r="AI591" s="210"/>
      <c r="AJ591" s="197"/>
      <c r="AK591" s="201"/>
      <c r="AL591" s="196"/>
      <c r="AM591" s="201"/>
      <c r="AN591" s="201"/>
      <c r="AO591" s="201"/>
      <c r="AP591" s="211"/>
      <c r="AQ591" s="212"/>
      <c r="AR591" s="201"/>
      <c r="AS591" s="201"/>
      <c r="AT591" s="201"/>
      <c r="AU591" s="201"/>
      <c r="AV591" s="202"/>
      <c r="AW591" s="194"/>
      <c r="AX591" s="201"/>
      <c r="AY591" s="213"/>
      <c r="AZ591" s="214"/>
      <c r="BA591" s="215"/>
      <c r="BB591" s="216"/>
      <c r="BC591" s="217" t="str">
        <f t="shared" si="117"/>
        <v/>
      </c>
      <c r="BD591" s="218"/>
      <c r="BE591" s="219"/>
      <c r="BF591" s="220"/>
      <c r="BG591" s="219"/>
      <c r="BH591" s="219"/>
      <c r="BI591" s="220"/>
      <c r="BJ591" s="218"/>
      <c r="BK591" s="219"/>
      <c r="BL591" s="197"/>
      <c r="BM591" s="215"/>
      <c r="BN591" s="221"/>
      <c r="BO591" s="222" t="str">
        <f t="shared" si="118"/>
        <v/>
      </c>
      <c r="BP591" s="217" t="str">
        <f t="shared" si="119"/>
        <v/>
      </c>
      <c r="BQ591" s="215"/>
      <c r="BR591" s="224"/>
      <c r="BS591" s="225"/>
      <c r="BT591" s="223"/>
      <c r="BU591" s="215"/>
      <c r="BV591" s="226"/>
      <c r="BW591" s="222" t="str">
        <f t="shared" si="120"/>
        <v/>
      </c>
      <c r="BX591" s="223" t="str">
        <f t="shared" si="121"/>
        <v/>
      </c>
      <c r="BY591" s="215"/>
      <c r="BZ591" s="227"/>
      <c r="CA591" s="227"/>
      <c r="CB591" s="228"/>
      <c r="CC591" s="229"/>
      <c r="CD591" s="230" t="str">
        <f t="shared" si="122"/>
        <v/>
      </c>
      <c r="CE591" s="231" t="str">
        <f t="shared" si="123"/>
        <v/>
      </c>
      <c r="CF591" s="232" t="str">
        <f t="shared" si="124"/>
        <v/>
      </c>
      <c r="CG591" s="233" t="str">
        <f t="shared" si="125"/>
        <v/>
      </c>
      <c r="CH591" s="207" t="str">
        <f>IF(OR(G591="",CC591= ""), "", IF(ISERROR(SMALL((CJ591,CN591,CV591), 1)-CC591), "",  SMALL((CJ591,CN591,CV591), 1)-CC591))</f>
        <v/>
      </c>
      <c r="CI591" s="234"/>
      <c r="CJ591" s="235"/>
      <c r="CK591" s="236"/>
      <c r="CL591" s="222" t="str">
        <f t="shared" si="126"/>
        <v/>
      </c>
      <c r="CM591" s="237" t="str">
        <f>IF(OR(G591="", CJ591="",CK591=""), "", IF(ISERROR(SMALL((CN591,CV591), 1)-CK591), "",  SMALL((CN591,CV591), 1)-CK591))</f>
        <v/>
      </c>
      <c r="CN591" s="235"/>
      <c r="CO591" s="236"/>
      <c r="CP591" s="224" t="str">
        <f t="shared" si="127"/>
        <v/>
      </c>
      <c r="CQ591" s="235"/>
      <c r="CR591" s="236"/>
      <c r="CS591" s="222" t="str">
        <f t="shared" si="128"/>
        <v/>
      </c>
      <c r="CT591" s="237" t="str">
        <f t="shared" si="129"/>
        <v/>
      </c>
      <c r="CU591" s="238"/>
      <c r="CV591" s="239"/>
      <c r="CW591" s="240"/>
    </row>
    <row r="592" spans="2:101" ht="16.5" customHeight="1">
      <c r="B592" s="122"/>
      <c r="E592" s="122"/>
      <c r="F592" s="194"/>
      <c r="G592" s="195"/>
      <c r="H592" s="195"/>
      <c r="I592" s="195"/>
      <c r="J592" s="196"/>
      <c r="K592" s="197"/>
      <c r="L592" s="198"/>
      <c r="M592" s="199"/>
      <c r="N592" s="200"/>
      <c r="O592" s="201"/>
      <c r="P592" s="201"/>
      <c r="Q592" s="201"/>
      <c r="R592" s="201"/>
      <c r="S592" s="201"/>
      <c r="T592" s="201"/>
      <c r="U592" s="201"/>
      <c r="V592" s="201"/>
      <c r="W592" s="201"/>
      <c r="X592" s="202"/>
      <c r="Y592" s="203"/>
      <c r="Z592" s="204"/>
      <c r="AA592" s="205"/>
      <c r="AB592" s="206"/>
      <c r="AC592" s="206"/>
      <c r="AD592" s="194"/>
      <c r="AE592" s="201"/>
      <c r="AF592" s="207"/>
      <c r="AG592" s="208"/>
      <c r="AH592" s="209"/>
      <c r="AI592" s="210"/>
      <c r="AJ592" s="197"/>
      <c r="AK592" s="201"/>
      <c r="AL592" s="196"/>
      <c r="AM592" s="201"/>
      <c r="AN592" s="201"/>
      <c r="AO592" s="201"/>
      <c r="AP592" s="211"/>
      <c r="AQ592" s="212"/>
      <c r="AR592" s="201"/>
      <c r="AS592" s="201"/>
      <c r="AT592" s="201"/>
      <c r="AU592" s="201"/>
      <c r="AV592" s="202"/>
      <c r="AW592" s="194"/>
      <c r="AX592" s="201"/>
      <c r="AY592" s="213"/>
      <c r="AZ592" s="214"/>
      <c r="BA592" s="215"/>
      <c r="BB592" s="216"/>
      <c r="BC592" s="217" t="str">
        <f t="shared" si="117"/>
        <v/>
      </c>
      <c r="BD592" s="218"/>
      <c r="BE592" s="219"/>
      <c r="BF592" s="220"/>
      <c r="BG592" s="219"/>
      <c r="BH592" s="219"/>
      <c r="BI592" s="220"/>
      <c r="BJ592" s="218"/>
      <c r="BK592" s="219"/>
      <c r="BL592" s="197"/>
      <c r="BM592" s="215"/>
      <c r="BN592" s="221"/>
      <c r="BO592" s="222" t="str">
        <f t="shared" si="118"/>
        <v/>
      </c>
      <c r="BP592" s="217" t="str">
        <f t="shared" si="119"/>
        <v/>
      </c>
      <c r="BQ592" s="215"/>
      <c r="BR592" s="224"/>
      <c r="BS592" s="225"/>
      <c r="BT592" s="223"/>
      <c r="BU592" s="215"/>
      <c r="BV592" s="226"/>
      <c r="BW592" s="222" t="str">
        <f t="shared" si="120"/>
        <v/>
      </c>
      <c r="BX592" s="223" t="str">
        <f t="shared" si="121"/>
        <v/>
      </c>
      <c r="BY592" s="215"/>
      <c r="BZ592" s="227"/>
      <c r="CA592" s="227"/>
      <c r="CB592" s="228"/>
      <c r="CC592" s="229"/>
      <c r="CD592" s="230" t="str">
        <f t="shared" si="122"/>
        <v/>
      </c>
      <c r="CE592" s="231" t="str">
        <f t="shared" si="123"/>
        <v/>
      </c>
      <c r="CF592" s="232" t="str">
        <f t="shared" si="124"/>
        <v/>
      </c>
      <c r="CG592" s="233" t="str">
        <f t="shared" si="125"/>
        <v/>
      </c>
      <c r="CH592" s="207" t="str">
        <f>IF(OR(G592="",CC592= ""), "", IF(ISERROR(SMALL((CJ592,CN592,CV592), 1)-CC592), "",  SMALL((CJ592,CN592,CV592), 1)-CC592))</f>
        <v/>
      </c>
      <c r="CI592" s="234"/>
      <c r="CJ592" s="235"/>
      <c r="CK592" s="236"/>
      <c r="CL592" s="222" t="str">
        <f t="shared" si="126"/>
        <v/>
      </c>
      <c r="CM592" s="237" t="str">
        <f>IF(OR(G592="", CJ592="",CK592=""), "", IF(ISERROR(SMALL((CN592,CV592), 1)-CK592), "",  SMALL((CN592,CV592), 1)-CK592))</f>
        <v/>
      </c>
      <c r="CN592" s="235"/>
      <c r="CO592" s="236"/>
      <c r="CP592" s="224" t="str">
        <f t="shared" si="127"/>
        <v/>
      </c>
      <c r="CQ592" s="235"/>
      <c r="CR592" s="236"/>
      <c r="CS592" s="222" t="str">
        <f t="shared" si="128"/>
        <v/>
      </c>
      <c r="CT592" s="237" t="str">
        <f t="shared" si="129"/>
        <v/>
      </c>
      <c r="CU592" s="238"/>
      <c r="CV592" s="239"/>
      <c r="CW592" s="240"/>
    </row>
    <row r="593" spans="2:101" ht="16.5" customHeight="1">
      <c r="B593" s="122"/>
      <c r="E593" s="122"/>
      <c r="F593" s="194"/>
      <c r="G593" s="195"/>
      <c r="H593" s="195"/>
      <c r="I593" s="195"/>
      <c r="J593" s="196"/>
      <c r="K593" s="197"/>
      <c r="L593" s="198"/>
      <c r="M593" s="199"/>
      <c r="N593" s="200"/>
      <c r="O593" s="201"/>
      <c r="P593" s="201"/>
      <c r="Q593" s="201"/>
      <c r="R593" s="201"/>
      <c r="S593" s="201"/>
      <c r="T593" s="201"/>
      <c r="U593" s="201"/>
      <c r="V593" s="201"/>
      <c r="W593" s="201"/>
      <c r="X593" s="202"/>
      <c r="Y593" s="203"/>
      <c r="Z593" s="204"/>
      <c r="AA593" s="205"/>
      <c r="AB593" s="206"/>
      <c r="AC593" s="206"/>
      <c r="AD593" s="194"/>
      <c r="AE593" s="201"/>
      <c r="AF593" s="207"/>
      <c r="AG593" s="208"/>
      <c r="AH593" s="209"/>
      <c r="AI593" s="210"/>
      <c r="AJ593" s="197"/>
      <c r="AK593" s="201"/>
      <c r="AL593" s="196"/>
      <c r="AM593" s="201"/>
      <c r="AN593" s="201"/>
      <c r="AO593" s="201"/>
      <c r="AP593" s="211"/>
      <c r="AQ593" s="212"/>
      <c r="AR593" s="201"/>
      <c r="AS593" s="201"/>
      <c r="AT593" s="201"/>
      <c r="AU593" s="201"/>
      <c r="AV593" s="202"/>
      <c r="AW593" s="194"/>
      <c r="AX593" s="201"/>
      <c r="AY593" s="213"/>
      <c r="AZ593" s="214"/>
      <c r="BA593" s="215"/>
      <c r="BB593" s="216"/>
      <c r="BC593" s="217" t="str">
        <f t="shared" si="117"/>
        <v/>
      </c>
      <c r="BD593" s="218"/>
      <c r="BE593" s="219"/>
      <c r="BF593" s="220"/>
      <c r="BG593" s="219"/>
      <c r="BH593" s="219"/>
      <c r="BI593" s="220"/>
      <c r="BJ593" s="218"/>
      <c r="BK593" s="219"/>
      <c r="BL593" s="197"/>
      <c r="BM593" s="215"/>
      <c r="BN593" s="221"/>
      <c r="BO593" s="222" t="str">
        <f t="shared" si="118"/>
        <v/>
      </c>
      <c r="BP593" s="217" t="str">
        <f t="shared" si="119"/>
        <v/>
      </c>
      <c r="BQ593" s="215"/>
      <c r="BR593" s="224"/>
      <c r="BS593" s="225"/>
      <c r="BT593" s="223"/>
      <c r="BU593" s="215"/>
      <c r="BV593" s="226"/>
      <c r="BW593" s="222" t="str">
        <f t="shared" si="120"/>
        <v/>
      </c>
      <c r="BX593" s="223" t="str">
        <f t="shared" si="121"/>
        <v/>
      </c>
      <c r="BY593" s="215"/>
      <c r="BZ593" s="227"/>
      <c r="CA593" s="227"/>
      <c r="CB593" s="228"/>
      <c r="CC593" s="229"/>
      <c r="CD593" s="230" t="str">
        <f t="shared" si="122"/>
        <v/>
      </c>
      <c r="CE593" s="231" t="str">
        <f t="shared" si="123"/>
        <v/>
      </c>
      <c r="CF593" s="232" t="str">
        <f t="shared" si="124"/>
        <v/>
      </c>
      <c r="CG593" s="233" t="str">
        <f t="shared" si="125"/>
        <v/>
      </c>
      <c r="CH593" s="207" t="str">
        <f>IF(OR(G593="",CC593= ""), "", IF(ISERROR(SMALL((CJ593,CN593,CV593), 1)-CC593), "",  SMALL((CJ593,CN593,CV593), 1)-CC593))</f>
        <v/>
      </c>
      <c r="CI593" s="234"/>
      <c r="CJ593" s="235"/>
      <c r="CK593" s="236"/>
      <c r="CL593" s="222" t="str">
        <f t="shared" si="126"/>
        <v/>
      </c>
      <c r="CM593" s="237" t="str">
        <f>IF(OR(G593="", CJ593="",CK593=""), "", IF(ISERROR(SMALL((CN593,CV593), 1)-CK593), "",  SMALL((CN593,CV593), 1)-CK593))</f>
        <v/>
      </c>
      <c r="CN593" s="235"/>
      <c r="CO593" s="236"/>
      <c r="CP593" s="224" t="str">
        <f t="shared" si="127"/>
        <v/>
      </c>
      <c r="CQ593" s="235"/>
      <c r="CR593" s="236"/>
      <c r="CS593" s="222" t="str">
        <f t="shared" si="128"/>
        <v/>
      </c>
      <c r="CT593" s="237" t="str">
        <f t="shared" si="129"/>
        <v/>
      </c>
      <c r="CU593" s="238"/>
      <c r="CV593" s="239"/>
      <c r="CW593" s="240"/>
    </row>
    <row r="594" spans="2:101" ht="16.5" customHeight="1">
      <c r="B594" s="122"/>
      <c r="E594" s="122"/>
      <c r="F594" s="194"/>
      <c r="G594" s="195"/>
      <c r="H594" s="195"/>
      <c r="I594" s="195"/>
      <c r="J594" s="196"/>
      <c r="K594" s="197"/>
      <c r="L594" s="198"/>
      <c r="M594" s="199"/>
      <c r="N594" s="200"/>
      <c r="O594" s="201"/>
      <c r="P594" s="201"/>
      <c r="Q594" s="201"/>
      <c r="R594" s="201"/>
      <c r="S594" s="201"/>
      <c r="T594" s="201"/>
      <c r="U594" s="201"/>
      <c r="V594" s="201"/>
      <c r="W594" s="201"/>
      <c r="X594" s="202"/>
      <c r="Y594" s="203"/>
      <c r="Z594" s="204"/>
      <c r="AA594" s="205"/>
      <c r="AB594" s="206"/>
      <c r="AC594" s="206"/>
      <c r="AD594" s="194"/>
      <c r="AE594" s="201"/>
      <c r="AF594" s="207"/>
      <c r="AG594" s="208"/>
      <c r="AH594" s="209"/>
      <c r="AI594" s="210"/>
      <c r="AJ594" s="197"/>
      <c r="AK594" s="201"/>
      <c r="AL594" s="196"/>
      <c r="AM594" s="201"/>
      <c r="AN594" s="201"/>
      <c r="AO594" s="201"/>
      <c r="AP594" s="211"/>
      <c r="AQ594" s="212"/>
      <c r="AR594" s="201"/>
      <c r="AS594" s="201"/>
      <c r="AT594" s="201"/>
      <c r="AU594" s="201"/>
      <c r="AV594" s="202"/>
      <c r="AW594" s="194"/>
      <c r="AX594" s="201"/>
      <c r="AY594" s="213"/>
      <c r="AZ594" s="214"/>
      <c r="BA594" s="215"/>
      <c r="BB594" s="216"/>
      <c r="BC594" s="217" t="str">
        <f t="shared" si="117"/>
        <v/>
      </c>
      <c r="BD594" s="218"/>
      <c r="BE594" s="219"/>
      <c r="BF594" s="220"/>
      <c r="BG594" s="219"/>
      <c r="BH594" s="219"/>
      <c r="BI594" s="220"/>
      <c r="BJ594" s="218"/>
      <c r="BK594" s="219"/>
      <c r="BL594" s="197"/>
      <c r="BM594" s="215"/>
      <c r="BN594" s="221"/>
      <c r="BO594" s="222" t="str">
        <f t="shared" si="118"/>
        <v/>
      </c>
      <c r="BP594" s="217" t="str">
        <f t="shared" si="119"/>
        <v/>
      </c>
      <c r="BQ594" s="215"/>
      <c r="BR594" s="224"/>
      <c r="BS594" s="225"/>
      <c r="BT594" s="223"/>
      <c r="BU594" s="215"/>
      <c r="BV594" s="226"/>
      <c r="BW594" s="222" t="str">
        <f t="shared" si="120"/>
        <v/>
      </c>
      <c r="BX594" s="223" t="str">
        <f t="shared" si="121"/>
        <v/>
      </c>
      <c r="BY594" s="215"/>
      <c r="BZ594" s="227"/>
      <c r="CA594" s="227"/>
      <c r="CB594" s="228"/>
      <c r="CC594" s="229"/>
      <c r="CD594" s="230" t="str">
        <f t="shared" si="122"/>
        <v/>
      </c>
      <c r="CE594" s="231" t="str">
        <f t="shared" si="123"/>
        <v/>
      </c>
      <c r="CF594" s="232" t="str">
        <f t="shared" si="124"/>
        <v/>
      </c>
      <c r="CG594" s="233" t="str">
        <f t="shared" si="125"/>
        <v/>
      </c>
      <c r="CH594" s="207" t="str">
        <f>IF(OR(G594="",CC594= ""), "", IF(ISERROR(SMALL((CJ594,CN594,CV594), 1)-CC594), "",  SMALL((CJ594,CN594,CV594), 1)-CC594))</f>
        <v/>
      </c>
      <c r="CI594" s="234"/>
      <c r="CJ594" s="235"/>
      <c r="CK594" s="236"/>
      <c r="CL594" s="222" t="str">
        <f t="shared" si="126"/>
        <v/>
      </c>
      <c r="CM594" s="237" t="str">
        <f>IF(OR(G594="", CJ594="",CK594=""), "", IF(ISERROR(SMALL((CN594,CV594), 1)-CK594), "",  SMALL((CN594,CV594), 1)-CK594))</f>
        <v/>
      </c>
      <c r="CN594" s="235"/>
      <c r="CO594" s="236"/>
      <c r="CP594" s="224" t="str">
        <f t="shared" si="127"/>
        <v/>
      </c>
      <c r="CQ594" s="235"/>
      <c r="CR594" s="236"/>
      <c r="CS594" s="222" t="str">
        <f t="shared" si="128"/>
        <v/>
      </c>
      <c r="CT594" s="237" t="str">
        <f t="shared" si="129"/>
        <v/>
      </c>
      <c r="CU594" s="238"/>
      <c r="CV594" s="239"/>
      <c r="CW594" s="240"/>
    </row>
    <row r="595" spans="2:101" ht="16.5" customHeight="1">
      <c r="B595" s="122"/>
      <c r="E595" s="122"/>
      <c r="F595" s="194"/>
      <c r="G595" s="195"/>
      <c r="H595" s="195"/>
      <c r="I595" s="195"/>
      <c r="J595" s="196"/>
      <c r="K595" s="197"/>
      <c r="L595" s="198"/>
      <c r="M595" s="199"/>
      <c r="N595" s="200"/>
      <c r="O595" s="201"/>
      <c r="P595" s="201"/>
      <c r="Q595" s="201"/>
      <c r="R595" s="201"/>
      <c r="S595" s="201"/>
      <c r="T595" s="201"/>
      <c r="U595" s="201"/>
      <c r="V595" s="201"/>
      <c r="W595" s="201"/>
      <c r="X595" s="202"/>
      <c r="Y595" s="203"/>
      <c r="Z595" s="204"/>
      <c r="AA595" s="205"/>
      <c r="AB595" s="206"/>
      <c r="AC595" s="206"/>
      <c r="AD595" s="194"/>
      <c r="AE595" s="201"/>
      <c r="AF595" s="207"/>
      <c r="AG595" s="208"/>
      <c r="AH595" s="209"/>
      <c r="AI595" s="210"/>
      <c r="AJ595" s="197"/>
      <c r="AK595" s="201"/>
      <c r="AL595" s="196"/>
      <c r="AM595" s="201"/>
      <c r="AN595" s="201"/>
      <c r="AO595" s="201"/>
      <c r="AP595" s="211"/>
      <c r="AQ595" s="212"/>
      <c r="AR595" s="201"/>
      <c r="AS595" s="201"/>
      <c r="AT595" s="201"/>
      <c r="AU595" s="201"/>
      <c r="AV595" s="202"/>
      <c r="AW595" s="194"/>
      <c r="AX595" s="201"/>
      <c r="AY595" s="213"/>
      <c r="AZ595" s="214"/>
      <c r="BA595" s="215"/>
      <c r="BB595" s="216"/>
      <c r="BC595" s="217" t="str">
        <f t="shared" si="117"/>
        <v/>
      </c>
      <c r="BD595" s="218"/>
      <c r="BE595" s="219"/>
      <c r="BF595" s="220"/>
      <c r="BG595" s="219"/>
      <c r="BH595" s="219"/>
      <c r="BI595" s="220"/>
      <c r="BJ595" s="218"/>
      <c r="BK595" s="219"/>
      <c r="BL595" s="197"/>
      <c r="BM595" s="215"/>
      <c r="BN595" s="221"/>
      <c r="BO595" s="222" t="str">
        <f t="shared" si="118"/>
        <v/>
      </c>
      <c r="BP595" s="217" t="str">
        <f t="shared" si="119"/>
        <v/>
      </c>
      <c r="BQ595" s="215"/>
      <c r="BR595" s="224"/>
      <c r="BS595" s="225"/>
      <c r="BT595" s="223"/>
      <c r="BU595" s="215"/>
      <c r="BV595" s="226"/>
      <c r="BW595" s="222" t="str">
        <f t="shared" si="120"/>
        <v/>
      </c>
      <c r="BX595" s="223" t="str">
        <f t="shared" si="121"/>
        <v/>
      </c>
      <c r="BY595" s="215"/>
      <c r="BZ595" s="227"/>
      <c r="CA595" s="227"/>
      <c r="CB595" s="228"/>
      <c r="CC595" s="229"/>
      <c r="CD595" s="230" t="str">
        <f t="shared" si="122"/>
        <v/>
      </c>
      <c r="CE595" s="231" t="str">
        <f t="shared" si="123"/>
        <v/>
      </c>
      <c r="CF595" s="232" t="str">
        <f t="shared" si="124"/>
        <v/>
      </c>
      <c r="CG595" s="233" t="str">
        <f t="shared" si="125"/>
        <v/>
      </c>
      <c r="CH595" s="207" t="str">
        <f>IF(OR(G595="",CC595= ""), "", IF(ISERROR(SMALL((CJ595,CN595,CV595), 1)-CC595), "",  SMALL((CJ595,CN595,CV595), 1)-CC595))</f>
        <v/>
      </c>
      <c r="CI595" s="234"/>
      <c r="CJ595" s="235"/>
      <c r="CK595" s="236"/>
      <c r="CL595" s="222" t="str">
        <f t="shared" si="126"/>
        <v/>
      </c>
      <c r="CM595" s="237" t="str">
        <f>IF(OR(G595="", CJ595="",CK595=""), "", IF(ISERROR(SMALL((CN595,CV595), 1)-CK595), "",  SMALL((CN595,CV595), 1)-CK595))</f>
        <v/>
      </c>
      <c r="CN595" s="235"/>
      <c r="CO595" s="236"/>
      <c r="CP595" s="224" t="str">
        <f t="shared" si="127"/>
        <v/>
      </c>
      <c r="CQ595" s="235"/>
      <c r="CR595" s="236"/>
      <c r="CS595" s="222" t="str">
        <f t="shared" si="128"/>
        <v/>
      </c>
      <c r="CT595" s="237" t="str">
        <f t="shared" si="129"/>
        <v/>
      </c>
      <c r="CU595" s="238"/>
      <c r="CV595" s="239"/>
      <c r="CW595" s="240"/>
    </row>
    <row r="596" spans="2:101" ht="16.5" customHeight="1">
      <c r="B596" s="122"/>
      <c r="E596" s="122"/>
      <c r="F596" s="194"/>
      <c r="G596" s="195"/>
      <c r="H596" s="195"/>
      <c r="I596" s="195"/>
      <c r="J596" s="196"/>
      <c r="K596" s="197"/>
      <c r="L596" s="198"/>
      <c r="M596" s="199"/>
      <c r="N596" s="200"/>
      <c r="O596" s="201"/>
      <c r="P596" s="201"/>
      <c r="Q596" s="201"/>
      <c r="R596" s="201"/>
      <c r="S596" s="201"/>
      <c r="T596" s="201"/>
      <c r="U596" s="201"/>
      <c r="V596" s="201"/>
      <c r="W596" s="201"/>
      <c r="X596" s="202"/>
      <c r="Y596" s="203"/>
      <c r="Z596" s="204"/>
      <c r="AA596" s="205"/>
      <c r="AB596" s="206"/>
      <c r="AC596" s="206"/>
      <c r="AD596" s="194"/>
      <c r="AE596" s="201"/>
      <c r="AF596" s="207"/>
      <c r="AG596" s="208"/>
      <c r="AH596" s="209"/>
      <c r="AI596" s="210"/>
      <c r="AJ596" s="197"/>
      <c r="AK596" s="201"/>
      <c r="AL596" s="196"/>
      <c r="AM596" s="201"/>
      <c r="AN596" s="201"/>
      <c r="AO596" s="201"/>
      <c r="AP596" s="211"/>
      <c r="AQ596" s="212"/>
      <c r="AR596" s="201"/>
      <c r="AS596" s="201"/>
      <c r="AT596" s="201"/>
      <c r="AU596" s="201"/>
      <c r="AV596" s="202"/>
      <c r="AW596" s="194"/>
      <c r="AX596" s="201"/>
      <c r="AY596" s="213"/>
      <c r="AZ596" s="214"/>
      <c r="BA596" s="215"/>
      <c r="BB596" s="216"/>
      <c r="BC596" s="217" t="str">
        <f t="shared" si="117"/>
        <v/>
      </c>
      <c r="BD596" s="218"/>
      <c r="BE596" s="219"/>
      <c r="BF596" s="220"/>
      <c r="BG596" s="219"/>
      <c r="BH596" s="219"/>
      <c r="BI596" s="220"/>
      <c r="BJ596" s="218"/>
      <c r="BK596" s="219"/>
      <c r="BL596" s="197"/>
      <c r="BM596" s="215"/>
      <c r="BN596" s="221"/>
      <c r="BO596" s="222" t="str">
        <f t="shared" si="118"/>
        <v/>
      </c>
      <c r="BP596" s="217" t="str">
        <f t="shared" si="119"/>
        <v/>
      </c>
      <c r="BQ596" s="215"/>
      <c r="BR596" s="224"/>
      <c r="BS596" s="225"/>
      <c r="BT596" s="223"/>
      <c r="BU596" s="215"/>
      <c r="BV596" s="226"/>
      <c r="BW596" s="222" t="str">
        <f t="shared" si="120"/>
        <v/>
      </c>
      <c r="BX596" s="223" t="str">
        <f t="shared" si="121"/>
        <v/>
      </c>
      <c r="BY596" s="215"/>
      <c r="BZ596" s="227"/>
      <c r="CA596" s="227"/>
      <c r="CB596" s="228"/>
      <c r="CC596" s="229"/>
      <c r="CD596" s="230" t="str">
        <f t="shared" si="122"/>
        <v/>
      </c>
      <c r="CE596" s="231" t="str">
        <f t="shared" si="123"/>
        <v/>
      </c>
      <c r="CF596" s="232" t="str">
        <f t="shared" si="124"/>
        <v/>
      </c>
      <c r="CG596" s="233" t="str">
        <f t="shared" si="125"/>
        <v/>
      </c>
      <c r="CH596" s="207" t="str">
        <f>IF(OR(G596="",CC596= ""), "", IF(ISERROR(SMALL((CJ596,CN596,CV596), 1)-CC596), "",  SMALL((CJ596,CN596,CV596), 1)-CC596))</f>
        <v/>
      </c>
      <c r="CI596" s="234"/>
      <c r="CJ596" s="235"/>
      <c r="CK596" s="236"/>
      <c r="CL596" s="222" t="str">
        <f t="shared" si="126"/>
        <v/>
      </c>
      <c r="CM596" s="237" t="str">
        <f>IF(OR(G596="", CJ596="",CK596=""), "", IF(ISERROR(SMALL((CN596,CV596), 1)-CK596), "",  SMALL((CN596,CV596), 1)-CK596))</f>
        <v/>
      </c>
      <c r="CN596" s="235"/>
      <c r="CO596" s="236"/>
      <c r="CP596" s="224" t="str">
        <f t="shared" si="127"/>
        <v/>
      </c>
      <c r="CQ596" s="235"/>
      <c r="CR596" s="236"/>
      <c r="CS596" s="222" t="str">
        <f t="shared" si="128"/>
        <v/>
      </c>
      <c r="CT596" s="237" t="str">
        <f t="shared" si="129"/>
        <v/>
      </c>
      <c r="CU596" s="238"/>
      <c r="CV596" s="239"/>
      <c r="CW596" s="240"/>
    </row>
    <row r="597" spans="2:101" ht="16.5" customHeight="1">
      <c r="B597" s="122"/>
      <c r="E597" s="122"/>
      <c r="F597" s="194"/>
      <c r="G597" s="195"/>
      <c r="H597" s="195"/>
      <c r="I597" s="195"/>
      <c r="J597" s="196"/>
      <c r="K597" s="197"/>
      <c r="L597" s="198"/>
      <c r="M597" s="199"/>
      <c r="N597" s="200"/>
      <c r="O597" s="201"/>
      <c r="P597" s="201"/>
      <c r="Q597" s="201"/>
      <c r="R597" s="201"/>
      <c r="S597" s="201"/>
      <c r="T597" s="201"/>
      <c r="U597" s="201"/>
      <c r="V597" s="201"/>
      <c r="W597" s="201"/>
      <c r="X597" s="202"/>
      <c r="Y597" s="203"/>
      <c r="Z597" s="204"/>
      <c r="AA597" s="205"/>
      <c r="AB597" s="206"/>
      <c r="AC597" s="206"/>
      <c r="AD597" s="194"/>
      <c r="AE597" s="201"/>
      <c r="AF597" s="207"/>
      <c r="AG597" s="208"/>
      <c r="AH597" s="209"/>
      <c r="AI597" s="210"/>
      <c r="AJ597" s="197"/>
      <c r="AK597" s="201"/>
      <c r="AL597" s="196"/>
      <c r="AM597" s="201"/>
      <c r="AN597" s="201"/>
      <c r="AO597" s="201"/>
      <c r="AP597" s="211"/>
      <c r="AQ597" s="212"/>
      <c r="AR597" s="201"/>
      <c r="AS597" s="201"/>
      <c r="AT597" s="201"/>
      <c r="AU597" s="201"/>
      <c r="AV597" s="202"/>
      <c r="AW597" s="194"/>
      <c r="AX597" s="201"/>
      <c r="AY597" s="213"/>
      <c r="AZ597" s="214"/>
      <c r="BA597" s="215"/>
      <c r="BB597" s="216"/>
      <c r="BC597" s="217" t="str">
        <f t="shared" si="117"/>
        <v/>
      </c>
      <c r="BD597" s="218"/>
      <c r="BE597" s="219"/>
      <c r="BF597" s="220"/>
      <c r="BG597" s="219"/>
      <c r="BH597" s="219"/>
      <c r="BI597" s="220"/>
      <c r="BJ597" s="218"/>
      <c r="BK597" s="219"/>
      <c r="BL597" s="197"/>
      <c r="BM597" s="215"/>
      <c r="BN597" s="221"/>
      <c r="BO597" s="222" t="str">
        <f t="shared" si="118"/>
        <v/>
      </c>
      <c r="BP597" s="217" t="str">
        <f t="shared" si="119"/>
        <v/>
      </c>
      <c r="BQ597" s="215"/>
      <c r="BR597" s="224"/>
      <c r="BS597" s="225"/>
      <c r="BT597" s="223"/>
      <c r="BU597" s="215"/>
      <c r="BV597" s="226"/>
      <c r="BW597" s="222" t="str">
        <f t="shared" si="120"/>
        <v/>
      </c>
      <c r="BX597" s="223" t="str">
        <f t="shared" si="121"/>
        <v/>
      </c>
      <c r="BY597" s="215"/>
      <c r="BZ597" s="227"/>
      <c r="CA597" s="227"/>
      <c r="CB597" s="228"/>
      <c r="CC597" s="229"/>
      <c r="CD597" s="230" t="str">
        <f t="shared" si="122"/>
        <v/>
      </c>
      <c r="CE597" s="231" t="str">
        <f t="shared" si="123"/>
        <v/>
      </c>
      <c r="CF597" s="232" t="str">
        <f t="shared" si="124"/>
        <v/>
      </c>
      <c r="CG597" s="233" t="str">
        <f t="shared" si="125"/>
        <v/>
      </c>
      <c r="CH597" s="207" t="str">
        <f>IF(OR(G597="",CC597= ""), "", IF(ISERROR(SMALL((CJ597,CN597,CV597), 1)-CC597), "",  SMALL((CJ597,CN597,CV597), 1)-CC597))</f>
        <v/>
      </c>
      <c r="CI597" s="234"/>
      <c r="CJ597" s="235"/>
      <c r="CK597" s="236"/>
      <c r="CL597" s="222" t="str">
        <f t="shared" si="126"/>
        <v/>
      </c>
      <c r="CM597" s="237" t="str">
        <f>IF(OR(G597="", CJ597="",CK597=""), "", IF(ISERROR(SMALL((CN597,CV597), 1)-CK597), "",  SMALL((CN597,CV597), 1)-CK597))</f>
        <v/>
      </c>
      <c r="CN597" s="235"/>
      <c r="CO597" s="236"/>
      <c r="CP597" s="224" t="str">
        <f t="shared" si="127"/>
        <v/>
      </c>
      <c r="CQ597" s="235"/>
      <c r="CR597" s="236"/>
      <c r="CS597" s="222" t="str">
        <f t="shared" si="128"/>
        <v/>
      </c>
      <c r="CT597" s="237" t="str">
        <f t="shared" si="129"/>
        <v/>
      </c>
      <c r="CU597" s="238"/>
      <c r="CV597" s="239"/>
      <c r="CW597" s="240"/>
    </row>
    <row r="598" spans="2:101" ht="16.5" customHeight="1">
      <c r="B598" s="122"/>
      <c r="E598" s="122"/>
      <c r="F598" s="194"/>
      <c r="G598" s="195"/>
      <c r="H598" s="195"/>
      <c r="I598" s="195"/>
      <c r="J598" s="196"/>
      <c r="K598" s="197"/>
      <c r="L598" s="198"/>
      <c r="M598" s="199"/>
      <c r="N598" s="200"/>
      <c r="O598" s="201"/>
      <c r="P598" s="201"/>
      <c r="Q598" s="201"/>
      <c r="R598" s="201"/>
      <c r="S598" s="201"/>
      <c r="T598" s="201"/>
      <c r="U598" s="201"/>
      <c r="V598" s="201"/>
      <c r="W598" s="201"/>
      <c r="X598" s="202"/>
      <c r="Y598" s="203"/>
      <c r="Z598" s="204"/>
      <c r="AA598" s="205"/>
      <c r="AB598" s="206"/>
      <c r="AC598" s="206"/>
      <c r="AD598" s="194"/>
      <c r="AE598" s="201"/>
      <c r="AF598" s="207"/>
      <c r="AG598" s="208"/>
      <c r="AH598" s="209"/>
      <c r="AI598" s="210"/>
      <c r="AJ598" s="197"/>
      <c r="AK598" s="201"/>
      <c r="AL598" s="196"/>
      <c r="AM598" s="201"/>
      <c r="AN598" s="201"/>
      <c r="AO598" s="201"/>
      <c r="AP598" s="211"/>
      <c r="AQ598" s="212"/>
      <c r="AR598" s="201"/>
      <c r="AS598" s="201"/>
      <c r="AT598" s="201"/>
      <c r="AU598" s="201"/>
      <c r="AV598" s="202"/>
      <c r="AW598" s="194"/>
      <c r="AX598" s="201"/>
      <c r="AY598" s="213"/>
      <c r="AZ598" s="214"/>
      <c r="BA598" s="215"/>
      <c r="BB598" s="216"/>
      <c r="BC598" s="217" t="str">
        <f t="shared" si="117"/>
        <v/>
      </c>
      <c r="BD598" s="218"/>
      <c r="BE598" s="219"/>
      <c r="BF598" s="220"/>
      <c r="BG598" s="219"/>
      <c r="BH598" s="219"/>
      <c r="BI598" s="220"/>
      <c r="BJ598" s="218"/>
      <c r="BK598" s="219"/>
      <c r="BL598" s="197"/>
      <c r="BM598" s="215"/>
      <c r="BN598" s="221"/>
      <c r="BO598" s="222" t="str">
        <f t="shared" si="118"/>
        <v/>
      </c>
      <c r="BP598" s="217" t="str">
        <f t="shared" si="119"/>
        <v/>
      </c>
      <c r="BQ598" s="215"/>
      <c r="BR598" s="224"/>
      <c r="BS598" s="225"/>
      <c r="BT598" s="223"/>
      <c r="BU598" s="215"/>
      <c r="BV598" s="226"/>
      <c r="BW598" s="222" t="str">
        <f t="shared" si="120"/>
        <v/>
      </c>
      <c r="BX598" s="223" t="str">
        <f t="shared" si="121"/>
        <v/>
      </c>
      <c r="BY598" s="215"/>
      <c r="BZ598" s="227"/>
      <c r="CA598" s="227"/>
      <c r="CB598" s="228"/>
      <c r="CC598" s="229"/>
      <c r="CD598" s="230" t="str">
        <f t="shared" si="122"/>
        <v/>
      </c>
      <c r="CE598" s="231" t="str">
        <f t="shared" si="123"/>
        <v/>
      </c>
      <c r="CF598" s="232" t="str">
        <f t="shared" si="124"/>
        <v/>
      </c>
      <c r="CG598" s="233" t="str">
        <f t="shared" si="125"/>
        <v/>
      </c>
      <c r="CH598" s="207" t="str">
        <f>IF(OR(G598="",CC598= ""), "", IF(ISERROR(SMALL((CJ598,CN598,CV598), 1)-CC598), "",  SMALL((CJ598,CN598,CV598), 1)-CC598))</f>
        <v/>
      </c>
      <c r="CI598" s="234"/>
      <c r="CJ598" s="235"/>
      <c r="CK598" s="236"/>
      <c r="CL598" s="222" t="str">
        <f t="shared" si="126"/>
        <v/>
      </c>
      <c r="CM598" s="237" t="str">
        <f>IF(OR(G598="", CJ598="",CK598=""), "", IF(ISERROR(SMALL((CN598,CV598), 1)-CK598), "",  SMALL((CN598,CV598), 1)-CK598))</f>
        <v/>
      </c>
      <c r="CN598" s="235"/>
      <c r="CO598" s="236"/>
      <c r="CP598" s="224" t="str">
        <f t="shared" si="127"/>
        <v/>
      </c>
      <c r="CQ598" s="235"/>
      <c r="CR598" s="236"/>
      <c r="CS598" s="222" t="str">
        <f t="shared" si="128"/>
        <v/>
      </c>
      <c r="CT598" s="237" t="str">
        <f t="shared" si="129"/>
        <v/>
      </c>
      <c r="CU598" s="238"/>
      <c r="CV598" s="239"/>
      <c r="CW598" s="240"/>
    </row>
    <row r="599" spans="2:101" ht="16.5" customHeight="1">
      <c r="B599" s="122"/>
      <c r="E599" s="122"/>
      <c r="F599" s="194"/>
      <c r="G599" s="195"/>
      <c r="H599" s="195"/>
      <c r="I599" s="195"/>
      <c r="J599" s="196"/>
      <c r="K599" s="197"/>
      <c r="L599" s="198"/>
      <c r="M599" s="199"/>
      <c r="N599" s="200"/>
      <c r="O599" s="201"/>
      <c r="P599" s="201"/>
      <c r="Q599" s="201"/>
      <c r="R599" s="201"/>
      <c r="S599" s="201"/>
      <c r="T599" s="201"/>
      <c r="U599" s="201"/>
      <c r="V599" s="201"/>
      <c r="W599" s="201"/>
      <c r="X599" s="202"/>
      <c r="Y599" s="203"/>
      <c r="Z599" s="204"/>
      <c r="AA599" s="205"/>
      <c r="AB599" s="206"/>
      <c r="AC599" s="206"/>
      <c r="AD599" s="194"/>
      <c r="AE599" s="201"/>
      <c r="AF599" s="207"/>
      <c r="AG599" s="208"/>
      <c r="AH599" s="209"/>
      <c r="AI599" s="210"/>
      <c r="AJ599" s="197"/>
      <c r="AK599" s="201"/>
      <c r="AL599" s="196"/>
      <c r="AM599" s="201"/>
      <c r="AN599" s="201"/>
      <c r="AO599" s="201"/>
      <c r="AP599" s="211"/>
      <c r="AQ599" s="212"/>
      <c r="AR599" s="201"/>
      <c r="AS599" s="201"/>
      <c r="AT599" s="201"/>
      <c r="AU599" s="201"/>
      <c r="AV599" s="202"/>
      <c r="AW599" s="194"/>
      <c r="AX599" s="201"/>
      <c r="AY599" s="213"/>
      <c r="AZ599" s="214"/>
      <c r="BA599" s="215"/>
      <c r="BB599" s="216"/>
      <c r="BC599" s="217" t="str">
        <f t="shared" si="117"/>
        <v/>
      </c>
      <c r="BD599" s="218"/>
      <c r="BE599" s="219"/>
      <c r="BF599" s="220"/>
      <c r="BG599" s="219"/>
      <c r="BH599" s="219"/>
      <c r="BI599" s="220"/>
      <c r="BJ599" s="218"/>
      <c r="BK599" s="219"/>
      <c r="BL599" s="197"/>
      <c r="BM599" s="215"/>
      <c r="BN599" s="221"/>
      <c r="BO599" s="222" t="str">
        <f t="shared" si="118"/>
        <v/>
      </c>
      <c r="BP599" s="217" t="str">
        <f t="shared" si="119"/>
        <v/>
      </c>
      <c r="BQ599" s="215"/>
      <c r="BR599" s="224"/>
      <c r="BS599" s="225"/>
      <c r="BT599" s="223"/>
      <c r="BU599" s="215"/>
      <c r="BV599" s="226"/>
      <c r="BW599" s="222" t="str">
        <f t="shared" si="120"/>
        <v/>
      </c>
      <c r="BX599" s="223" t="str">
        <f t="shared" si="121"/>
        <v/>
      </c>
      <c r="BY599" s="215"/>
      <c r="BZ599" s="227"/>
      <c r="CA599" s="227"/>
      <c r="CB599" s="228"/>
      <c r="CC599" s="229"/>
      <c r="CD599" s="230" t="str">
        <f t="shared" si="122"/>
        <v/>
      </c>
      <c r="CE599" s="231" t="str">
        <f t="shared" si="123"/>
        <v/>
      </c>
      <c r="CF599" s="232" t="str">
        <f t="shared" si="124"/>
        <v/>
      </c>
      <c r="CG599" s="233" t="str">
        <f t="shared" si="125"/>
        <v/>
      </c>
      <c r="CH599" s="207" t="str">
        <f>IF(OR(G599="",CC599= ""), "", IF(ISERROR(SMALL((CJ599,CN599,CV599), 1)-CC599), "",  SMALL((CJ599,CN599,CV599), 1)-CC599))</f>
        <v/>
      </c>
      <c r="CI599" s="234"/>
      <c r="CJ599" s="235"/>
      <c r="CK599" s="236"/>
      <c r="CL599" s="222" t="str">
        <f t="shared" si="126"/>
        <v/>
      </c>
      <c r="CM599" s="237" t="str">
        <f>IF(OR(G599="", CJ599="",CK599=""), "", IF(ISERROR(SMALL((CN599,CV599), 1)-CK599), "",  SMALL((CN599,CV599), 1)-CK599))</f>
        <v/>
      </c>
      <c r="CN599" s="235"/>
      <c r="CO599" s="236"/>
      <c r="CP599" s="224" t="str">
        <f t="shared" si="127"/>
        <v/>
      </c>
      <c r="CQ599" s="235"/>
      <c r="CR599" s="236"/>
      <c r="CS599" s="222" t="str">
        <f t="shared" si="128"/>
        <v/>
      </c>
      <c r="CT599" s="237" t="str">
        <f t="shared" si="129"/>
        <v/>
      </c>
      <c r="CU599" s="238"/>
      <c r="CV599" s="239"/>
      <c r="CW599" s="240"/>
    </row>
    <row r="600" spans="2:101" ht="16.5" customHeight="1">
      <c r="B600" s="122"/>
      <c r="E600" s="122"/>
      <c r="F600" s="194"/>
      <c r="G600" s="195"/>
      <c r="H600" s="195"/>
      <c r="I600" s="195"/>
      <c r="J600" s="196"/>
      <c r="K600" s="197"/>
      <c r="L600" s="198"/>
      <c r="M600" s="199"/>
      <c r="N600" s="200"/>
      <c r="O600" s="201"/>
      <c r="P600" s="201"/>
      <c r="Q600" s="201"/>
      <c r="R600" s="201"/>
      <c r="S600" s="201"/>
      <c r="T600" s="201"/>
      <c r="U600" s="201"/>
      <c r="V600" s="201"/>
      <c r="W600" s="201"/>
      <c r="X600" s="202"/>
      <c r="Y600" s="203"/>
      <c r="Z600" s="204"/>
      <c r="AA600" s="205"/>
      <c r="AB600" s="206"/>
      <c r="AC600" s="206"/>
      <c r="AD600" s="194"/>
      <c r="AE600" s="201"/>
      <c r="AF600" s="207"/>
      <c r="AG600" s="208"/>
      <c r="AH600" s="209"/>
      <c r="AI600" s="210"/>
      <c r="AJ600" s="197"/>
      <c r="AK600" s="201"/>
      <c r="AL600" s="196"/>
      <c r="AM600" s="201"/>
      <c r="AN600" s="201"/>
      <c r="AO600" s="201"/>
      <c r="AP600" s="211"/>
      <c r="AQ600" s="212"/>
      <c r="AR600" s="201"/>
      <c r="AS600" s="201"/>
      <c r="AT600" s="201"/>
      <c r="AU600" s="201"/>
      <c r="AV600" s="202"/>
      <c r="AW600" s="194"/>
      <c r="AX600" s="201"/>
      <c r="AY600" s="213"/>
      <c r="AZ600" s="214"/>
      <c r="BA600" s="215"/>
      <c r="BB600" s="216"/>
      <c r="BC600" s="217" t="str">
        <f t="shared" si="117"/>
        <v/>
      </c>
      <c r="BD600" s="218"/>
      <c r="BE600" s="219"/>
      <c r="BF600" s="220"/>
      <c r="BG600" s="219"/>
      <c r="BH600" s="219"/>
      <c r="BI600" s="220"/>
      <c r="BJ600" s="218"/>
      <c r="BK600" s="219"/>
      <c r="BL600" s="197"/>
      <c r="BM600" s="215"/>
      <c r="BN600" s="221"/>
      <c r="BO600" s="222" t="str">
        <f t="shared" si="118"/>
        <v/>
      </c>
      <c r="BP600" s="217" t="str">
        <f t="shared" si="119"/>
        <v/>
      </c>
      <c r="BQ600" s="215"/>
      <c r="BR600" s="224"/>
      <c r="BS600" s="225"/>
      <c r="BT600" s="223"/>
      <c r="BU600" s="215"/>
      <c r="BV600" s="226"/>
      <c r="BW600" s="222" t="str">
        <f t="shared" si="120"/>
        <v/>
      </c>
      <c r="BX600" s="223" t="str">
        <f t="shared" si="121"/>
        <v/>
      </c>
      <c r="BY600" s="215"/>
      <c r="BZ600" s="227"/>
      <c r="CA600" s="227"/>
      <c r="CB600" s="228"/>
      <c r="CC600" s="229"/>
      <c r="CD600" s="230" t="str">
        <f t="shared" si="122"/>
        <v/>
      </c>
      <c r="CE600" s="231" t="str">
        <f t="shared" si="123"/>
        <v/>
      </c>
      <c r="CF600" s="232" t="str">
        <f t="shared" si="124"/>
        <v/>
      </c>
      <c r="CG600" s="233" t="str">
        <f t="shared" si="125"/>
        <v/>
      </c>
      <c r="CH600" s="207" t="str">
        <f>IF(OR(G600="",CC600= ""), "", IF(ISERROR(SMALL((CJ600,CN600,CV600), 1)-CC600), "",  SMALL((CJ600,CN600,CV600), 1)-CC600))</f>
        <v/>
      </c>
      <c r="CI600" s="234"/>
      <c r="CJ600" s="235"/>
      <c r="CK600" s="236"/>
      <c r="CL600" s="222" t="str">
        <f t="shared" si="126"/>
        <v/>
      </c>
      <c r="CM600" s="237" t="str">
        <f>IF(OR(G600="", CJ600="",CK600=""), "", IF(ISERROR(SMALL((CN600,CV600), 1)-CK600), "",  SMALL((CN600,CV600), 1)-CK600))</f>
        <v/>
      </c>
      <c r="CN600" s="235"/>
      <c r="CO600" s="236"/>
      <c r="CP600" s="224" t="str">
        <f t="shared" si="127"/>
        <v/>
      </c>
      <c r="CQ600" s="235"/>
      <c r="CR600" s="236"/>
      <c r="CS600" s="222" t="str">
        <f t="shared" si="128"/>
        <v/>
      </c>
      <c r="CT600" s="237" t="str">
        <f t="shared" si="129"/>
        <v/>
      </c>
      <c r="CU600" s="238"/>
      <c r="CV600" s="239"/>
      <c r="CW600" s="240"/>
    </row>
    <row r="601" spans="2:101" ht="16.5" customHeight="1">
      <c r="B601" s="122"/>
      <c r="E601" s="122"/>
      <c r="F601" s="194"/>
      <c r="G601" s="195"/>
      <c r="H601" s="195"/>
      <c r="I601" s="195"/>
      <c r="J601" s="196"/>
      <c r="K601" s="197"/>
      <c r="L601" s="198"/>
      <c r="M601" s="199"/>
      <c r="N601" s="200"/>
      <c r="O601" s="201"/>
      <c r="P601" s="201"/>
      <c r="Q601" s="201"/>
      <c r="R601" s="201"/>
      <c r="S601" s="201"/>
      <c r="T601" s="201"/>
      <c r="U601" s="201"/>
      <c r="V601" s="201"/>
      <c r="W601" s="201"/>
      <c r="X601" s="202"/>
      <c r="Y601" s="203"/>
      <c r="Z601" s="204"/>
      <c r="AA601" s="205"/>
      <c r="AB601" s="206"/>
      <c r="AC601" s="206"/>
      <c r="AD601" s="194"/>
      <c r="AE601" s="201"/>
      <c r="AF601" s="207"/>
      <c r="AG601" s="208"/>
      <c r="AH601" s="209"/>
      <c r="AI601" s="210"/>
      <c r="AJ601" s="197"/>
      <c r="AK601" s="201"/>
      <c r="AL601" s="196"/>
      <c r="AM601" s="201"/>
      <c r="AN601" s="201"/>
      <c r="AO601" s="201"/>
      <c r="AP601" s="211"/>
      <c r="AQ601" s="212"/>
      <c r="AR601" s="201"/>
      <c r="AS601" s="201"/>
      <c r="AT601" s="201"/>
      <c r="AU601" s="201"/>
      <c r="AV601" s="202"/>
      <c r="AW601" s="194"/>
      <c r="AX601" s="201"/>
      <c r="AY601" s="213"/>
      <c r="AZ601" s="214"/>
      <c r="BA601" s="215"/>
      <c r="BB601" s="216"/>
      <c r="BC601" s="217" t="str">
        <f t="shared" si="117"/>
        <v/>
      </c>
      <c r="BD601" s="218"/>
      <c r="BE601" s="219"/>
      <c r="BF601" s="220"/>
      <c r="BG601" s="219"/>
      <c r="BH601" s="219"/>
      <c r="BI601" s="220"/>
      <c r="BJ601" s="218"/>
      <c r="BK601" s="219"/>
      <c r="BL601" s="197"/>
      <c r="BM601" s="215"/>
      <c r="BN601" s="221"/>
      <c r="BO601" s="222" t="str">
        <f t="shared" si="118"/>
        <v/>
      </c>
      <c r="BP601" s="217" t="str">
        <f t="shared" si="119"/>
        <v/>
      </c>
      <c r="BQ601" s="215"/>
      <c r="BR601" s="224"/>
      <c r="BS601" s="225"/>
      <c r="BT601" s="223"/>
      <c r="BU601" s="215"/>
      <c r="BV601" s="226"/>
      <c r="BW601" s="222" t="str">
        <f>IF(OR(H601="", BU601="", BV601=""), "", IF(ISERROR(BV601-BU601+1), "", BV601-BU601+1))</f>
        <v/>
      </c>
      <c r="BX601" s="223" t="str">
        <f t="shared" si="121"/>
        <v/>
      </c>
      <c r="BY601" s="215"/>
      <c r="BZ601" s="227"/>
      <c r="CA601" s="227"/>
      <c r="CB601" s="228"/>
      <c r="CC601" s="229"/>
      <c r="CD601" s="230" t="str">
        <f>IF(OR($H601="",$BY601="",$CB601=""),"",IF((ISERROR($CB601-$BY601+1)),"",$CB601-$BY601+1))</f>
        <v/>
      </c>
      <c r="CE601" s="231" t="str">
        <f>IF(OR(CB601="", CC601=""),"", IF(ISERROR(CC601-CB601+1), "",CC601-CB601+1))</f>
        <v/>
      </c>
      <c r="CF601" s="232" t="str">
        <f>IF(OR(BY601="", CC601=""), "", IF(ISERROR(CC601-BY601+1), "",CC601-BY601+1))</f>
        <v/>
      </c>
      <c r="CG601" s="233" t="str">
        <f>IF(OR(G601="", CC601="", CV601=""), "", IF(ISERROR(CV601-CC601), "", CV601-CC601))</f>
        <v/>
      </c>
      <c r="CH601" s="207" t="str">
        <f>IF(OR(G601="",CC601= ""), "", IF(ISERROR(SMALL((CJ601,CN601,CV601), 1)-CC601), "",  SMALL((CJ601,CN601,CV601), 1)-CC601))</f>
        <v/>
      </c>
      <c r="CI601" s="234"/>
      <c r="CJ601" s="235"/>
      <c r="CK601" s="236"/>
      <c r="CL601" s="222" t="str">
        <f>IF(OR(G601="", CJ601="", CK601=""), "",   IF(ISERROR(CK601-CJ601+1), "",CK601-CJ601+1))</f>
        <v/>
      </c>
      <c r="CM601" s="237" t="str">
        <f>IF(OR(G601="", CJ601="",CK601=""), "", IF(ISERROR(SMALL((CN601,CV601), 1)-CK601), "",  SMALL((CN601,CV601), 1)-CK601))</f>
        <v/>
      </c>
      <c r="CN601" s="235"/>
      <c r="CO601" s="236"/>
      <c r="CP601" s="224" t="str">
        <f>IF(OR(G601="", CN601="", CO601=""), "",   IF(ISERROR(CO601-CN601+1), "",CO601-CN601+1))</f>
        <v/>
      </c>
      <c r="CQ601" s="235"/>
      <c r="CR601" s="236"/>
      <c r="CS601" s="222" t="str">
        <f>IF(OR(G601="", CQ601="", CR601=""), "",   IF(ISERROR(CR601-CQ601+1), "",CR601-CQ601+1))</f>
        <v/>
      </c>
      <c r="CT601" s="237" t="str">
        <f>IF(AND(G601="", CK601="",CR601=""), "",IF(CR601="", IF(ISERROR(CV601-CK601), "",  CV601-CK601),  IF(ISERROR(CV601-CR601), "", CV601-CR601)))</f>
        <v/>
      </c>
      <c r="CU601" s="238"/>
      <c r="CV601" s="239"/>
      <c r="CW601" s="240"/>
    </row>
    <row r="602" spans="2:101" ht="16.5" customHeight="1">
      <c r="B602" s="122"/>
      <c r="E602" s="122"/>
      <c r="F602" s="194"/>
      <c r="G602" s="195"/>
      <c r="H602" s="195"/>
      <c r="I602" s="195"/>
      <c r="J602" s="196"/>
      <c r="K602" s="197"/>
      <c r="L602" s="198"/>
      <c r="M602" s="199"/>
      <c r="N602" s="200"/>
      <c r="O602" s="201"/>
      <c r="P602" s="201"/>
      <c r="Q602" s="201"/>
      <c r="R602" s="201"/>
      <c r="S602" s="201"/>
      <c r="T602" s="201"/>
      <c r="U602" s="201"/>
      <c r="V602" s="201"/>
      <c r="W602" s="201"/>
      <c r="X602" s="202"/>
      <c r="Y602" s="203"/>
      <c r="Z602" s="204"/>
      <c r="AA602" s="205"/>
      <c r="AB602" s="206"/>
      <c r="AC602" s="206"/>
      <c r="AD602" s="194"/>
      <c r="AE602" s="201"/>
      <c r="AF602" s="207"/>
      <c r="AG602" s="208"/>
      <c r="AH602" s="209"/>
      <c r="AI602" s="210"/>
      <c r="AJ602" s="197"/>
      <c r="AK602" s="201"/>
      <c r="AL602" s="196"/>
      <c r="AM602" s="201"/>
      <c r="AN602" s="201"/>
      <c r="AO602" s="201"/>
      <c r="AP602" s="211"/>
      <c r="AQ602" s="212"/>
      <c r="AR602" s="201"/>
      <c r="AS602" s="201"/>
      <c r="AT602" s="201"/>
      <c r="AU602" s="201"/>
      <c r="AV602" s="202"/>
      <c r="AW602" s="194"/>
      <c r="AX602" s="201"/>
      <c r="AY602" s="213"/>
      <c r="AZ602" s="214"/>
      <c r="BA602" s="215"/>
      <c r="BB602" s="216"/>
      <c r="BC602" s="217" t="str">
        <f t="shared" si="117"/>
        <v/>
      </c>
      <c r="BD602" s="218"/>
      <c r="BE602" s="219"/>
      <c r="BF602" s="220"/>
      <c r="BG602" s="219"/>
      <c r="BH602" s="219"/>
      <c r="BI602" s="220"/>
      <c r="BJ602" s="218"/>
      <c r="BK602" s="219"/>
      <c r="BL602" s="197"/>
      <c r="BM602" s="215"/>
      <c r="BN602" s="221"/>
      <c r="BO602" s="222" t="str">
        <f t="shared" si="118"/>
        <v/>
      </c>
      <c r="BP602" s="217" t="str">
        <f t="shared" si="119"/>
        <v/>
      </c>
      <c r="BQ602" s="215"/>
      <c r="BR602" s="224"/>
      <c r="BS602" s="225"/>
      <c r="BT602" s="223"/>
      <c r="BU602" s="215"/>
      <c r="BV602" s="226"/>
      <c r="BW602" s="222" t="str">
        <f t="shared" ref="BW602:BW665" si="130">IF(OR(H602="", BU602="", BV602=""), "", IF(ISERROR(BV602-BU602+1), "", BV602-BU602+1))</f>
        <v/>
      </c>
      <c r="BX602" s="223" t="str">
        <f t="shared" si="121"/>
        <v/>
      </c>
      <c r="BY602" s="215"/>
      <c r="BZ602" s="227"/>
      <c r="CA602" s="227"/>
      <c r="CB602" s="228"/>
      <c r="CC602" s="229"/>
      <c r="CD602" s="230" t="str">
        <f t="shared" ref="CD602:CD665" si="131">IF(OR($H602="",$BY602="",$CB602=""),"",IF((ISERROR($CB602-$BY602+1)),"",$CB602-$BY602+1))</f>
        <v/>
      </c>
      <c r="CE602" s="231" t="str">
        <f t="shared" ref="CE602:CE665" si="132">IF(OR(CB602="", CC602=""),"", IF(ISERROR(CC602-CB602+1), "",CC602-CB602+1))</f>
        <v/>
      </c>
      <c r="CF602" s="232" t="str">
        <f t="shared" ref="CF602:CF665" si="133">IF(OR(BY602="", CC602=""), "", IF(ISERROR(CC602-BY602+1), "",CC602-BY602+1))</f>
        <v/>
      </c>
      <c r="CG602" s="233" t="str">
        <f t="shared" ref="CG602:CG665" si="134">IF(OR(G602="", CC602="", CV602=""), "", IF(ISERROR(CV602-CC602), "", CV602-CC602))</f>
        <v/>
      </c>
      <c r="CH602" s="207" t="str">
        <f>IF(OR(G602="",CC602= ""), "", IF(ISERROR(SMALL((CJ602,CN602,CV602), 1)-CC602), "",  SMALL((CJ602,CN602,CV602), 1)-CC602))</f>
        <v/>
      </c>
      <c r="CI602" s="234"/>
      <c r="CJ602" s="235"/>
      <c r="CK602" s="236"/>
      <c r="CL602" s="222" t="str">
        <f t="shared" ref="CL602:CL665" si="135">IF(OR(G602="", CJ602="", CK602=""), "",   IF(ISERROR(CK602-CJ602+1), "",CK602-CJ602+1))</f>
        <v/>
      </c>
      <c r="CM602" s="237" t="str">
        <f>IF(OR(G602="", CJ602="",CK602=""), "", IF(ISERROR(SMALL((CN602,CV602), 1)-CK602), "",  SMALL((CN602,CV602), 1)-CK602))</f>
        <v/>
      </c>
      <c r="CN602" s="235"/>
      <c r="CO602" s="236"/>
      <c r="CP602" s="224" t="str">
        <f t="shared" ref="CP602:CP665" si="136">IF(OR(G602="", CN602="", CO602=""), "",   IF(ISERROR(CO602-CN602+1), "",CO602-CN602+1))</f>
        <v/>
      </c>
      <c r="CQ602" s="235"/>
      <c r="CR602" s="236"/>
      <c r="CS602" s="222" t="str">
        <f t="shared" ref="CS602:CS665" si="137">IF(OR(G602="", CQ602="", CR602=""), "",   IF(ISERROR(CR602-CQ602+1), "",CR602-CQ602+1))</f>
        <v/>
      </c>
      <c r="CT602" s="237" t="str">
        <f t="shared" ref="CT602:CT665" si="138">IF(AND(G602="", CK602="",CR602=""), "",IF(CR602="", IF(ISERROR(CV602-CK602), "",  CV602-CK602),  IF(ISERROR(CV602-CR602), "", CV602-CR602)))</f>
        <v/>
      </c>
      <c r="CU602" s="238"/>
      <c r="CV602" s="239"/>
      <c r="CW602" s="240"/>
    </row>
    <row r="603" spans="2:101" ht="16.5" customHeight="1">
      <c r="B603" s="122"/>
      <c r="E603" s="122"/>
      <c r="F603" s="194"/>
      <c r="G603" s="195"/>
      <c r="H603" s="195"/>
      <c r="I603" s="195"/>
      <c r="J603" s="196"/>
      <c r="K603" s="197"/>
      <c r="L603" s="198"/>
      <c r="M603" s="199"/>
      <c r="N603" s="200"/>
      <c r="O603" s="201"/>
      <c r="P603" s="201"/>
      <c r="Q603" s="201"/>
      <c r="R603" s="201"/>
      <c r="S603" s="201"/>
      <c r="T603" s="201"/>
      <c r="U603" s="201"/>
      <c r="V603" s="201"/>
      <c r="W603" s="201"/>
      <c r="X603" s="202"/>
      <c r="Y603" s="203"/>
      <c r="Z603" s="204"/>
      <c r="AA603" s="205"/>
      <c r="AB603" s="206"/>
      <c r="AC603" s="206"/>
      <c r="AD603" s="194"/>
      <c r="AE603" s="201"/>
      <c r="AF603" s="207"/>
      <c r="AG603" s="208"/>
      <c r="AH603" s="209"/>
      <c r="AI603" s="210"/>
      <c r="AJ603" s="197"/>
      <c r="AK603" s="201"/>
      <c r="AL603" s="196"/>
      <c r="AM603" s="201"/>
      <c r="AN603" s="201"/>
      <c r="AO603" s="201"/>
      <c r="AP603" s="211"/>
      <c r="AQ603" s="212"/>
      <c r="AR603" s="201"/>
      <c r="AS603" s="201"/>
      <c r="AT603" s="201"/>
      <c r="AU603" s="201"/>
      <c r="AV603" s="202"/>
      <c r="AW603" s="194"/>
      <c r="AX603" s="201"/>
      <c r="AY603" s="213"/>
      <c r="AZ603" s="214"/>
      <c r="BA603" s="215"/>
      <c r="BB603" s="216"/>
      <c r="BC603" s="217" t="str">
        <f t="shared" si="117"/>
        <v/>
      </c>
      <c r="BD603" s="218"/>
      <c r="BE603" s="219"/>
      <c r="BF603" s="220"/>
      <c r="BG603" s="219"/>
      <c r="BH603" s="219"/>
      <c r="BI603" s="220"/>
      <c r="BJ603" s="218"/>
      <c r="BK603" s="219"/>
      <c r="BL603" s="197"/>
      <c r="BM603" s="215"/>
      <c r="BN603" s="221"/>
      <c r="BO603" s="222" t="str">
        <f t="shared" si="118"/>
        <v/>
      </c>
      <c r="BP603" s="217" t="str">
        <f t="shared" si="119"/>
        <v/>
      </c>
      <c r="BQ603" s="215"/>
      <c r="BR603" s="224"/>
      <c r="BS603" s="225"/>
      <c r="BT603" s="223"/>
      <c r="BU603" s="215"/>
      <c r="BV603" s="226"/>
      <c r="BW603" s="222" t="str">
        <f t="shared" si="130"/>
        <v/>
      </c>
      <c r="BX603" s="223" t="str">
        <f t="shared" si="121"/>
        <v/>
      </c>
      <c r="BY603" s="215"/>
      <c r="BZ603" s="227"/>
      <c r="CA603" s="227"/>
      <c r="CB603" s="228"/>
      <c r="CC603" s="229"/>
      <c r="CD603" s="230" t="str">
        <f t="shared" si="131"/>
        <v/>
      </c>
      <c r="CE603" s="231" t="str">
        <f t="shared" si="132"/>
        <v/>
      </c>
      <c r="CF603" s="232" t="str">
        <f t="shared" si="133"/>
        <v/>
      </c>
      <c r="CG603" s="233" t="str">
        <f t="shared" si="134"/>
        <v/>
      </c>
      <c r="CH603" s="207" t="str">
        <f>IF(OR(G603="",CC603= ""), "", IF(ISERROR(SMALL((CJ603,CN603,CV603), 1)-CC603), "",  SMALL((CJ603,CN603,CV603), 1)-CC603))</f>
        <v/>
      </c>
      <c r="CI603" s="234"/>
      <c r="CJ603" s="235"/>
      <c r="CK603" s="236"/>
      <c r="CL603" s="222" t="str">
        <f t="shared" si="135"/>
        <v/>
      </c>
      <c r="CM603" s="237" t="str">
        <f>IF(OR(G603="", CJ603="",CK603=""), "", IF(ISERROR(SMALL((CN603,CV603), 1)-CK603), "",  SMALL((CN603,CV603), 1)-CK603))</f>
        <v/>
      </c>
      <c r="CN603" s="235"/>
      <c r="CO603" s="236"/>
      <c r="CP603" s="224" t="str">
        <f t="shared" si="136"/>
        <v/>
      </c>
      <c r="CQ603" s="235"/>
      <c r="CR603" s="236"/>
      <c r="CS603" s="222" t="str">
        <f t="shared" si="137"/>
        <v/>
      </c>
      <c r="CT603" s="237" t="str">
        <f t="shared" si="138"/>
        <v/>
      </c>
      <c r="CU603" s="238"/>
      <c r="CV603" s="239"/>
      <c r="CW603" s="240"/>
    </row>
    <row r="604" spans="2:101" ht="16.5" customHeight="1">
      <c r="B604" s="122"/>
      <c r="E604" s="122"/>
      <c r="F604" s="194"/>
      <c r="G604" s="195"/>
      <c r="H604" s="195"/>
      <c r="I604" s="195"/>
      <c r="J604" s="196"/>
      <c r="K604" s="197"/>
      <c r="L604" s="198"/>
      <c r="M604" s="199"/>
      <c r="N604" s="200"/>
      <c r="O604" s="201"/>
      <c r="P604" s="201"/>
      <c r="Q604" s="201"/>
      <c r="R604" s="201"/>
      <c r="S604" s="201"/>
      <c r="T604" s="201"/>
      <c r="U604" s="201"/>
      <c r="V604" s="201"/>
      <c r="W604" s="201"/>
      <c r="X604" s="202"/>
      <c r="Y604" s="203"/>
      <c r="Z604" s="204"/>
      <c r="AA604" s="205"/>
      <c r="AB604" s="206"/>
      <c r="AC604" s="206"/>
      <c r="AD604" s="194"/>
      <c r="AE604" s="201"/>
      <c r="AF604" s="207"/>
      <c r="AG604" s="208"/>
      <c r="AH604" s="209"/>
      <c r="AI604" s="210"/>
      <c r="AJ604" s="197"/>
      <c r="AK604" s="201"/>
      <c r="AL604" s="196"/>
      <c r="AM604" s="201"/>
      <c r="AN604" s="201"/>
      <c r="AO604" s="201"/>
      <c r="AP604" s="211"/>
      <c r="AQ604" s="212"/>
      <c r="AR604" s="201"/>
      <c r="AS604" s="201"/>
      <c r="AT604" s="201"/>
      <c r="AU604" s="201"/>
      <c r="AV604" s="202"/>
      <c r="AW604" s="194"/>
      <c r="AX604" s="201"/>
      <c r="AY604" s="213"/>
      <c r="AZ604" s="214"/>
      <c r="BA604" s="215"/>
      <c r="BB604" s="216"/>
      <c r="BC604" s="217" t="str">
        <f t="shared" si="117"/>
        <v/>
      </c>
      <c r="BD604" s="218"/>
      <c r="BE604" s="219"/>
      <c r="BF604" s="220"/>
      <c r="BG604" s="219"/>
      <c r="BH604" s="219"/>
      <c r="BI604" s="220"/>
      <c r="BJ604" s="218"/>
      <c r="BK604" s="219"/>
      <c r="BL604" s="197"/>
      <c r="BM604" s="215"/>
      <c r="BN604" s="221"/>
      <c r="BO604" s="222" t="str">
        <f t="shared" si="118"/>
        <v/>
      </c>
      <c r="BP604" s="217" t="str">
        <f t="shared" si="119"/>
        <v/>
      </c>
      <c r="BQ604" s="215"/>
      <c r="BR604" s="224"/>
      <c r="BS604" s="225"/>
      <c r="BT604" s="223"/>
      <c r="BU604" s="215"/>
      <c r="BV604" s="226"/>
      <c r="BW604" s="222" t="str">
        <f t="shared" si="130"/>
        <v/>
      </c>
      <c r="BX604" s="223" t="str">
        <f t="shared" si="121"/>
        <v/>
      </c>
      <c r="BY604" s="215"/>
      <c r="BZ604" s="227"/>
      <c r="CA604" s="227"/>
      <c r="CB604" s="228"/>
      <c r="CC604" s="229"/>
      <c r="CD604" s="230" t="str">
        <f t="shared" si="131"/>
        <v/>
      </c>
      <c r="CE604" s="231" t="str">
        <f t="shared" si="132"/>
        <v/>
      </c>
      <c r="CF604" s="232" t="str">
        <f t="shared" si="133"/>
        <v/>
      </c>
      <c r="CG604" s="233" t="str">
        <f t="shared" si="134"/>
        <v/>
      </c>
      <c r="CH604" s="207" t="str">
        <f>IF(OR(G604="",CC604= ""), "", IF(ISERROR(SMALL((CJ604,CN604,CV604), 1)-CC604), "",  SMALL((CJ604,CN604,CV604), 1)-CC604))</f>
        <v/>
      </c>
      <c r="CI604" s="234"/>
      <c r="CJ604" s="235"/>
      <c r="CK604" s="236"/>
      <c r="CL604" s="222" t="str">
        <f t="shared" si="135"/>
        <v/>
      </c>
      <c r="CM604" s="237" t="str">
        <f>IF(OR(G604="", CJ604="",CK604=""), "", IF(ISERROR(SMALL((CN604,CV604), 1)-CK604), "",  SMALL((CN604,CV604), 1)-CK604))</f>
        <v/>
      </c>
      <c r="CN604" s="235"/>
      <c r="CO604" s="236"/>
      <c r="CP604" s="224" t="str">
        <f t="shared" si="136"/>
        <v/>
      </c>
      <c r="CQ604" s="235"/>
      <c r="CR604" s="236"/>
      <c r="CS604" s="222" t="str">
        <f t="shared" si="137"/>
        <v/>
      </c>
      <c r="CT604" s="237" t="str">
        <f t="shared" si="138"/>
        <v/>
      </c>
      <c r="CU604" s="238"/>
      <c r="CV604" s="239"/>
      <c r="CW604" s="240"/>
    </row>
    <row r="605" spans="2:101" ht="16.5" customHeight="1">
      <c r="B605" s="122"/>
      <c r="E605" s="122"/>
      <c r="F605" s="194"/>
      <c r="G605" s="195"/>
      <c r="H605" s="195"/>
      <c r="I605" s="195"/>
      <c r="J605" s="196"/>
      <c r="K605" s="197"/>
      <c r="L605" s="198"/>
      <c r="M605" s="199"/>
      <c r="N605" s="200"/>
      <c r="O605" s="201"/>
      <c r="P605" s="201"/>
      <c r="Q605" s="201"/>
      <c r="R605" s="201"/>
      <c r="S605" s="201"/>
      <c r="T605" s="201"/>
      <c r="U605" s="201"/>
      <c r="V605" s="201"/>
      <c r="W605" s="201"/>
      <c r="X605" s="202"/>
      <c r="Y605" s="203"/>
      <c r="Z605" s="204"/>
      <c r="AA605" s="205"/>
      <c r="AB605" s="206"/>
      <c r="AC605" s="206"/>
      <c r="AD605" s="194"/>
      <c r="AE605" s="201"/>
      <c r="AF605" s="207"/>
      <c r="AG605" s="208"/>
      <c r="AH605" s="209"/>
      <c r="AI605" s="210"/>
      <c r="AJ605" s="197"/>
      <c r="AK605" s="201"/>
      <c r="AL605" s="196"/>
      <c r="AM605" s="201"/>
      <c r="AN605" s="201"/>
      <c r="AO605" s="201"/>
      <c r="AP605" s="211"/>
      <c r="AQ605" s="212"/>
      <c r="AR605" s="201"/>
      <c r="AS605" s="201"/>
      <c r="AT605" s="201"/>
      <c r="AU605" s="201"/>
      <c r="AV605" s="202"/>
      <c r="AW605" s="194"/>
      <c r="AX605" s="201"/>
      <c r="AY605" s="213"/>
      <c r="AZ605" s="214"/>
      <c r="BA605" s="215"/>
      <c r="BB605" s="216"/>
      <c r="BC605" s="217" t="str">
        <f t="shared" si="117"/>
        <v/>
      </c>
      <c r="BD605" s="218"/>
      <c r="BE605" s="219"/>
      <c r="BF605" s="220"/>
      <c r="BG605" s="219"/>
      <c r="BH605" s="219"/>
      <c r="BI605" s="220"/>
      <c r="BJ605" s="218"/>
      <c r="BK605" s="219"/>
      <c r="BL605" s="197"/>
      <c r="BM605" s="215"/>
      <c r="BN605" s="221"/>
      <c r="BO605" s="222" t="str">
        <f t="shared" si="118"/>
        <v/>
      </c>
      <c r="BP605" s="217" t="str">
        <f t="shared" si="119"/>
        <v/>
      </c>
      <c r="BQ605" s="215"/>
      <c r="BR605" s="224"/>
      <c r="BS605" s="225"/>
      <c r="BT605" s="223"/>
      <c r="BU605" s="215"/>
      <c r="BV605" s="226"/>
      <c r="BW605" s="222" t="str">
        <f t="shared" si="130"/>
        <v/>
      </c>
      <c r="BX605" s="223" t="str">
        <f t="shared" si="121"/>
        <v/>
      </c>
      <c r="BY605" s="215"/>
      <c r="BZ605" s="227"/>
      <c r="CA605" s="227"/>
      <c r="CB605" s="228"/>
      <c r="CC605" s="229"/>
      <c r="CD605" s="230" t="str">
        <f t="shared" si="131"/>
        <v/>
      </c>
      <c r="CE605" s="231" t="str">
        <f t="shared" si="132"/>
        <v/>
      </c>
      <c r="CF605" s="232" t="str">
        <f t="shared" si="133"/>
        <v/>
      </c>
      <c r="CG605" s="233" t="str">
        <f t="shared" si="134"/>
        <v/>
      </c>
      <c r="CH605" s="207" t="str">
        <f>IF(OR(G605="",CC605= ""), "", IF(ISERROR(SMALL((CJ605,CN605,CV605), 1)-CC605), "",  SMALL((CJ605,CN605,CV605), 1)-CC605))</f>
        <v/>
      </c>
      <c r="CI605" s="234"/>
      <c r="CJ605" s="235"/>
      <c r="CK605" s="236"/>
      <c r="CL605" s="222" t="str">
        <f t="shared" si="135"/>
        <v/>
      </c>
      <c r="CM605" s="237" t="str">
        <f>IF(OR(G605="", CJ605="",CK605=""), "", IF(ISERROR(SMALL((CN605,CV605), 1)-CK605), "",  SMALL((CN605,CV605), 1)-CK605))</f>
        <v/>
      </c>
      <c r="CN605" s="235"/>
      <c r="CO605" s="236"/>
      <c r="CP605" s="224" t="str">
        <f t="shared" si="136"/>
        <v/>
      </c>
      <c r="CQ605" s="235"/>
      <c r="CR605" s="236"/>
      <c r="CS605" s="222" t="str">
        <f t="shared" si="137"/>
        <v/>
      </c>
      <c r="CT605" s="237" t="str">
        <f t="shared" si="138"/>
        <v/>
      </c>
      <c r="CU605" s="238"/>
      <c r="CV605" s="239"/>
      <c r="CW605" s="240"/>
    </row>
    <row r="606" spans="2:101" ht="16.5" customHeight="1">
      <c r="B606" s="122"/>
      <c r="E606" s="122"/>
      <c r="F606" s="194"/>
      <c r="G606" s="195"/>
      <c r="H606" s="195"/>
      <c r="I606" s="195"/>
      <c r="J606" s="196"/>
      <c r="K606" s="197"/>
      <c r="L606" s="198"/>
      <c r="M606" s="199"/>
      <c r="N606" s="200"/>
      <c r="O606" s="201"/>
      <c r="P606" s="201"/>
      <c r="Q606" s="201"/>
      <c r="R606" s="201"/>
      <c r="S606" s="201"/>
      <c r="T606" s="201"/>
      <c r="U606" s="201"/>
      <c r="V606" s="201"/>
      <c r="W606" s="201"/>
      <c r="X606" s="202"/>
      <c r="Y606" s="203"/>
      <c r="Z606" s="204"/>
      <c r="AA606" s="205"/>
      <c r="AB606" s="206"/>
      <c r="AC606" s="206"/>
      <c r="AD606" s="194"/>
      <c r="AE606" s="201"/>
      <c r="AF606" s="207"/>
      <c r="AG606" s="208"/>
      <c r="AH606" s="209"/>
      <c r="AI606" s="210"/>
      <c r="AJ606" s="197"/>
      <c r="AK606" s="201"/>
      <c r="AL606" s="196"/>
      <c r="AM606" s="201"/>
      <c r="AN606" s="201"/>
      <c r="AO606" s="201"/>
      <c r="AP606" s="211"/>
      <c r="AQ606" s="212"/>
      <c r="AR606" s="201"/>
      <c r="AS606" s="201"/>
      <c r="AT606" s="201"/>
      <c r="AU606" s="201"/>
      <c r="AV606" s="202"/>
      <c r="AW606" s="194"/>
      <c r="AX606" s="201"/>
      <c r="AY606" s="213"/>
      <c r="AZ606" s="214"/>
      <c r="BA606" s="215"/>
      <c r="BB606" s="216"/>
      <c r="BC606" s="217" t="str">
        <f t="shared" si="117"/>
        <v/>
      </c>
      <c r="BD606" s="218"/>
      <c r="BE606" s="219"/>
      <c r="BF606" s="220"/>
      <c r="BG606" s="219"/>
      <c r="BH606" s="219"/>
      <c r="BI606" s="220"/>
      <c r="BJ606" s="218"/>
      <c r="BK606" s="219"/>
      <c r="BL606" s="197"/>
      <c r="BM606" s="215"/>
      <c r="BN606" s="221"/>
      <c r="BO606" s="222" t="str">
        <f t="shared" si="118"/>
        <v/>
      </c>
      <c r="BP606" s="217" t="str">
        <f t="shared" si="119"/>
        <v/>
      </c>
      <c r="BQ606" s="215"/>
      <c r="BR606" s="224"/>
      <c r="BS606" s="225"/>
      <c r="BT606" s="223"/>
      <c r="BU606" s="215"/>
      <c r="BV606" s="226"/>
      <c r="BW606" s="222" t="str">
        <f t="shared" si="130"/>
        <v/>
      </c>
      <c r="BX606" s="223" t="str">
        <f t="shared" si="121"/>
        <v/>
      </c>
      <c r="BY606" s="215"/>
      <c r="BZ606" s="227"/>
      <c r="CA606" s="227"/>
      <c r="CB606" s="228"/>
      <c r="CC606" s="229"/>
      <c r="CD606" s="230" t="str">
        <f t="shared" si="131"/>
        <v/>
      </c>
      <c r="CE606" s="231" t="str">
        <f t="shared" si="132"/>
        <v/>
      </c>
      <c r="CF606" s="232" t="str">
        <f t="shared" si="133"/>
        <v/>
      </c>
      <c r="CG606" s="233" t="str">
        <f t="shared" si="134"/>
        <v/>
      </c>
      <c r="CH606" s="207" t="str">
        <f>IF(OR(G606="",CC606= ""), "", IF(ISERROR(SMALL((CJ606,CN606,CV606), 1)-CC606), "",  SMALL((CJ606,CN606,CV606), 1)-CC606))</f>
        <v/>
      </c>
      <c r="CI606" s="234"/>
      <c r="CJ606" s="235"/>
      <c r="CK606" s="236"/>
      <c r="CL606" s="222" t="str">
        <f t="shared" si="135"/>
        <v/>
      </c>
      <c r="CM606" s="237" t="str">
        <f>IF(OR(G606="", CJ606="",CK606=""), "", IF(ISERROR(SMALL((CN606,CV606), 1)-CK606), "",  SMALL((CN606,CV606), 1)-CK606))</f>
        <v/>
      </c>
      <c r="CN606" s="235"/>
      <c r="CO606" s="236"/>
      <c r="CP606" s="224" t="str">
        <f t="shared" si="136"/>
        <v/>
      </c>
      <c r="CQ606" s="235"/>
      <c r="CR606" s="236"/>
      <c r="CS606" s="222" t="str">
        <f t="shared" si="137"/>
        <v/>
      </c>
      <c r="CT606" s="237" t="str">
        <f t="shared" si="138"/>
        <v/>
      </c>
      <c r="CU606" s="238"/>
      <c r="CV606" s="239"/>
      <c r="CW606" s="240"/>
    </row>
    <row r="607" spans="2:101" ht="16.5" customHeight="1">
      <c r="B607" s="122"/>
      <c r="E607" s="122"/>
      <c r="F607" s="194"/>
      <c r="G607" s="195"/>
      <c r="H607" s="195"/>
      <c r="I607" s="195"/>
      <c r="J607" s="196"/>
      <c r="K607" s="197"/>
      <c r="L607" s="198"/>
      <c r="M607" s="199"/>
      <c r="N607" s="200"/>
      <c r="O607" s="201"/>
      <c r="P607" s="201"/>
      <c r="Q607" s="201"/>
      <c r="R607" s="201"/>
      <c r="S607" s="201"/>
      <c r="T607" s="201"/>
      <c r="U607" s="201"/>
      <c r="V607" s="201"/>
      <c r="W607" s="201"/>
      <c r="X607" s="202"/>
      <c r="Y607" s="203"/>
      <c r="Z607" s="204"/>
      <c r="AA607" s="205"/>
      <c r="AB607" s="206"/>
      <c r="AC607" s="206"/>
      <c r="AD607" s="194"/>
      <c r="AE607" s="201"/>
      <c r="AF607" s="207"/>
      <c r="AG607" s="208"/>
      <c r="AH607" s="209"/>
      <c r="AI607" s="210"/>
      <c r="AJ607" s="197"/>
      <c r="AK607" s="201"/>
      <c r="AL607" s="196"/>
      <c r="AM607" s="201"/>
      <c r="AN607" s="201"/>
      <c r="AO607" s="201"/>
      <c r="AP607" s="211"/>
      <c r="AQ607" s="212"/>
      <c r="AR607" s="201"/>
      <c r="AS607" s="201"/>
      <c r="AT607" s="201"/>
      <c r="AU607" s="201"/>
      <c r="AV607" s="202"/>
      <c r="AW607" s="194"/>
      <c r="AX607" s="201"/>
      <c r="AY607" s="213"/>
      <c r="AZ607" s="214"/>
      <c r="BA607" s="215"/>
      <c r="BB607" s="216"/>
      <c r="BC607" s="217" t="str">
        <f t="shared" si="117"/>
        <v/>
      </c>
      <c r="BD607" s="218"/>
      <c r="BE607" s="219"/>
      <c r="BF607" s="220"/>
      <c r="BG607" s="219"/>
      <c r="BH607" s="219"/>
      <c r="BI607" s="220"/>
      <c r="BJ607" s="218"/>
      <c r="BK607" s="219"/>
      <c r="BL607" s="197"/>
      <c r="BM607" s="215"/>
      <c r="BN607" s="221"/>
      <c r="BO607" s="222" t="str">
        <f t="shared" si="118"/>
        <v/>
      </c>
      <c r="BP607" s="217" t="str">
        <f t="shared" si="119"/>
        <v/>
      </c>
      <c r="BQ607" s="215"/>
      <c r="BR607" s="224"/>
      <c r="BS607" s="225"/>
      <c r="BT607" s="223"/>
      <c r="BU607" s="215"/>
      <c r="BV607" s="226"/>
      <c r="BW607" s="222" t="str">
        <f t="shared" si="130"/>
        <v/>
      </c>
      <c r="BX607" s="223" t="str">
        <f t="shared" si="121"/>
        <v/>
      </c>
      <c r="BY607" s="215"/>
      <c r="BZ607" s="227"/>
      <c r="CA607" s="227"/>
      <c r="CB607" s="228"/>
      <c r="CC607" s="229"/>
      <c r="CD607" s="230" t="str">
        <f t="shared" si="131"/>
        <v/>
      </c>
      <c r="CE607" s="231" t="str">
        <f t="shared" si="132"/>
        <v/>
      </c>
      <c r="CF607" s="232" t="str">
        <f t="shared" si="133"/>
        <v/>
      </c>
      <c r="CG607" s="233" t="str">
        <f t="shared" si="134"/>
        <v/>
      </c>
      <c r="CH607" s="207" t="str">
        <f>IF(OR(G607="",CC607= ""), "", IF(ISERROR(SMALL((CJ607,CN607,CV607), 1)-CC607), "",  SMALL((CJ607,CN607,CV607), 1)-CC607))</f>
        <v/>
      </c>
      <c r="CI607" s="234"/>
      <c r="CJ607" s="235"/>
      <c r="CK607" s="236"/>
      <c r="CL607" s="222" t="str">
        <f t="shared" si="135"/>
        <v/>
      </c>
      <c r="CM607" s="237" t="str">
        <f>IF(OR(G607="", CJ607="",CK607=""), "", IF(ISERROR(SMALL((CN607,CV607), 1)-CK607), "",  SMALL((CN607,CV607), 1)-CK607))</f>
        <v/>
      </c>
      <c r="CN607" s="235"/>
      <c r="CO607" s="236"/>
      <c r="CP607" s="224" t="str">
        <f t="shared" si="136"/>
        <v/>
      </c>
      <c r="CQ607" s="235"/>
      <c r="CR607" s="236"/>
      <c r="CS607" s="222" t="str">
        <f t="shared" si="137"/>
        <v/>
      </c>
      <c r="CT607" s="237" t="str">
        <f t="shared" si="138"/>
        <v/>
      </c>
      <c r="CU607" s="238"/>
      <c r="CV607" s="239"/>
      <c r="CW607" s="240"/>
    </row>
    <row r="608" spans="2:101" ht="16.5" customHeight="1">
      <c r="B608" s="122"/>
      <c r="E608" s="122"/>
      <c r="F608" s="194"/>
      <c r="G608" s="195"/>
      <c r="H608" s="195"/>
      <c r="I608" s="195"/>
      <c r="J608" s="196"/>
      <c r="K608" s="197"/>
      <c r="L608" s="198"/>
      <c r="M608" s="199"/>
      <c r="N608" s="200"/>
      <c r="O608" s="201"/>
      <c r="P608" s="201"/>
      <c r="Q608" s="201"/>
      <c r="R608" s="201"/>
      <c r="S608" s="201"/>
      <c r="T608" s="201"/>
      <c r="U608" s="201"/>
      <c r="V608" s="201"/>
      <c r="W608" s="201"/>
      <c r="X608" s="202"/>
      <c r="Y608" s="203"/>
      <c r="Z608" s="204"/>
      <c r="AA608" s="205"/>
      <c r="AB608" s="206"/>
      <c r="AC608" s="206"/>
      <c r="AD608" s="194"/>
      <c r="AE608" s="201"/>
      <c r="AF608" s="207"/>
      <c r="AG608" s="208"/>
      <c r="AH608" s="209"/>
      <c r="AI608" s="210"/>
      <c r="AJ608" s="197"/>
      <c r="AK608" s="201"/>
      <c r="AL608" s="196"/>
      <c r="AM608" s="201"/>
      <c r="AN608" s="201"/>
      <c r="AO608" s="201"/>
      <c r="AP608" s="211"/>
      <c r="AQ608" s="212"/>
      <c r="AR608" s="201"/>
      <c r="AS608" s="201"/>
      <c r="AT608" s="201"/>
      <c r="AU608" s="201"/>
      <c r="AV608" s="202"/>
      <c r="AW608" s="194"/>
      <c r="AX608" s="201"/>
      <c r="AY608" s="213"/>
      <c r="AZ608" s="214"/>
      <c r="BA608" s="215"/>
      <c r="BB608" s="216"/>
      <c r="BC608" s="217" t="str">
        <f t="shared" si="117"/>
        <v/>
      </c>
      <c r="BD608" s="218"/>
      <c r="BE608" s="219"/>
      <c r="BF608" s="220"/>
      <c r="BG608" s="219"/>
      <c r="BH608" s="219"/>
      <c r="BI608" s="220"/>
      <c r="BJ608" s="218"/>
      <c r="BK608" s="219"/>
      <c r="BL608" s="197"/>
      <c r="BM608" s="215"/>
      <c r="BN608" s="221"/>
      <c r="BO608" s="222" t="str">
        <f t="shared" si="118"/>
        <v/>
      </c>
      <c r="BP608" s="217" t="str">
        <f t="shared" si="119"/>
        <v/>
      </c>
      <c r="BQ608" s="215"/>
      <c r="BR608" s="224"/>
      <c r="BS608" s="225"/>
      <c r="BT608" s="223"/>
      <c r="BU608" s="215"/>
      <c r="BV608" s="226"/>
      <c r="BW608" s="222" t="str">
        <f t="shared" si="130"/>
        <v/>
      </c>
      <c r="BX608" s="223" t="str">
        <f t="shared" si="121"/>
        <v/>
      </c>
      <c r="BY608" s="215"/>
      <c r="BZ608" s="227"/>
      <c r="CA608" s="227"/>
      <c r="CB608" s="228"/>
      <c r="CC608" s="229"/>
      <c r="CD608" s="230" t="str">
        <f t="shared" si="131"/>
        <v/>
      </c>
      <c r="CE608" s="231" t="str">
        <f t="shared" si="132"/>
        <v/>
      </c>
      <c r="CF608" s="232" t="str">
        <f t="shared" si="133"/>
        <v/>
      </c>
      <c r="CG608" s="233" t="str">
        <f t="shared" si="134"/>
        <v/>
      </c>
      <c r="CH608" s="207" t="str">
        <f>IF(OR(G608="",CC608= ""), "", IF(ISERROR(SMALL((CJ608,CN608,CV608), 1)-CC608), "",  SMALL((CJ608,CN608,CV608), 1)-CC608))</f>
        <v/>
      </c>
      <c r="CI608" s="234"/>
      <c r="CJ608" s="235"/>
      <c r="CK608" s="236"/>
      <c r="CL608" s="222" t="str">
        <f t="shared" si="135"/>
        <v/>
      </c>
      <c r="CM608" s="237" t="str">
        <f>IF(OR(G608="", CJ608="",CK608=""), "", IF(ISERROR(SMALL((CN608,CV608), 1)-CK608), "",  SMALL((CN608,CV608), 1)-CK608))</f>
        <v/>
      </c>
      <c r="CN608" s="235"/>
      <c r="CO608" s="236"/>
      <c r="CP608" s="224" t="str">
        <f t="shared" si="136"/>
        <v/>
      </c>
      <c r="CQ608" s="235"/>
      <c r="CR608" s="236"/>
      <c r="CS608" s="222" t="str">
        <f t="shared" si="137"/>
        <v/>
      </c>
      <c r="CT608" s="237" t="str">
        <f t="shared" si="138"/>
        <v/>
      </c>
      <c r="CU608" s="238"/>
      <c r="CV608" s="239"/>
      <c r="CW608" s="240"/>
    </row>
    <row r="609" spans="2:101" ht="16.5" customHeight="1">
      <c r="B609" s="122"/>
      <c r="E609" s="122"/>
      <c r="F609" s="194"/>
      <c r="G609" s="195"/>
      <c r="H609" s="195"/>
      <c r="I609" s="195"/>
      <c r="J609" s="196"/>
      <c r="K609" s="197"/>
      <c r="L609" s="198"/>
      <c r="M609" s="199"/>
      <c r="N609" s="200"/>
      <c r="O609" s="201"/>
      <c r="P609" s="201"/>
      <c r="Q609" s="201"/>
      <c r="R609" s="201"/>
      <c r="S609" s="201"/>
      <c r="T609" s="201"/>
      <c r="U609" s="201"/>
      <c r="V609" s="201"/>
      <c r="W609" s="201"/>
      <c r="X609" s="202"/>
      <c r="Y609" s="203"/>
      <c r="Z609" s="204"/>
      <c r="AA609" s="205"/>
      <c r="AB609" s="206"/>
      <c r="AC609" s="206"/>
      <c r="AD609" s="194"/>
      <c r="AE609" s="201"/>
      <c r="AF609" s="207"/>
      <c r="AG609" s="208"/>
      <c r="AH609" s="209"/>
      <c r="AI609" s="210"/>
      <c r="AJ609" s="197"/>
      <c r="AK609" s="201"/>
      <c r="AL609" s="196"/>
      <c r="AM609" s="201"/>
      <c r="AN609" s="201"/>
      <c r="AO609" s="201"/>
      <c r="AP609" s="211"/>
      <c r="AQ609" s="212"/>
      <c r="AR609" s="201"/>
      <c r="AS609" s="201"/>
      <c r="AT609" s="201"/>
      <c r="AU609" s="201"/>
      <c r="AV609" s="202"/>
      <c r="AW609" s="194"/>
      <c r="AX609" s="201"/>
      <c r="AY609" s="213"/>
      <c r="AZ609" s="214"/>
      <c r="BA609" s="215"/>
      <c r="BB609" s="216"/>
      <c r="BC609" s="217" t="str">
        <f t="shared" si="117"/>
        <v/>
      </c>
      <c r="BD609" s="218"/>
      <c r="BE609" s="219"/>
      <c r="BF609" s="220"/>
      <c r="BG609" s="219"/>
      <c r="BH609" s="219"/>
      <c r="BI609" s="220"/>
      <c r="BJ609" s="218"/>
      <c r="BK609" s="219"/>
      <c r="BL609" s="197"/>
      <c r="BM609" s="215"/>
      <c r="BN609" s="221"/>
      <c r="BO609" s="222" t="str">
        <f t="shared" si="118"/>
        <v/>
      </c>
      <c r="BP609" s="217" t="str">
        <f t="shared" si="119"/>
        <v/>
      </c>
      <c r="BQ609" s="215"/>
      <c r="BR609" s="224"/>
      <c r="BS609" s="225"/>
      <c r="BT609" s="223"/>
      <c r="BU609" s="215"/>
      <c r="BV609" s="226"/>
      <c r="BW609" s="222" t="str">
        <f t="shared" si="130"/>
        <v/>
      </c>
      <c r="BX609" s="223" t="str">
        <f t="shared" si="121"/>
        <v/>
      </c>
      <c r="BY609" s="215"/>
      <c r="BZ609" s="227"/>
      <c r="CA609" s="227"/>
      <c r="CB609" s="228"/>
      <c r="CC609" s="229"/>
      <c r="CD609" s="230" t="str">
        <f t="shared" si="131"/>
        <v/>
      </c>
      <c r="CE609" s="231" t="str">
        <f t="shared" si="132"/>
        <v/>
      </c>
      <c r="CF609" s="232" t="str">
        <f t="shared" si="133"/>
        <v/>
      </c>
      <c r="CG609" s="233" t="str">
        <f t="shared" si="134"/>
        <v/>
      </c>
      <c r="CH609" s="207" t="str">
        <f>IF(OR(G609="",CC609= ""), "", IF(ISERROR(SMALL((CJ609,CN609,CV609), 1)-CC609), "",  SMALL((CJ609,CN609,CV609), 1)-CC609))</f>
        <v/>
      </c>
      <c r="CI609" s="234"/>
      <c r="CJ609" s="235"/>
      <c r="CK609" s="236"/>
      <c r="CL609" s="222" t="str">
        <f t="shared" si="135"/>
        <v/>
      </c>
      <c r="CM609" s="237" t="str">
        <f>IF(OR(G609="", CJ609="",CK609=""), "", IF(ISERROR(SMALL((CN609,CV609), 1)-CK609), "",  SMALL((CN609,CV609), 1)-CK609))</f>
        <v/>
      </c>
      <c r="CN609" s="235"/>
      <c r="CO609" s="236"/>
      <c r="CP609" s="224" t="str">
        <f t="shared" si="136"/>
        <v/>
      </c>
      <c r="CQ609" s="235"/>
      <c r="CR609" s="236"/>
      <c r="CS609" s="222" t="str">
        <f t="shared" si="137"/>
        <v/>
      </c>
      <c r="CT609" s="237" t="str">
        <f t="shared" si="138"/>
        <v/>
      </c>
      <c r="CU609" s="238"/>
      <c r="CV609" s="239"/>
      <c r="CW609" s="240"/>
    </row>
    <row r="610" spans="2:101" ht="16.5" customHeight="1">
      <c r="B610" s="122"/>
      <c r="E610" s="122"/>
      <c r="F610" s="194"/>
      <c r="G610" s="195"/>
      <c r="H610" s="195"/>
      <c r="I610" s="195"/>
      <c r="J610" s="196"/>
      <c r="K610" s="197"/>
      <c r="L610" s="198"/>
      <c r="M610" s="199"/>
      <c r="N610" s="200"/>
      <c r="O610" s="201"/>
      <c r="P610" s="201"/>
      <c r="Q610" s="201"/>
      <c r="R610" s="201"/>
      <c r="S610" s="201"/>
      <c r="T610" s="201"/>
      <c r="U610" s="201"/>
      <c r="V610" s="201"/>
      <c r="W610" s="201"/>
      <c r="X610" s="202"/>
      <c r="Y610" s="203"/>
      <c r="Z610" s="204"/>
      <c r="AA610" s="205"/>
      <c r="AB610" s="206"/>
      <c r="AC610" s="206"/>
      <c r="AD610" s="194"/>
      <c r="AE610" s="201"/>
      <c r="AF610" s="207"/>
      <c r="AG610" s="208"/>
      <c r="AH610" s="209"/>
      <c r="AI610" s="210"/>
      <c r="AJ610" s="197"/>
      <c r="AK610" s="201"/>
      <c r="AL610" s="196"/>
      <c r="AM610" s="201"/>
      <c r="AN610" s="201"/>
      <c r="AO610" s="201"/>
      <c r="AP610" s="211"/>
      <c r="AQ610" s="212"/>
      <c r="AR610" s="201"/>
      <c r="AS610" s="201"/>
      <c r="AT610" s="201"/>
      <c r="AU610" s="201"/>
      <c r="AV610" s="202"/>
      <c r="AW610" s="194"/>
      <c r="AX610" s="201"/>
      <c r="AY610" s="213"/>
      <c r="AZ610" s="214"/>
      <c r="BA610" s="215"/>
      <c r="BB610" s="216"/>
      <c r="BC610" s="217" t="str">
        <f t="shared" si="117"/>
        <v/>
      </c>
      <c r="BD610" s="218"/>
      <c r="BE610" s="219"/>
      <c r="BF610" s="220"/>
      <c r="BG610" s="219"/>
      <c r="BH610" s="219"/>
      <c r="BI610" s="220"/>
      <c r="BJ610" s="218"/>
      <c r="BK610" s="219"/>
      <c r="BL610" s="197"/>
      <c r="BM610" s="215"/>
      <c r="BN610" s="221"/>
      <c r="BO610" s="222" t="str">
        <f t="shared" si="118"/>
        <v/>
      </c>
      <c r="BP610" s="217" t="str">
        <f t="shared" si="119"/>
        <v/>
      </c>
      <c r="BQ610" s="215"/>
      <c r="BR610" s="224"/>
      <c r="BS610" s="225"/>
      <c r="BT610" s="223"/>
      <c r="BU610" s="215"/>
      <c r="BV610" s="226"/>
      <c r="BW610" s="222" t="str">
        <f t="shared" si="130"/>
        <v/>
      </c>
      <c r="BX610" s="223" t="str">
        <f t="shared" si="121"/>
        <v/>
      </c>
      <c r="BY610" s="215"/>
      <c r="BZ610" s="227"/>
      <c r="CA610" s="227"/>
      <c r="CB610" s="228"/>
      <c r="CC610" s="229"/>
      <c r="CD610" s="230" t="str">
        <f t="shared" si="131"/>
        <v/>
      </c>
      <c r="CE610" s="231" t="str">
        <f t="shared" si="132"/>
        <v/>
      </c>
      <c r="CF610" s="232" t="str">
        <f t="shared" si="133"/>
        <v/>
      </c>
      <c r="CG610" s="233" t="str">
        <f t="shared" si="134"/>
        <v/>
      </c>
      <c r="CH610" s="207" t="str">
        <f>IF(OR(G610="",CC610= ""), "", IF(ISERROR(SMALL((CJ610,CN610,CV610), 1)-CC610), "",  SMALL((CJ610,CN610,CV610), 1)-CC610))</f>
        <v/>
      </c>
      <c r="CI610" s="234"/>
      <c r="CJ610" s="235"/>
      <c r="CK610" s="236"/>
      <c r="CL610" s="222" t="str">
        <f t="shared" si="135"/>
        <v/>
      </c>
      <c r="CM610" s="237" t="str">
        <f>IF(OR(G610="", CJ610="",CK610=""), "", IF(ISERROR(SMALL((CN610,CV610), 1)-CK610), "",  SMALL((CN610,CV610), 1)-CK610))</f>
        <v/>
      </c>
      <c r="CN610" s="235"/>
      <c r="CO610" s="236"/>
      <c r="CP610" s="224" t="str">
        <f t="shared" si="136"/>
        <v/>
      </c>
      <c r="CQ610" s="235"/>
      <c r="CR610" s="236"/>
      <c r="CS610" s="222" t="str">
        <f t="shared" si="137"/>
        <v/>
      </c>
      <c r="CT610" s="237" t="str">
        <f t="shared" si="138"/>
        <v/>
      </c>
      <c r="CU610" s="238"/>
      <c r="CV610" s="239"/>
      <c r="CW610" s="240"/>
    </row>
    <row r="611" spans="2:101" ht="16.5" customHeight="1">
      <c r="B611" s="122"/>
      <c r="E611" s="122"/>
      <c r="F611" s="194"/>
      <c r="G611" s="195"/>
      <c r="H611" s="195"/>
      <c r="I611" s="195"/>
      <c r="J611" s="196"/>
      <c r="K611" s="197"/>
      <c r="L611" s="198"/>
      <c r="M611" s="199"/>
      <c r="N611" s="200"/>
      <c r="O611" s="201"/>
      <c r="P611" s="201"/>
      <c r="Q611" s="201"/>
      <c r="R611" s="201"/>
      <c r="S611" s="201"/>
      <c r="T611" s="201"/>
      <c r="U611" s="201"/>
      <c r="V611" s="201"/>
      <c r="W611" s="201"/>
      <c r="X611" s="202"/>
      <c r="Y611" s="203"/>
      <c r="Z611" s="204"/>
      <c r="AA611" s="205"/>
      <c r="AB611" s="206"/>
      <c r="AC611" s="206"/>
      <c r="AD611" s="194"/>
      <c r="AE611" s="201"/>
      <c r="AF611" s="207"/>
      <c r="AG611" s="208"/>
      <c r="AH611" s="209"/>
      <c r="AI611" s="210"/>
      <c r="AJ611" s="197"/>
      <c r="AK611" s="201"/>
      <c r="AL611" s="196"/>
      <c r="AM611" s="201"/>
      <c r="AN611" s="201"/>
      <c r="AO611" s="201"/>
      <c r="AP611" s="211"/>
      <c r="AQ611" s="212"/>
      <c r="AR611" s="201"/>
      <c r="AS611" s="201"/>
      <c r="AT611" s="201"/>
      <c r="AU611" s="201"/>
      <c r="AV611" s="202"/>
      <c r="AW611" s="194"/>
      <c r="AX611" s="201"/>
      <c r="AY611" s="213"/>
      <c r="AZ611" s="214"/>
      <c r="BA611" s="215"/>
      <c r="BB611" s="216"/>
      <c r="BC611" s="217" t="str">
        <f t="shared" si="117"/>
        <v/>
      </c>
      <c r="BD611" s="218"/>
      <c r="BE611" s="219"/>
      <c r="BF611" s="220"/>
      <c r="BG611" s="219"/>
      <c r="BH611" s="219"/>
      <c r="BI611" s="220"/>
      <c r="BJ611" s="218"/>
      <c r="BK611" s="219"/>
      <c r="BL611" s="197"/>
      <c r="BM611" s="215"/>
      <c r="BN611" s="221"/>
      <c r="BO611" s="222" t="str">
        <f t="shared" si="118"/>
        <v/>
      </c>
      <c r="BP611" s="217" t="str">
        <f t="shared" si="119"/>
        <v/>
      </c>
      <c r="BQ611" s="215"/>
      <c r="BR611" s="224"/>
      <c r="BS611" s="225"/>
      <c r="BT611" s="223"/>
      <c r="BU611" s="215"/>
      <c r="BV611" s="226"/>
      <c r="BW611" s="222" t="str">
        <f t="shared" si="130"/>
        <v/>
      </c>
      <c r="BX611" s="223" t="str">
        <f t="shared" si="121"/>
        <v/>
      </c>
      <c r="BY611" s="215"/>
      <c r="BZ611" s="227"/>
      <c r="CA611" s="227"/>
      <c r="CB611" s="228"/>
      <c r="CC611" s="229"/>
      <c r="CD611" s="230" t="str">
        <f t="shared" si="131"/>
        <v/>
      </c>
      <c r="CE611" s="231" t="str">
        <f t="shared" si="132"/>
        <v/>
      </c>
      <c r="CF611" s="232" t="str">
        <f t="shared" si="133"/>
        <v/>
      </c>
      <c r="CG611" s="233" t="str">
        <f t="shared" si="134"/>
        <v/>
      </c>
      <c r="CH611" s="207" t="str">
        <f>IF(OR(G611="",CC611= ""), "", IF(ISERROR(SMALL((CJ611,CN611,CV611), 1)-CC611), "",  SMALL((CJ611,CN611,CV611), 1)-CC611))</f>
        <v/>
      </c>
      <c r="CI611" s="234"/>
      <c r="CJ611" s="235"/>
      <c r="CK611" s="236"/>
      <c r="CL611" s="222" t="str">
        <f t="shared" si="135"/>
        <v/>
      </c>
      <c r="CM611" s="237" t="str">
        <f>IF(OR(G611="", CJ611="",CK611=""), "", IF(ISERROR(SMALL((CN611,CV611), 1)-CK611), "",  SMALL((CN611,CV611), 1)-CK611))</f>
        <v/>
      </c>
      <c r="CN611" s="235"/>
      <c r="CO611" s="236"/>
      <c r="CP611" s="224" t="str">
        <f t="shared" si="136"/>
        <v/>
      </c>
      <c r="CQ611" s="235"/>
      <c r="CR611" s="236"/>
      <c r="CS611" s="222" t="str">
        <f t="shared" si="137"/>
        <v/>
      </c>
      <c r="CT611" s="237" t="str">
        <f t="shared" si="138"/>
        <v/>
      </c>
      <c r="CU611" s="238"/>
      <c r="CV611" s="239"/>
      <c r="CW611" s="240"/>
    </row>
    <row r="612" spans="2:101" ht="16.5" customHeight="1">
      <c r="B612" s="122"/>
      <c r="E612" s="122"/>
      <c r="F612" s="194"/>
      <c r="G612" s="195"/>
      <c r="H612" s="195"/>
      <c r="I612" s="195"/>
      <c r="J612" s="196"/>
      <c r="K612" s="197"/>
      <c r="L612" s="198"/>
      <c r="M612" s="199"/>
      <c r="N612" s="200"/>
      <c r="O612" s="201"/>
      <c r="P612" s="201"/>
      <c r="Q612" s="201"/>
      <c r="R612" s="201"/>
      <c r="S612" s="201"/>
      <c r="T612" s="201"/>
      <c r="U612" s="201"/>
      <c r="V612" s="201"/>
      <c r="W612" s="201"/>
      <c r="X612" s="202"/>
      <c r="Y612" s="203"/>
      <c r="Z612" s="204"/>
      <c r="AA612" s="205"/>
      <c r="AB612" s="206"/>
      <c r="AC612" s="206"/>
      <c r="AD612" s="194"/>
      <c r="AE612" s="201"/>
      <c r="AF612" s="207"/>
      <c r="AG612" s="208"/>
      <c r="AH612" s="209"/>
      <c r="AI612" s="210"/>
      <c r="AJ612" s="197"/>
      <c r="AK612" s="201"/>
      <c r="AL612" s="196"/>
      <c r="AM612" s="201"/>
      <c r="AN612" s="201"/>
      <c r="AO612" s="201"/>
      <c r="AP612" s="211"/>
      <c r="AQ612" s="212"/>
      <c r="AR612" s="201"/>
      <c r="AS612" s="201"/>
      <c r="AT612" s="201"/>
      <c r="AU612" s="201"/>
      <c r="AV612" s="202"/>
      <c r="AW612" s="194"/>
      <c r="AX612" s="201"/>
      <c r="AY612" s="213"/>
      <c r="AZ612" s="214"/>
      <c r="BA612" s="215"/>
      <c r="BB612" s="216"/>
      <c r="BC612" s="217" t="str">
        <f t="shared" si="117"/>
        <v/>
      </c>
      <c r="BD612" s="218"/>
      <c r="BE612" s="219"/>
      <c r="BF612" s="220"/>
      <c r="BG612" s="219"/>
      <c r="BH612" s="219"/>
      <c r="BI612" s="220"/>
      <c r="BJ612" s="218"/>
      <c r="BK612" s="219"/>
      <c r="BL612" s="197"/>
      <c r="BM612" s="215"/>
      <c r="BN612" s="221"/>
      <c r="BO612" s="222" t="str">
        <f t="shared" si="118"/>
        <v/>
      </c>
      <c r="BP612" s="217" t="str">
        <f t="shared" si="119"/>
        <v/>
      </c>
      <c r="BQ612" s="215"/>
      <c r="BR612" s="224"/>
      <c r="BS612" s="225"/>
      <c r="BT612" s="223"/>
      <c r="BU612" s="215"/>
      <c r="BV612" s="226"/>
      <c r="BW612" s="222" t="str">
        <f t="shared" si="130"/>
        <v/>
      </c>
      <c r="BX612" s="223" t="str">
        <f t="shared" si="121"/>
        <v/>
      </c>
      <c r="BY612" s="215"/>
      <c r="BZ612" s="227"/>
      <c r="CA612" s="227"/>
      <c r="CB612" s="228"/>
      <c r="CC612" s="229"/>
      <c r="CD612" s="230" t="str">
        <f t="shared" si="131"/>
        <v/>
      </c>
      <c r="CE612" s="231" t="str">
        <f t="shared" si="132"/>
        <v/>
      </c>
      <c r="CF612" s="232" t="str">
        <f t="shared" si="133"/>
        <v/>
      </c>
      <c r="CG612" s="233" t="str">
        <f t="shared" si="134"/>
        <v/>
      </c>
      <c r="CH612" s="207" t="str">
        <f>IF(OR(G612="",CC612= ""), "", IF(ISERROR(SMALL((CJ612,CN612,CV612), 1)-CC612), "",  SMALL((CJ612,CN612,CV612), 1)-CC612))</f>
        <v/>
      </c>
      <c r="CI612" s="234"/>
      <c r="CJ612" s="235"/>
      <c r="CK612" s="236"/>
      <c r="CL612" s="222" t="str">
        <f t="shared" si="135"/>
        <v/>
      </c>
      <c r="CM612" s="237" t="str">
        <f>IF(OR(G612="", CJ612="",CK612=""), "", IF(ISERROR(SMALL((CN612,CV612), 1)-CK612), "",  SMALL((CN612,CV612), 1)-CK612))</f>
        <v/>
      </c>
      <c r="CN612" s="235"/>
      <c r="CO612" s="236"/>
      <c r="CP612" s="224" t="str">
        <f t="shared" si="136"/>
        <v/>
      </c>
      <c r="CQ612" s="235"/>
      <c r="CR612" s="236"/>
      <c r="CS612" s="222" t="str">
        <f t="shared" si="137"/>
        <v/>
      </c>
      <c r="CT612" s="237" t="str">
        <f t="shared" si="138"/>
        <v/>
      </c>
      <c r="CU612" s="238"/>
      <c r="CV612" s="239"/>
      <c r="CW612" s="240"/>
    </row>
    <row r="613" spans="2:101" ht="16.5" customHeight="1">
      <c r="B613" s="122"/>
      <c r="E613" s="122"/>
      <c r="F613" s="194"/>
      <c r="G613" s="195"/>
      <c r="H613" s="195"/>
      <c r="I613" s="195"/>
      <c r="J613" s="196"/>
      <c r="K613" s="197"/>
      <c r="L613" s="198"/>
      <c r="M613" s="199"/>
      <c r="N613" s="200"/>
      <c r="O613" s="201"/>
      <c r="P613" s="201"/>
      <c r="Q613" s="201"/>
      <c r="R613" s="201"/>
      <c r="S613" s="201"/>
      <c r="T613" s="201"/>
      <c r="U613" s="201"/>
      <c r="V613" s="201"/>
      <c r="W613" s="201"/>
      <c r="X613" s="202"/>
      <c r="Y613" s="203"/>
      <c r="Z613" s="204"/>
      <c r="AA613" s="205"/>
      <c r="AB613" s="206"/>
      <c r="AC613" s="206"/>
      <c r="AD613" s="194"/>
      <c r="AE613" s="201"/>
      <c r="AF613" s="207"/>
      <c r="AG613" s="208"/>
      <c r="AH613" s="209"/>
      <c r="AI613" s="210"/>
      <c r="AJ613" s="197"/>
      <c r="AK613" s="201"/>
      <c r="AL613" s="196"/>
      <c r="AM613" s="201"/>
      <c r="AN613" s="201"/>
      <c r="AO613" s="201"/>
      <c r="AP613" s="211"/>
      <c r="AQ613" s="212"/>
      <c r="AR613" s="201"/>
      <c r="AS613" s="201"/>
      <c r="AT613" s="201"/>
      <c r="AU613" s="201"/>
      <c r="AV613" s="202"/>
      <c r="AW613" s="194"/>
      <c r="AX613" s="201"/>
      <c r="AY613" s="213"/>
      <c r="AZ613" s="214"/>
      <c r="BA613" s="215"/>
      <c r="BB613" s="216"/>
      <c r="BC613" s="217" t="str">
        <f t="shared" si="117"/>
        <v/>
      </c>
      <c r="BD613" s="218"/>
      <c r="BE613" s="219"/>
      <c r="BF613" s="220"/>
      <c r="BG613" s="219"/>
      <c r="BH613" s="219"/>
      <c r="BI613" s="220"/>
      <c r="BJ613" s="218"/>
      <c r="BK613" s="219"/>
      <c r="BL613" s="197"/>
      <c r="BM613" s="215"/>
      <c r="BN613" s="221"/>
      <c r="BO613" s="222" t="str">
        <f t="shared" si="118"/>
        <v/>
      </c>
      <c r="BP613" s="217" t="str">
        <f t="shared" si="119"/>
        <v/>
      </c>
      <c r="BQ613" s="215"/>
      <c r="BR613" s="224"/>
      <c r="BS613" s="225"/>
      <c r="BT613" s="223"/>
      <c r="BU613" s="215"/>
      <c r="BV613" s="226"/>
      <c r="BW613" s="222" t="str">
        <f t="shared" si="130"/>
        <v/>
      </c>
      <c r="BX613" s="223" t="str">
        <f t="shared" si="121"/>
        <v/>
      </c>
      <c r="BY613" s="215"/>
      <c r="BZ613" s="227"/>
      <c r="CA613" s="227"/>
      <c r="CB613" s="228"/>
      <c r="CC613" s="229"/>
      <c r="CD613" s="230" t="str">
        <f t="shared" si="131"/>
        <v/>
      </c>
      <c r="CE613" s="231" t="str">
        <f t="shared" si="132"/>
        <v/>
      </c>
      <c r="CF613" s="232" t="str">
        <f t="shared" si="133"/>
        <v/>
      </c>
      <c r="CG613" s="233" t="str">
        <f t="shared" si="134"/>
        <v/>
      </c>
      <c r="CH613" s="207" t="str">
        <f>IF(OR(G613="",CC613= ""), "", IF(ISERROR(SMALL((CJ613,CN613,CV613), 1)-CC613), "",  SMALL((CJ613,CN613,CV613), 1)-CC613))</f>
        <v/>
      </c>
      <c r="CI613" s="234"/>
      <c r="CJ613" s="235"/>
      <c r="CK613" s="236"/>
      <c r="CL613" s="222" t="str">
        <f t="shared" si="135"/>
        <v/>
      </c>
      <c r="CM613" s="237" t="str">
        <f>IF(OR(G613="", CJ613="",CK613=""), "", IF(ISERROR(SMALL((CN613,CV613), 1)-CK613), "",  SMALL((CN613,CV613), 1)-CK613))</f>
        <v/>
      </c>
      <c r="CN613" s="235"/>
      <c r="CO613" s="236"/>
      <c r="CP613" s="224" t="str">
        <f t="shared" si="136"/>
        <v/>
      </c>
      <c r="CQ613" s="235"/>
      <c r="CR613" s="236"/>
      <c r="CS613" s="222" t="str">
        <f t="shared" si="137"/>
        <v/>
      </c>
      <c r="CT613" s="237" t="str">
        <f t="shared" si="138"/>
        <v/>
      </c>
      <c r="CU613" s="238"/>
      <c r="CV613" s="239"/>
      <c r="CW613" s="240"/>
    </row>
    <row r="614" spans="2:101" ht="16.5" customHeight="1">
      <c r="B614" s="122"/>
      <c r="E614" s="122"/>
      <c r="F614" s="194"/>
      <c r="G614" s="195"/>
      <c r="H614" s="195"/>
      <c r="I614" s="195"/>
      <c r="J614" s="196"/>
      <c r="K614" s="197"/>
      <c r="L614" s="198"/>
      <c r="M614" s="199"/>
      <c r="N614" s="200"/>
      <c r="O614" s="201"/>
      <c r="P614" s="201"/>
      <c r="Q614" s="201"/>
      <c r="R614" s="201"/>
      <c r="S614" s="201"/>
      <c r="T614" s="201"/>
      <c r="U614" s="201"/>
      <c r="V614" s="201"/>
      <c r="W614" s="201"/>
      <c r="X614" s="202"/>
      <c r="Y614" s="203"/>
      <c r="Z614" s="204"/>
      <c r="AA614" s="205"/>
      <c r="AB614" s="206"/>
      <c r="AC614" s="206"/>
      <c r="AD614" s="194"/>
      <c r="AE614" s="201"/>
      <c r="AF614" s="207"/>
      <c r="AG614" s="208"/>
      <c r="AH614" s="209"/>
      <c r="AI614" s="210"/>
      <c r="AJ614" s="197"/>
      <c r="AK614" s="201"/>
      <c r="AL614" s="196"/>
      <c r="AM614" s="201"/>
      <c r="AN614" s="201"/>
      <c r="AO614" s="201"/>
      <c r="AP614" s="211"/>
      <c r="AQ614" s="212"/>
      <c r="AR614" s="201"/>
      <c r="AS614" s="201"/>
      <c r="AT614" s="201"/>
      <c r="AU614" s="201"/>
      <c r="AV614" s="202"/>
      <c r="AW614" s="194"/>
      <c r="AX614" s="201"/>
      <c r="AY614" s="213"/>
      <c r="AZ614" s="214"/>
      <c r="BA614" s="215"/>
      <c r="BB614" s="216"/>
      <c r="BC614" s="217" t="str">
        <f t="shared" si="117"/>
        <v/>
      </c>
      <c r="BD614" s="218"/>
      <c r="BE614" s="219"/>
      <c r="BF614" s="220"/>
      <c r="BG614" s="219"/>
      <c r="BH614" s="219"/>
      <c r="BI614" s="220"/>
      <c r="BJ614" s="218"/>
      <c r="BK614" s="219"/>
      <c r="BL614" s="197"/>
      <c r="BM614" s="215"/>
      <c r="BN614" s="221"/>
      <c r="BO614" s="222" t="str">
        <f t="shared" si="118"/>
        <v/>
      </c>
      <c r="BP614" s="217" t="str">
        <f t="shared" si="119"/>
        <v/>
      </c>
      <c r="BQ614" s="215"/>
      <c r="BR614" s="224"/>
      <c r="BS614" s="225"/>
      <c r="BT614" s="223"/>
      <c r="BU614" s="215"/>
      <c r="BV614" s="226"/>
      <c r="BW614" s="222" t="str">
        <f t="shared" si="130"/>
        <v/>
      </c>
      <c r="BX614" s="223" t="str">
        <f t="shared" si="121"/>
        <v/>
      </c>
      <c r="BY614" s="215"/>
      <c r="BZ614" s="227"/>
      <c r="CA614" s="227"/>
      <c r="CB614" s="228"/>
      <c r="CC614" s="229"/>
      <c r="CD614" s="230" t="str">
        <f t="shared" si="131"/>
        <v/>
      </c>
      <c r="CE614" s="231" t="str">
        <f t="shared" si="132"/>
        <v/>
      </c>
      <c r="CF614" s="232" t="str">
        <f t="shared" si="133"/>
        <v/>
      </c>
      <c r="CG614" s="233" t="str">
        <f t="shared" si="134"/>
        <v/>
      </c>
      <c r="CH614" s="207" t="str">
        <f>IF(OR(G614="",CC614= ""), "", IF(ISERROR(SMALL((CJ614,CN614,CV614), 1)-CC614), "",  SMALL((CJ614,CN614,CV614), 1)-CC614))</f>
        <v/>
      </c>
      <c r="CI614" s="234"/>
      <c r="CJ614" s="235"/>
      <c r="CK614" s="236"/>
      <c r="CL614" s="222" t="str">
        <f t="shared" si="135"/>
        <v/>
      </c>
      <c r="CM614" s="237" t="str">
        <f>IF(OR(G614="", CJ614="",CK614=""), "", IF(ISERROR(SMALL((CN614,CV614), 1)-CK614), "",  SMALL((CN614,CV614), 1)-CK614))</f>
        <v/>
      </c>
      <c r="CN614" s="235"/>
      <c r="CO614" s="236"/>
      <c r="CP614" s="224" t="str">
        <f t="shared" si="136"/>
        <v/>
      </c>
      <c r="CQ614" s="235"/>
      <c r="CR614" s="236"/>
      <c r="CS614" s="222" t="str">
        <f t="shared" si="137"/>
        <v/>
      </c>
      <c r="CT614" s="237" t="str">
        <f t="shared" si="138"/>
        <v/>
      </c>
      <c r="CU614" s="238"/>
      <c r="CV614" s="239"/>
      <c r="CW614" s="240"/>
    </row>
    <row r="615" spans="2:101" ht="16.5" customHeight="1">
      <c r="B615" s="122"/>
      <c r="E615" s="122"/>
      <c r="F615" s="194"/>
      <c r="G615" s="195"/>
      <c r="H615" s="195"/>
      <c r="I615" s="195"/>
      <c r="J615" s="196"/>
      <c r="K615" s="197"/>
      <c r="L615" s="198"/>
      <c r="M615" s="199"/>
      <c r="N615" s="200"/>
      <c r="O615" s="201"/>
      <c r="P615" s="201"/>
      <c r="Q615" s="201"/>
      <c r="R615" s="201"/>
      <c r="S615" s="201"/>
      <c r="T615" s="201"/>
      <c r="U615" s="201"/>
      <c r="V615" s="201"/>
      <c r="W615" s="201"/>
      <c r="X615" s="202"/>
      <c r="Y615" s="203"/>
      <c r="Z615" s="204"/>
      <c r="AA615" s="205"/>
      <c r="AB615" s="206"/>
      <c r="AC615" s="206"/>
      <c r="AD615" s="194"/>
      <c r="AE615" s="201"/>
      <c r="AF615" s="207"/>
      <c r="AG615" s="208"/>
      <c r="AH615" s="209"/>
      <c r="AI615" s="210"/>
      <c r="AJ615" s="197"/>
      <c r="AK615" s="201"/>
      <c r="AL615" s="196"/>
      <c r="AM615" s="201"/>
      <c r="AN615" s="201"/>
      <c r="AO615" s="201"/>
      <c r="AP615" s="211"/>
      <c r="AQ615" s="212"/>
      <c r="AR615" s="201"/>
      <c r="AS615" s="201"/>
      <c r="AT615" s="201"/>
      <c r="AU615" s="201"/>
      <c r="AV615" s="202"/>
      <c r="AW615" s="194"/>
      <c r="AX615" s="201"/>
      <c r="AY615" s="213"/>
      <c r="AZ615" s="214"/>
      <c r="BA615" s="215"/>
      <c r="BB615" s="216"/>
      <c r="BC615" s="217" t="str">
        <f t="shared" si="117"/>
        <v/>
      </c>
      <c r="BD615" s="218"/>
      <c r="BE615" s="219"/>
      <c r="BF615" s="220"/>
      <c r="BG615" s="219"/>
      <c r="BH615" s="219"/>
      <c r="BI615" s="220"/>
      <c r="BJ615" s="218"/>
      <c r="BK615" s="219"/>
      <c r="BL615" s="197"/>
      <c r="BM615" s="215"/>
      <c r="BN615" s="221"/>
      <c r="BO615" s="222" t="str">
        <f t="shared" si="118"/>
        <v/>
      </c>
      <c r="BP615" s="217" t="str">
        <f t="shared" si="119"/>
        <v/>
      </c>
      <c r="BQ615" s="215"/>
      <c r="BR615" s="224"/>
      <c r="BS615" s="225"/>
      <c r="BT615" s="223"/>
      <c r="BU615" s="215"/>
      <c r="BV615" s="226"/>
      <c r="BW615" s="222" t="str">
        <f t="shared" si="130"/>
        <v/>
      </c>
      <c r="BX615" s="223" t="str">
        <f t="shared" si="121"/>
        <v/>
      </c>
      <c r="BY615" s="215"/>
      <c r="BZ615" s="227"/>
      <c r="CA615" s="227"/>
      <c r="CB615" s="228"/>
      <c r="CC615" s="229"/>
      <c r="CD615" s="230" t="str">
        <f t="shared" si="131"/>
        <v/>
      </c>
      <c r="CE615" s="231" t="str">
        <f t="shared" si="132"/>
        <v/>
      </c>
      <c r="CF615" s="232" t="str">
        <f t="shared" si="133"/>
        <v/>
      </c>
      <c r="CG615" s="233" t="str">
        <f t="shared" si="134"/>
        <v/>
      </c>
      <c r="CH615" s="207" t="str">
        <f>IF(OR(G615="",CC615= ""), "", IF(ISERROR(SMALL((CJ615,CN615,CV615), 1)-CC615), "",  SMALL((CJ615,CN615,CV615), 1)-CC615))</f>
        <v/>
      </c>
      <c r="CI615" s="234"/>
      <c r="CJ615" s="235"/>
      <c r="CK615" s="236"/>
      <c r="CL615" s="222" t="str">
        <f t="shared" si="135"/>
        <v/>
      </c>
      <c r="CM615" s="237" t="str">
        <f>IF(OR(G615="", CJ615="",CK615=""), "", IF(ISERROR(SMALL((CN615,CV615), 1)-CK615), "",  SMALL((CN615,CV615), 1)-CK615))</f>
        <v/>
      </c>
      <c r="CN615" s="235"/>
      <c r="CO615" s="236"/>
      <c r="CP615" s="224" t="str">
        <f t="shared" si="136"/>
        <v/>
      </c>
      <c r="CQ615" s="235"/>
      <c r="CR615" s="236"/>
      <c r="CS615" s="222" t="str">
        <f t="shared" si="137"/>
        <v/>
      </c>
      <c r="CT615" s="237" t="str">
        <f t="shared" si="138"/>
        <v/>
      </c>
      <c r="CU615" s="238"/>
      <c r="CV615" s="239"/>
      <c r="CW615" s="240"/>
    </row>
    <row r="616" spans="2:101" ht="16.5" customHeight="1">
      <c r="B616" s="122"/>
      <c r="E616" s="122"/>
      <c r="F616" s="194"/>
      <c r="G616" s="195"/>
      <c r="H616" s="195"/>
      <c r="I616" s="195"/>
      <c r="J616" s="196"/>
      <c r="K616" s="197"/>
      <c r="L616" s="198"/>
      <c r="M616" s="199"/>
      <c r="N616" s="200"/>
      <c r="O616" s="201"/>
      <c r="P616" s="201"/>
      <c r="Q616" s="201"/>
      <c r="R616" s="201"/>
      <c r="S616" s="201"/>
      <c r="T616" s="201"/>
      <c r="U616" s="201"/>
      <c r="V616" s="201"/>
      <c r="W616" s="201"/>
      <c r="X616" s="202"/>
      <c r="Y616" s="203"/>
      <c r="Z616" s="204"/>
      <c r="AA616" s="205"/>
      <c r="AB616" s="206"/>
      <c r="AC616" s="206"/>
      <c r="AD616" s="194"/>
      <c r="AE616" s="201"/>
      <c r="AF616" s="207"/>
      <c r="AG616" s="208"/>
      <c r="AH616" s="209"/>
      <c r="AI616" s="210"/>
      <c r="AJ616" s="197"/>
      <c r="AK616" s="201"/>
      <c r="AL616" s="196"/>
      <c r="AM616" s="201"/>
      <c r="AN616" s="201"/>
      <c r="AO616" s="201"/>
      <c r="AP616" s="211"/>
      <c r="AQ616" s="212"/>
      <c r="AR616" s="201"/>
      <c r="AS616" s="201"/>
      <c r="AT616" s="201"/>
      <c r="AU616" s="201"/>
      <c r="AV616" s="202"/>
      <c r="AW616" s="194"/>
      <c r="AX616" s="201"/>
      <c r="AY616" s="213"/>
      <c r="AZ616" s="214"/>
      <c r="BA616" s="215"/>
      <c r="BB616" s="216"/>
      <c r="BC616" s="217" t="str">
        <f t="shared" si="117"/>
        <v/>
      </c>
      <c r="BD616" s="218"/>
      <c r="BE616" s="219"/>
      <c r="BF616" s="220"/>
      <c r="BG616" s="219"/>
      <c r="BH616" s="219"/>
      <c r="BI616" s="220"/>
      <c r="BJ616" s="218"/>
      <c r="BK616" s="219"/>
      <c r="BL616" s="197"/>
      <c r="BM616" s="215"/>
      <c r="BN616" s="221"/>
      <c r="BO616" s="222" t="str">
        <f t="shared" si="118"/>
        <v/>
      </c>
      <c r="BP616" s="217" t="str">
        <f t="shared" si="119"/>
        <v/>
      </c>
      <c r="BQ616" s="215"/>
      <c r="BR616" s="224"/>
      <c r="BS616" s="225"/>
      <c r="BT616" s="223"/>
      <c r="BU616" s="215"/>
      <c r="BV616" s="226"/>
      <c r="BW616" s="222" t="str">
        <f t="shared" si="130"/>
        <v/>
      </c>
      <c r="BX616" s="223" t="str">
        <f t="shared" si="121"/>
        <v/>
      </c>
      <c r="BY616" s="215"/>
      <c r="BZ616" s="227"/>
      <c r="CA616" s="227"/>
      <c r="CB616" s="228"/>
      <c r="CC616" s="229"/>
      <c r="CD616" s="230" t="str">
        <f t="shared" si="131"/>
        <v/>
      </c>
      <c r="CE616" s="231" t="str">
        <f t="shared" si="132"/>
        <v/>
      </c>
      <c r="CF616" s="232" t="str">
        <f t="shared" si="133"/>
        <v/>
      </c>
      <c r="CG616" s="233" t="str">
        <f t="shared" si="134"/>
        <v/>
      </c>
      <c r="CH616" s="207" t="str">
        <f>IF(OR(G616="",CC616= ""), "", IF(ISERROR(SMALL((CJ616,CN616,CV616), 1)-CC616), "",  SMALL((CJ616,CN616,CV616), 1)-CC616))</f>
        <v/>
      </c>
      <c r="CI616" s="234"/>
      <c r="CJ616" s="235"/>
      <c r="CK616" s="236"/>
      <c r="CL616" s="222" t="str">
        <f t="shared" si="135"/>
        <v/>
      </c>
      <c r="CM616" s="237" t="str">
        <f>IF(OR(G616="", CJ616="",CK616=""), "", IF(ISERROR(SMALL((CN616,CV616), 1)-CK616), "",  SMALL((CN616,CV616), 1)-CK616))</f>
        <v/>
      </c>
      <c r="CN616" s="235"/>
      <c r="CO616" s="236"/>
      <c r="CP616" s="224" t="str">
        <f t="shared" si="136"/>
        <v/>
      </c>
      <c r="CQ616" s="235"/>
      <c r="CR616" s="236"/>
      <c r="CS616" s="222" t="str">
        <f t="shared" si="137"/>
        <v/>
      </c>
      <c r="CT616" s="237" t="str">
        <f t="shared" si="138"/>
        <v/>
      </c>
      <c r="CU616" s="238"/>
      <c r="CV616" s="239"/>
      <c r="CW616" s="240"/>
    </row>
    <row r="617" spans="2:101" ht="16.5" customHeight="1">
      <c r="B617" s="122"/>
      <c r="E617" s="122"/>
      <c r="F617" s="194"/>
      <c r="G617" s="195"/>
      <c r="H617" s="195"/>
      <c r="I617" s="195"/>
      <c r="J617" s="196"/>
      <c r="K617" s="197"/>
      <c r="L617" s="198"/>
      <c r="M617" s="199"/>
      <c r="N617" s="200"/>
      <c r="O617" s="201"/>
      <c r="P617" s="201"/>
      <c r="Q617" s="201"/>
      <c r="R617" s="201"/>
      <c r="S617" s="201"/>
      <c r="T617" s="201"/>
      <c r="U617" s="201"/>
      <c r="V617" s="201"/>
      <c r="W617" s="201"/>
      <c r="X617" s="202"/>
      <c r="Y617" s="203"/>
      <c r="Z617" s="204"/>
      <c r="AA617" s="205"/>
      <c r="AB617" s="206"/>
      <c r="AC617" s="206"/>
      <c r="AD617" s="194"/>
      <c r="AE617" s="201"/>
      <c r="AF617" s="207"/>
      <c r="AG617" s="208"/>
      <c r="AH617" s="209"/>
      <c r="AI617" s="210"/>
      <c r="AJ617" s="197"/>
      <c r="AK617" s="201"/>
      <c r="AL617" s="196"/>
      <c r="AM617" s="201"/>
      <c r="AN617" s="201"/>
      <c r="AO617" s="201"/>
      <c r="AP617" s="211"/>
      <c r="AQ617" s="212"/>
      <c r="AR617" s="201"/>
      <c r="AS617" s="201"/>
      <c r="AT617" s="201"/>
      <c r="AU617" s="201"/>
      <c r="AV617" s="202"/>
      <c r="AW617" s="194"/>
      <c r="AX617" s="201"/>
      <c r="AY617" s="213"/>
      <c r="AZ617" s="214"/>
      <c r="BA617" s="215"/>
      <c r="BB617" s="216"/>
      <c r="BC617" s="217" t="str">
        <f t="shared" si="117"/>
        <v/>
      </c>
      <c r="BD617" s="218"/>
      <c r="BE617" s="219"/>
      <c r="BF617" s="220"/>
      <c r="BG617" s="219"/>
      <c r="BH617" s="219"/>
      <c r="BI617" s="220"/>
      <c r="BJ617" s="218"/>
      <c r="BK617" s="219"/>
      <c r="BL617" s="197"/>
      <c r="BM617" s="215"/>
      <c r="BN617" s="221"/>
      <c r="BO617" s="222" t="str">
        <f t="shared" si="118"/>
        <v/>
      </c>
      <c r="BP617" s="217" t="str">
        <f t="shared" si="119"/>
        <v/>
      </c>
      <c r="BQ617" s="215"/>
      <c r="BR617" s="224"/>
      <c r="BS617" s="225"/>
      <c r="BT617" s="223"/>
      <c r="BU617" s="215"/>
      <c r="BV617" s="226"/>
      <c r="BW617" s="222" t="str">
        <f t="shared" si="130"/>
        <v/>
      </c>
      <c r="BX617" s="223" t="str">
        <f t="shared" si="121"/>
        <v/>
      </c>
      <c r="BY617" s="215"/>
      <c r="BZ617" s="227"/>
      <c r="CA617" s="227"/>
      <c r="CB617" s="228"/>
      <c r="CC617" s="229"/>
      <c r="CD617" s="230" t="str">
        <f t="shared" si="131"/>
        <v/>
      </c>
      <c r="CE617" s="231" t="str">
        <f t="shared" si="132"/>
        <v/>
      </c>
      <c r="CF617" s="232" t="str">
        <f t="shared" si="133"/>
        <v/>
      </c>
      <c r="CG617" s="233" t="str">
        <f t="shared" si="134"/>
        <v/>
      </c>
      <c r="CH617" s="207" t="str">
        <f>IF(OR(G617="",CC617= ""), "", IF(ISERROR(SMALL((CJ617,CN617,CV617), 1)-CC617), "",  SMALL((CJ617,CN617,CV617), 1)-CC617))</f>
        <v/>
      </c>
      <c r="CI617" s="234"/>
      <c r="CJ617" s="235"/>
      <c r="CK617" s="236"/>
      <c r="CL617" s="222" t="str">
        <f t="shared" si="135"/>
        <v/>
      </c>
      <c r="CM617" s="237" t="str">
        <f>IF(OR(G617="", CJ617="",CK617=""), "", IF(ISERROR(SMALL((CN617,CV617), 1)-CK617), "",  SMALL((CN617,CV617), 1)-CK617))</f>
        <v/>
      </c>
      <c r="CN617" s="235"/>
      <c r="CO617" s="236"/>
      <c r="CP617" s="224" t="str">
        <f t="shared" si="136"/>
        <v/>
      </c>
      <c r="CQ617" s="235"/>
      <c r="CR617" s="236"/>
      <c r="CS617" s="222" t="str">
        <f t="shared" si="137"/>
        <v/>
      </c>
      <c r="CT617" s="237" t="str">
        <f t="shared" si="138"/>
        <v/>
      </c>
      <c r="CU617" s="238"/>
      <c r="CV617" s="239"/>
      <c r="CW617" s="240"/>
    </row>
    <row r="618" spans="2:101" ht="16.5" customHeight="1">
      <c r="B618" s="122"/>
      <c r="E618" s="122"/>
      <c r="F618" s="194"/>
      <c r="G618" s="195"/>
      <c r="H618" s="195"/>
      <c r="I618" s="195"/>
      <c r="J618" s="196"/>
      <c r="K618" s="197"/>
      <c r="L618" s="198"/>
      <c r="M618" s="199"/>
      <c r="N618" s="200"/>
      <c r="O618" s="201"/>
      <c r="P618" s="201"/>
      <c r="Q618" s="201"/>
      <c r="R618" s="201"/>
      <c r="S618" s="201"/>
      <c r="T618" s="201"/>
      <c r="U618" s="201"/>
      <c r="V618" s="201"/>
      <c r="W618" s="201"/>
      <c r="X618" s="202"/>
      <c r="Y618" s="203"/>
      <c r="Z618" s="204"/>
      <c r="AA618" s="205"/>
      <c r="AB618" s="206"/>
      <c r="AC618" s="206"/>
      <c r="AD618" s="194"/>
      <c r="AE618" s="201"/>
      <c r="AF618" s="207"/>
      <c r="AG618" s="208"/>
      <c r="AH618" s="209"/>
      <c r="AI618" s="210"/>
      <c r="AJ618" s="197"/>
      <c r="AK618" s="201"/>
      <c r="AL618" s="196"/>
      <c r="AM618" s="201"/>
      <c r="AN618" s="201"/>
      <c r="AO618" s="201"/>
      <c r="AP618" s="211"/>
      <c r="AQ618" s="212"/>
      <c r="AR618" s="201"/>
      <c r="AS618" s="201"/>
      <c r="AT618" s="201"/>
      <c r="AU618" s="201"/>
      <c r="AV618" s="202"/>
      <c r="AW618" s="194"/>
      <c r="AX618" s="201"/>
      <c r="AY618" s="213"/>
      <c r="AZ618" s="214"/>
      <c r="BA618" s="215"/>
      <c r="BB618" s="216"/>
      <c r="BC618" s="217" t="str">
        <f t="shared" si="117"/>
        <v/>
      </c>
      <c r="BD618" s="218"/>
      <c r="BE618" s="219"/>
      <c r="BF618" s="220"/>
      <c r="BG618" s="219"/>
      <c r="BH618" s="219"/>
      <c r="BI618" s="220"/>
      <c r="BJ618" s="218"/>
      <c r="BK618" s="219"/>
      <c r="BL618" s="197"/>
      <c r="BM618" s="215"/>
      <c r="BN618" s="221"/>
      <c r="BO618" s="222" t="str">
        <f t="shared" si="118"/>
        <v/>
      </c>
      <c r="BP618" s="217" t="str">
        <f t="shared" si="119"/>
        <v/>
      </c>
      <c r="BQ618" s="215"/>
      <c r="BR618" s="224"/>
      <c r="BS618" s="225"/>
      <c r="BT618" s="223"/>
      <c r="BU618" s="215"/>
      <c r="BV618" s="226"/>
      <c r="BW618" s="222" t="str">
        <f t="shared" si="130"/>
        <v/>
      </c>
      <c r="BX618" s="223" t="str">
        <f t="shared" si="121"/>
        <v/>
      </c>
      <c r="BY618" s="215"/>
      <c r="BZ618" s="227"/>
      <c r="CA618" s="227"/>
      <c r="CB618" s="228"/>
      <c r="CC618" s="229"/>
      <c r="CD618" s="230" t="str">
        <f t="shared" si="131"/>
        <v/>
      </c>
      <c r="CE618" s="231" t="str">
        <f t="shared" si="132"/>
        <v/>
      </c>
      <c r="CF618" s="232" t="str">
        <f t="shared" si="133"/>
        <v/>
      </c>
      <c r="CG618" s="233" t="str">
        <f t="shared" si="134"/>
        <v/>
      </c>
      <c r="CH618" s="207" t="str">
        <f>IF(OR(G618="",CC618= ""), "", IF(ISERROR(SMALL((CJ618,CN618,CV618), 1)-CC618), "",  SMALL((CJ618,CN618,CV618), 1)-CC618))</f>
        <v/>
      </c>
      <c r="CI618" s="234"/>
      <c r="CJ618" s="235"/>
      <c r="CK618" s="236"/>
      <c r="CL618" s="222" t="str">
        <f t="shared" si="135"/>
        <v/>
      </c>
      <c r="CM618" s="237" t="str">
        <f>IF(OR(G618="", CJ618="",CK618=""), "", IF(ISERROR(SMALL((CN618,CV618), 1)-CK618), "",  SMALL((CN618,CV618), 1)-CK618))</f>
        <v/>
      </c>
      <c r="CN618" s="235"/>
      <c r="CO618" s="236"/>
      <c r="CP618" s="224" t="str">
        <f t="shared" si="136"/>
        <v/>
      </c>
      <c r="CQ618" s="235"/>
      <c r="CR618" s="236"/>
      <c r="CS618" s="222" t="str">
        <f t="shared" si="137"/>
        <v/>
      </c>
      <c r="CT618" s="237" t="str">
        <f t="shared" si="138"/>
        <v/>
      </c>
      <c r="CU618" s="238"/>
      <c r="CV618" s="239"/>
      <c r="CW618" s="240"/>
    </row>
    <row r="619" spans="2:101" ht="16.5" customHeight="1">
      <c r="B619" s="122"/>
      <c r="E619" s="122"/>
      <c r="F619" s="194"/>
      <c r="G619" s="195"/>
      <c r="H619" s="195"/>
      <c r="I619" s="195"/>
      <c r="J619" s="196"/>
      <c r="K619" s="197"/>
      <c r="L619" s="198"/>
      <c r="M619" s="199"/>
      <c r="N619" s="200"/>
      <c r="O619" s="201"/>
      <c r="P619" s="201"/>
      <c r="Q619" s="201"/>
      <c r="R619" s="201"/>
      <c r="S619" s="201"/>
      <c r="T619" s="201"/>
      <c r="U619" s="201"/>
      <c r="V619" s="201"/>
      <c r="W619" s="201"/>
      <c r="X619" s="202"/>
      <c r="Y619" s="203"/>
      <c r="Z619" s="204"/>
      <c r="AA619" s="205"/>
      <c r="AB619" s="206"/>
      <c r="AC619" s="206"/>
      <c r="AD619" s="194"/>
      <c r="AE619" s="201"/>
      <c r="AF619" s="207"/>
      <c r="AG619" s="208"/>
      <c r="AH619" s="209"/>
      <c r="AI619" s="210"/>
      <c r="AJ619" s="197"/>
      <c r="AK619" s="201"/>
      <c r="AL619" s="196"/>
      <c r="AM619" s="201"/>
      <c r="AN619" s="201"/>
      <c r="AO619" s="201"/>
      <c r="AP619" s="211"/>
      <c r="AQ619" s="212"/>
      <c r="AR619" s="201"/>
      <c r="AS619" s="201"/>
      <c r="AT619" s="201"/>
      <c r="AU619" s="201"/>
      <c r="AV619" s="202"/>
      <c r="AW619" s="194"/>
      <c r="AX619" s="201"/>
      <c r="AY619" s="213"/>
      <c r="AZ619" s="214"/>
      <c r="BA619" s="215"/>
      <c r="BB619" s="216"/>
      <c r="BC619" s="217" t="str">
        <f t="shared" si="117"/>
        <v/>
      </c>
      <c r="BD619" s="218"/>
      <c r="BE619" s="219"/>
      <c r="BF619" s="220"/>
      <c r="BG619" s="219"/>
      <c r="BH619" s="219"/>
      <c r="BI619" s="220"/>
      <c r="BJ619" s="218"/>
      <c r="BK619" s="219"/>
      <c r="BL619" s="197"/>
      <c r="BM619" s="215"/>
      <c r="BN619" s="221"/>
      <c r="BO619" s="222" t="str">
        <f t="shared" si="118"/>
        <v/>
      </c>
      <c r="BP619" s="217" t="str">
        <f t="shared" si="119"/>
        <v/>
      </c>
      <c r="BQ619" s="215"/>
      <c r="BR619" s="224"/>
      <c r="BS619" s="225"/>
      <c r="BT619" s="223"/>
      <c r="BU619" s="215"/>
      <c r="BV619" s="226"/>
      <c r="BW619" s="222" t="str">
        <f t="shared" si="130"/>
        <v/>
      </c>
      <c r="BX619" s="223" t="str">
        <f t="shared" si="121"/>
        <v/>
      </c>
      <c r="BY619" s="215"/>
      <c r="BZ619" s="227"/>
      <c r="CA619" s="227"/>
      <c r="CB619" s="228"/>
      <c r="CC619" s="229"/>
      <c r="CD619" s="230" t="str">
        <f t="shared" si="131"/>
        <v/>
      </c>
      <c r="CE619" s="231" t="str">
        <f t="shared" si="132"/>
        <v/>
      </c>
      <c r="CF619" s="232" t="str">
        <f t="shared" si="133"/>
        <v/>
      </c>
      <c r="CG619" s="233" t="str">
        <f t="shared" si="134"/>
        <v/>
      </c>
      <c r="CH619" s="207" t="str">
        <f>IF(OR(G619="",CC619= ""), "", IF(ISERROR(SMALL((CJ619,CN619,CV619), 1)-CC619), "",  SMALL((CJ619,CN619,CV619), 1)-CC619))</f>
        <v/>
      </c>
      <c r="CI619" s="234"/>
      <c r="CJ619" s="235"/>
      <c r="CK619" s="236"/>
      <c r="CL619" s="222" t="str">
        <f t="shared" si="135"/>
        <v/>
      </c>
      <c r="CM619" s="237" t="str">
        <f>IF(OR(G619="", CJ619="",CK619=""), "", IF(ISERROR(SMALL((CN619,CV619), 1)-CK619), "",  SMALL((CN619,CV619), 1)-CK619))</f>
        <v/>
      </c>
      <c r="CN619" s="235"/>
      <c r="CO619" s="236"/>
      <c r="CP619" s="224" t="str">
        <f t="shared" si="136"/>
        <v/>
      </c>
      <c r="CQ619" s="235"/>
      <c r="CR619" s="236"/>
      <c r="CS619" s="222" t="str">
        <f t="shared" si="137"/>
        <v/>
      </c>
      <c r="CT619" s="237" t="str">
        <f t="shared" si="138"/>
        <v/>
      </c>
      <c r="CU619" s="238"/>
      <c r="CV619" s="239"/>
      <c r="CW619" s="240"/>
    </row>
    <row r="620" spans="2:101" ht="16.5" customHeight="1">
      <c r="B620" s="122"/>
      <c r="E620" s="122"/>
      <c r="F620" s="194"/>
      <c r="G620" s="195"/>
      <c r="H620" s="195"/>
      <c r="I620" s="195"/>
      <c r="J620" s="196"/>
      <c r="K620" s="197"/>
      <c r="L620" s="198"/>
      <c r="M620" s="199"/>
      <c r="N620" s="200"/>
      <c r="O620" s="201"/>
      <c r="P620" s="201"/>
      <c r="Q620" s="201"/>
      <c r="R620" s="201"/>
      <c r="S620" s="201"/>
      <c r="T620" s="201"/>
      <c r="U620" s="201"/>
      <c r="V620" s="201"/>
      <c r="W620" s="201"/>
      <c r="X620" s="202"/>
      <c r="Y620" s="203"/>
      <c r="Z620" s="204"/>
      <c r="AA620" s="205"/>
      <c r="AB620" s="206"/>
      <c r="AC620" s="206"/>
      <c r="AD620" s="194"/>
      <c r="AE620" s="201"/>
      <c r="AF620" s="207"/>
      <c r="AG620" s="208"/>
      <c r="AH620" s="209"/>
      <c r="AI620" s="210"/>
      <c r="AJ620" s="197"/>
      <c r="AK620" s="201"/>
      <c r="AL620" s="196"/>
      <c r="AM620" s="201"/>
      <c r="AN620" s="201"/>
      <c r="AO620" s="201"/>
      <c r="AP620" s="211"/>
      <c r="AQ620" s="212"/>
      <c r="AR620" s="201"/>
      <c r="AS620" s="201"/>
      <c r="AT620" s="201"/>
      <c r="AU620" s="201"/>
      <c r="AV620" s="202"/>
      <c r="AW620" s="194"/>
      <c r="AX620" s="201"/>
      <c r="AY620" s="213"/>
      <c r="AZ620" s="214"/>
      <c r="BA620" s="215"/>
      <c r="BB620" s="216"/>
      <c r="BC620" s="217" t="str">
        <f t="shared" si="117"/>
        <v/>
      </c>
      <c r="BD620" s="218"/>
      <c r="BE620" s="219"/>
      <c r="BF620" s="220"/>
      <c r="BG620" s="219"/>
      <c r="BH620" s="219"/>
      <c r="BI620" s="220"/>
      <c r="BJ620" s="218"/>
      <c r="BK620" s="219"/>
      <c r="BL620" s="197"/>
      <c r="BM620" s="215"/>
      <c r="BN620" s="221"/>
      <c r="BO620" s="222" t="str">
        <f t="shared" si="118"/>
        <v/>
      </c>
      <c r="BP620" s="217" t="str">
        <f t="shared" si="119"/>
        <v/>
      </c>
      <c r="BQ620" s="215"/>
      <c r="BR620" s="224"/>
      <c r="BS620" s="225"/>
      <c r="BT620" s="223"/>
      <c r="BU620" s="215"/>
      <c r="BV620" s="226"/>
      <c r="BW620" s="222" t="str">
        <f t="shared" si="130"/>
        <v/>
      </c>
      <c r="BX620" s="223" t="str">
        <f t="shared" si="121"/>
        <v/>
      </c>
      <c r="BY620" s="215"/>
      <c r="BZ620" s="227"/>
      <c r="CA620" s="227"/>
      <c r="CB620" s="228"/>
      <c r="CC620" s="229"/>
      <c r="CD620" s="230" t="str">
        <f t="shared" si="131"/>
        <v/>
      </c>
      <c r="CE620" s="231" t="str">
        <f t="shared" si="132"/>
        <v/>
      </c>
      <c r="CF620" s="232" t="str">
        <f t="shared" si="133"/>
        <v/>
      </c>
      <c r="CG620" s="233" t="str">
        <f t="shared" si="134"/>
        <v/>
      </c>
      <c r="CH620" s="207" t="str">
        <f>IF(OR(G620="",CC620= ""), "", IF(ISERROR(SMALL((CJ620,CN620,CV620), 1)-CC620), "",  SMALL((CJ620,CN620,CV620), 1)-CC620))</f>
        <v/>
      </c>
      <c r="CI620" s="234"/>
      <c r="CJ620" s="235"/>
      <c r="CK620" s="236"/>
      <c r="CL620" s="222" t="str">
        <f t="shared" si="135"/>
        <v/>
      </c>
      <c r="CM620" s="237" t="str">
        <f>IF(OR(G620="", CJ620="",CK620=""), "", IF(ISERROR(SMALL((CN620,CV620), 1)-CK620), "",  SMALL((CN620,CV620), 1)-CK620))</f>
        <v/>
      </c>
      <c r="CN620" s="235"/>
      <c r="CO620" s="236"/>
      <c r="CP620" s="224" t="str">
        <f t="shared" si="136"/>
        <v/>
      </c>
      <c r="CQ620" s="235"/>
      <c r="CR620" s="236"/>
      <c r="CS620" s="222" t="str">
        <f t="shared" si="137"/>
        <v/>
      </c>
      <c r="CT620" s="237" t="str">
        <f t="shared" si="138"/>
        <v/>
      </c>
      <c r="CU620" s="238"/>
      <c r="CV620" s="239"/>
      <c r="CW620" s="240"/>
    </row>
    <row r="621" spans="2:101" ht="16.5" customHeight="1">
      <c r="B621" s="122"/>
      <c r="E621" s="122"/>
      <c r="F621" s="194"/>
      <c r="G621" s="195"/>
      <c r="H621" s="195"/>
      <c r="I621" s="195"/>
      <c r="J621" s="196"/>
      <c r="K621" s="197"/>
      <c r="L621" s="198"/>
      <c r="M621" s="199"/>
      <c r="N621" s="200"/>
      <c r="O621" s="201"/>
      <c r="P621" s="201"/>
      <c r="Q621" s="201"/>
      <c r="R621" s="201"/>
      <c r="S621" s="201"/>
      <c r="T621" s="201"/>
      <c r="U621" s="201"/>
      <c r="V621" s="201"/>
      <c r="W621" s="201"/>
      <c r="X621" s="202"/>
      <c r="Y621" s="203"/>
      <c r="Z621" s="204"/>
      <c r="AA621" s="205"/>
      <c r="AB621" s="206"/>
      <c r="AC621" s="206"/>
      <c r="AD621" s="194"/>
      <c r="AE621" s="201"/>
      <c r="AF621" s="207"/>
      <c r="AG621" s="208"/>
      <c r="AH621" s="209"/>
      <c r="AI621" s="210"/>
      <c r="AJ621" s="197"/>
      <c r="AK621" s="201"/>
      <c r="AL621" s="196"/>
      <c r="AM621" s="201"/>
      <c r="AN621" s="201"/>
      <c r="AO621" s="201"/>
      <c r="AP621" s="211"/>
      <c r="AQ621" s="212"/>
      <c r="AR621" s="201"/>
      <c r="AS621" s="201"/>
      <c r="AT621" s="201"/>
      <c r="AU621" s="201"/>
      <c r="AV621" s="202"/>
      <c r="AW621" s="194"/>
      <c r="AX621" s="201"/>
      <c r="AY621" s="213"/>
      <c r="AZ621" s="214"/>
      <c r="BA621" s="215"/>
      <c r="BB621" s="216"/>
      <c r="BC621" s="217" t="str">
        <f t="shared" si="117"/>
        <v/>
      </c>
      <c r="BD621" s="218"/>
      <c r="BE621" s="219"/>
      <c r="BF621" s="220"/>
      <c r="BG621" s="219"/>
      <c r="BH621" s="219"/>
      <c r="BI621" s="220"/>
      <c r="BJ621" s="218"/>
      <c r="BK621" s="219"/>
      <c r="BL621" s="197"/>
      <c r="BM621" s="215"/>
      <c r="BN621" s="221"/>
      <c r="BO621" s="222" t="str">
        <f t="shared" si="118"/>
        <v/>
      </c>
      <c r="BP621" s="217" t="str">
        <f t="shared" si="119"/>
        <v/>
      </c>
      <c r="BQ621" s="215"/>
      <c r="BR621" s="224"/>
      <c r="BS621" s="225"/>
      <c r="BT621" s="223"/>
      <c r="BU621" s="215"/>
      <c r="BV621" s="226"/>
      <c r="BW621" s="222" t="str">
        <f t="shared" si="130"/>
        <v/>
      </c>
      <c r="BX621" s="223" t="str">
        <f t="shared" si="121"/>
        <v/>
      </c>
      <c r="BY621" s="215"/>
      <c r="BZ621" s="227"/>
      <c r="CA621" s="227"/>
      <c r="CB621" s="228"/>
      <c r="CC621" s="229"/>
      <c r="CD621" s="230" t="str">
        <f t="shared" si="131"/>
        <v/>
      </c>
      <c r="CE621" s="231" t="str">
        <f t="shared" si="132"/>
        <v/>
      </c>
      <c r="CF621" s="232" t="str">
        <f t="shared" si="133"/>
        <v/>
      </c>
      <c r="CG621" s="233" t="str">
        <f t="shared" si="134"/>
        <v/>
      </c>
      <c r="CH621" s="207" t="str">
        <f>IF(OR(G621="",CC621= ""), "", IF(ISERROR(SMALL((CJ621,CN621,CV621), 1)-CC621), "",  SMALL((CJ621,CN621,CV621), 1)-CC621))</f>
        <v/>
      </c>
      <c r="CI621" s="234"/>
      <c r="CJ621" s="235"/>
      <c r="CK621" s="236"/>
      <c r="CL621" s="222" t="str">
        <f t="shared" si="135"/>
        <v/>
      </c>
      <c r="CM621" s="237" t="str">
        <f>IF(OR(G621="", CJ621="",CK621=""), "", IF(ISERROR(SMALL((CN621,CV621), 1)-CK621), "",  SMALL((CN621,CV621), 1)-CK621))</f>
        <v/>
      </c>
      <c r="CN621" s="235"/>
      <c r="CO621" s="236"/>
      <c r="CP621" s="224" t="str">
        <f t="shared" si="136"/>
        <v/>
      </c>
      <c r="CQ621" s="235"/>
      <c r="CR621" s="236"/>
      <c r="CS621" s="222" t="str">
        <f t="shared" si="137"/>
        <v/>
      </c>
      <c r="CT621" s="237" t="str">
        <f t="shared" si="138"/>
        <v/>
      </c>
      <c r="CU621" s="238"/>
      <c r="CV621" s="239"/>
      <c r="CW621" s="240"/>
    </row>
    <row r="622" spans="2:101" ht="16.5" customHeight="1">
      <c r="B622" s="122"/>
      <c r="E622" s="122"/>
      <c r="F622" s="194"/>
      <c r="G622" s="195"/>
      <c r="H622" s="195"/>
      <c r="I622" s="195"/>
      <c r="J622" s="196"/>
      <c r="K622" s="197"/>
      <c r="L622" s="198"/>
      <c r="M622" s="199"/>
      <c r="N622" s="200"/>
      <c r="O622" s="201"/>
      <c r="P622" s="201"/>
      <c r="Q622" s="201"/>
      <c r="R622" s="201"/>
      <c r="S622" s="201"/>
      <c r="T622" s="201"/>
      <c r="U622" s="201"/>
      <c r="V622" s="201"/>
      <c r="W622" s="201"/>
      <c r="X622" s="202"/>
      <c r="Y622" s="203"/>
      <c r="Z622" s="204"/>
      <c r="AA622" s="205"/>
      <c r="AB622" s="206"/>
      <c r="AC622" s="206"/>
      <c r="AD622" s="194"/>
      <c r="AE622" s="201"/>
      <c r="AF622" s="207"/>
      <c r="AG622" s="208"/>
      <c r="AH622" s="209"/>
      <c r="AI622" s="210"/>
      <c r="AJ622" s="197"/>
      <c r="AK622" s="201"/>
      <c r="AL622" s="196"/>
      <c r="AM622" s="201"/>
      <c r="AN622" s="201"/>
      <c r="AO622" s="201"/>
      <c r="AP622" s="211"/>
      <c r="AQ622" s="212"/>
      <c r="AR622" s="201"/>
      <c r="AS622" s="201"/>
      <c r="AT622" s="201"/>
      <c r="AU622" s="201"/>
      <c r="AV622" s="202"/>
      <c r="AW622" s="194"/>
      <c r="AX622" s="201"/>
      <c r="AY622" s="213"/>
      <c r="AZ622" s="214"/>
      <c r="BA622" s="215"/>
      <c r="BB622" s="216"/>
      <c r="BC622" s="217" t="str">
        <f t="shared" si="117"/>
        <v/>
      </c>
      <c r="BD622" s="218"/>
      <c r="BE622" s="219"/>
      <c r="BF622" s="220"/>
      <c r="BG622" s="219"/>
      <c r="BH622" s="219"/>
      <c r="BI622" s="220"/>
      <c r="BJ622" s="218"/>
      <c r="BK622" s="219"/>
      <c r="BL622" s="197"/>
      <c r="BM622" s="215"/>
      <c r="BN622" s="221"/>
      <c r="BO622" s="222" t="str">
        <f t="shared" si="118"/>
        <v/>
      </c>
      <c r="BP622" s="217" t="str">
        <f t="shared" si="119"/>
        <v/>
      </c>
      <c r="BQ622" s="215"/>
      <c r="BR622" s="224"/>
      <c r="BS622" s="225"/>
      <c r="BT622" s="223"/>
      <c r="BU622" s="215"/>
      <c r="BV622" s="226"/>
      <c r="BW622" s="222" t="str">
        <f t="shared" si="130"/>
        <v/>
      </c>
      <c r="BX622" s="223" t="str">
        <f t="shared" si="121"/>
        <v/>
      </c>
      <c r="BY622" s="215"/>
      <c r="BZ622" s="227"/>
      <c r="CA622" s="227"/>
      <c r="CB622" s="228"/>
      <c r="CC622" s="229"/>
      <c r="CD622" s="230" t="str">
        <f t="shared" si="131"/>
        <v/>
      </c>
      <c r="CE622" s="231" t="str">
        <f t="shared" si="132"/>
        <v/>
      </c>
      <c r="CF622" s="232" t="str">
        <f t="shared" si="133"/>
        <v/>
      </c>
      <c r="CG622" s="233" t="str">
        <f t="shared" si="134"/>
        <v/>
      </c>
      <c r="CH622" s="207" t="str">
        <f>IF(OR(G622="",CC622= ""), "", IF(ISERROR(SMALL((CJ622,CN622,CV622), 1)-CC622), "",  SMALL((CJ622,CN622,CV622), 1)-CC622))</f>
        <v/>
      </c>
      <c r="CI622" s="234"/>
      <c r="CJ622" s="235"/>
      <c r="CK622" s="236"/>
      <c r="CL622" s="222" t="str">
        <f t="shared" si="135"/>
        <v/>
      </c>
      <c r="CM622" s="237" t="str">
        <f>IF(OR(G622="", CJ622="",CK622=""), "", IF(ISERROR(SMALL((CN622,CV622), 1)-CK622), "",  SMALL((CN622,CV622), 1)-CK622))</f>
        <v/>
      </c>
      <c r="CN622" s="235"/>
      <c r="CO622" s="236"/>
      <c r="CP622" s="224" t="str">
        <f t="shared" si="136"/>
        <v/>
      </c>
      <c r="CQ622" s="235"/>
      <c r="CR622" s="236"/>
      <c r="CS622" s="222" t="str">
        <f t="shared" si="137"/>
        <v/>
      </c>
      <c r="CT622" s="237" t="str">
        <f t="shared" si="138"/>
        <v/>
      </c>
      <c r="CU622" s="238"/>
      <c r="CV622" s="239"/>
      <c r="CW622" s="240"/>
    </row>
    <row r="623" spans="2:101" ht="16.5" customHeight="1">
      <c r="B623" s="122"/>
      <c r="E623" s="122"/>
      <c r="F623" s="194"/>
      <c r="G623" s="195"/>
      <c r="H623" s="195"/>
      <c r="I623" s="195"/>
      <c r="J623" s="196"/>
      <c r="K623" s="197"/>
      <c r="L623" s="198"/>
      <c r="M623" s="199"/>
      <c r="N623" s="200"/>
      <c r="O623" s="201"/>
      <c r="P623" s="201"/>
      <c r="Q623" s="201"/>
      <c r="R623" s="201"/>
      <c r="S623" s="201"/>
      <c r="T623" s="201"/>
      <c r="U623" s="201"/>
      <c r="V623" s="201"/>
      <c r="W623" s="201"/>
      <c r="X623" s="202"/>
      <c r="Y623" s="203"/>
      <c r="Z623" s="204"/>
      <c r="AA623" s="205"/>
      <c r="AB623" s="206"/>
      <c r="AC623" s="206"/>
      <c r="AD623" s="194"/>
      <c r="AE623" s="201"/>
      <c r="AF623" s="207"/>
      <c r="AG623" s="208"/>
      <c r="AH623" s="209"/>
      <c r="AI623" s="210"/>
      <c r="AJ623" s="197"/>
      <c r="AK623" s="201"/>
      <c r="AL623" s="196"/>
      <c r="AM623" s="201"/>
      <c r="AN623" s="201"/>
      <c r="AO623" s="201"/>
      <c r="AP623" s="211"/>
      <c r="AQ623" s="212"/>
      <c r="AR623" s="201"/>
      <c r="AS623" s="201"/>
      <c r="AT623" s="201"/>
      <c r="AU623" s="201"/>
      <c r="AV623" s="202"/>
      <c r="AW623" s="194"/>
      <c r="AX623" s="201"/>
      <c r="AY623" s="213"/>
      <c r="AZ623" s="214"/>
      <c r="BA623" s="215"/>
      <c r="BB623" s="216"/>
      <c r="BC623" s="217" t="str">
        <f t="shared" si="117"/>
        <v/>
      </c>
      <c r="BD623" s="218"/>
      <c r="BE623" s="219"/>
      <c r="BF623" s="220"/>
      <c r="BG623" s="219"/>
      <c r="BH623" s="219"/>
      <c r="BI623" s="220"/>
      <c r="BJ623" s="218"/>
      <c r="BK623" s="219"/>
      <c r="BL623" s="197"/>
      <c r="BM623" s="215"/>
      <c r="BN623" s="221"/>
      <c r="BO623" s="222" t="str">
        <f t="shared" si="118"/>
        <v/>
      </c>
      <c r="BP623" s="217" t="str">
        <f t="shared" si="119"/>
        <v/>
      </c>
      <c r="BQ623" s="215"/>
      <c r="BR623" s="224"/>
      <c r="BS623" s="225"/>
      <c r="BT623" s="223"/>
      <c r="BU623" s="215"/>
      <c r="BV623" s="226"/>
      <c r="BW623" s="222" t="str">
        <f t="shared" si="130"/>
        <v/>
      </c>
      <c r="BX623" s="223" t="str">
        <f t="shared" si="121"/>
        <v/>
      </c>
      <c r="BY623" s="215"/>
      <c r="BZ623" s="227"/>
      <c r="CA623" s="227"/>
      <c r="CB623" s="228"/>
      <c r="CC623" s="229"/>
      <c r="CD623" s="230" t="str">
        <f t="shared" si="131"/>
        <v/>
      </c>
      <c r="CE623" s="231" t="str">
        <f t="shared" si="132"/>
        <v/>
      </c>
      <c r="CF623" s="232" t="str">
        <f t="shared" si="133"/>
        <v/>
      </c>
      <c r="CG623" s="233" t="str">
        <f t="shared" si="134"/>
        <v/>
      </c>
      <c r="CH623" s="207" t="str">
        <f>IF(OR(G623="",CC623= ""), "", IF(ISERROR(SMALL((CJ623,CN623,CV623), 1)-CC623), "",  SMALL((CJ623,CN623,CV623), 1)-CC623))</f>
        <v/>
      </c>
      <c r="CI623" s="234"/>
      <c r="CJ623" s="235"/>
      <c r="CK623" s="236"/>
      <c r="CL623" s="222" t="str">
        <f t="shared" si="135"/>
        <v/>
      </c>
      <c r="CM623" s="237" t="str">
        <f>IF(OR(G623="", CJ623="",CK623=""), "", IF(ISERROR(SMALL((CN623,CV623), 1)-CK623), "",  SMALL((CN623,CV623), 1)-CK623))</f>
        <v/>
      </c>
      <c r="CN623" s="235"/>
      <c r="CO623" s="236"/>
      <c r="CP623" s="224" t="str">
        <f t="shared" si="136"/>
        <v/>
      </c>
      <c r="CQ623" s="235"/>
      <c r="CR623" s="236"/>
      <c r="CS623" s="222" t="str">
        <f t="shared" si="137"/>
        <v/>
      </c>
      <c r="CT623" s="237" t="str">
        <f t="shared" si="138"/>
        <v/>
      </c>
      <c r="CU623" s="238"/>
      <c r="CV623" s="239"/>
      <c r="CW623" s="240"/>
    </row>
    <row r="624" spans="2:101" ht="16.5" customHeight="1">
      <c r="B624" s="122"/>
      <c r="E624" s="122"/>
      <c r="F624" s="194"/>
      <c r="G624" s="195"/>
      <c r="H624" s="195"/>
      <c r="I624" s="195"/>
      <c r="J624" s="196"/>
      <c r="K624" s="197"/>
      <c r="L624" s="198"/>
      <c r="M624" s="199"/>
      <c r="N624" s="200"/>
      <c r="O624" s="201"/>
      <c r="P624" s="201"/>
      <c r="Q624" s="201"/>
      <c r="R624" s="201"/>
      <c r="S624" s="201"/>
      <c r="T624" s="201"/>
      <c r="U624" s="201"/>
      <c r="V624" s="201"/>
      <c r="W624" s="201"/>
      <c r="X624" s="202"/>
      <c r="Y624" s="203"/>
      <c r="Z624" s="204"/>
      <c r="AA624" s="205"/>
      <c r="AB624" s="206"/>
      <c r="AC624" s="206"/>
      <c r="AD624" s="194"/>
      <c r="AE624" s="201"/>
      <c r="AF624" s="207"/>
      <c r="AG624" s="208"/>
      <c r="AH624" s="209"/>
      <c r="AI624" s="210"/>
      <c r="AJ624" s="197"/>
      <c r="AK624" s="201"/>
      <c r="AL624" s="196"/>
      <c r="AM624" s="201"/>
      <c r="AN624" s="201"/>
      <c r="AO624" s="201"/>
      <c r="AP624" s="211"/>
      <c r="AQ624" s="212"/>
      <c r="AR624" s="201"/>
      <c r="AS624" s="201"/>
      <c r="AT624" s="201"/>
      <c r="AU624" s="201"/>
      <c r="AV624" s="202"/>
      <c r="AW624" s="194"/>
      <c r="AX624" s="201"/>
      <c r="AY624" s="213"/>
      <c r="AZ624" s="214"/>
      <c r="BA624" s="215"/>
      <c r="BB624" s="216"/>
      <c r="BC624" s="217" t="str">
        <f t="shared" si="117"/>
        <v/>
      </c>
      <c r="BD624" s="218"/>
      <c r="BE624" s="219"/>
      <c r="BF624" s="220"/>
      <c r="BG624" s="219"/>
      <c r="BH624" s="219"/>
      <c r="BI624" s="220"/>
      <c r="BJ624" s="218"/>
      <c r="BK624" s="219"/>
      <c r="BL624" s="197"/>
      <c r="BM624" s="215"/>
      <c r="BN624" s="221"/>
      <c r="BO624" s="222" t="str">
        <f t="shared" si="118"/>
        <v/>
      </c>
      <c r="BP624" s="217" t="str">
        <f t="shared" si="119"/>
        <v/>
      </c>
      <c r="BQ624" s="215"/>
      <c r="BR624" s="224"/>
      <c r="BS624" s="225"/>
      <c r="BT624" s="223"/>
      <c r="BU624" s="215"/>
      <c r="BV624" s="226"/>
      <c r="BW624" s="222" t="str">
        <f t="shared" si="130"/>
        <v/>
      </c>
      <c r="BX624" s="223" t="str">
        <f t="shared" si="121"/>
        <v/>
      </c>
      <c r="BY624" s="215"/>
      <c r="BZ624" s="227"/>
      <c r="CA624" s="227"/>
      <c r="CB624" s="228"/>
      <c r="CC624" s="229"/>
      <c r="CD624" s="230" t="str">
        <f t="shared" si="131"/>
        <v/>
      </c>
      <c r="CE624" s="231" t="str">
        <f t="shared" si="132"/>
        <v/>
      </c>
      <c r="CF624" s="232" t="str">
        <f t="shared" si="133"/>
        <v/>
      </c>
      <c r="CG624" s="233" t="str">
        <f t="shared" si="134"/>
        <v/>
      </c>
      <c r="CH624" s="207" t="str">
        <f>IF(OR(G624="",CC624= ""), "", IF(ISERROR(SMALL((CJ624,CN624,CV624), 1)-CC624), "",  SMALL((CJ624,CN624,CV624), 1)-CC624))</f>
        <v/>
      </c>
      <c r="CI624" s="234"/>
      <c r="CJ624" s="235"/>
      <c r="CK624" s="236"/>
      <c r="CL624" s="222" t="str">
        <f t="shared" si="135"/>
        <v/>
      </c>
      <c r="CM624" s="237" t="str">
        <f>IF(OR(G624="", CJ624="",CK624=""), "", IF(ISERROR(SMALL((CN624,CV624), 1)-CK624), "",  SMALL((CN624,CV624), 1)-CK624))</f>
        <v/>
      </c>
      <c r="CN624" s="235"/>
      <c r="CO624" s="236"/>
      <c r="CP624" s="224" t="str">
        <f t="shared" si="136"/>
        <v/>
      </c>
      <c r="CQ624" s="235"/>
      <c r="CR624" s="236"/>
      <c r="CS624" s="222" t="str">
        <f t="shared" si="137"/>
        <v/>
      </c>
      <c r="CT624" s="237" t="str">
        <f t="shared" si="138"/>
        <v/>
      </c>
      <c r="CU624" s="238"/>
      <c r="CV624" s="239"/>
      <c r="CW624" s="240"/>
    </row>
    <row r="625" spans="2:101" ht="16.5" customHeight="1">
      <c r="B625" s="122"/>
      <c r="E625" s="122"/>
      <c r="F625" s="194"/>
      <c r="G625" s="195"/>
      <c r="H625" s="195"/>
      <c r="I625" s="195"/>
      <c r="J625" s="196"/>
      <c r="K625" s="197"/>
      <c r="L625" s="198"/>
      <c r="M625" s="199"/>
      <c r="N625" s="200"/>
      <c r="O625" s="201"/>
      <c r="P625" s="201"/>
      <c r="Q625" s="201"/>
      <c r="R625" s="201"/>
      <c r="S625" s="201"/>
      <c r="T625" s="201"/>
      <c r="U625" s="201"/>
      <c r="V625" s="201"/>
      <c r="W625" s="201"/>
      <c r="X625" s="202"/>
      <c r="Y625" s="203"/>
      <c r="Z625" s="204"/>
      <c r="AA625" s="205"/>
      <c r="AB625" s="206"/>
      <c r="AC625" s="206"/>
      <c r="AD625" s="194"/>
      <c r="AE625" s="201"/>
      <c r="AF625" s="207"/>
      <c r="AG625" s="208"/>
      <c r="AH625" s="209"/>
      <c r="AI625" s="210"/>
      <c r="AJ625" s="197"/>
      <c r="AK625" s="201"/>
      <c r="AL625" s="196"/>
      <c r="AM625" s="201"/>
      <c r="AN625" s="201"/>
      <c r="AO625" s="201"/>
      <c r="AP625" s="211"/>
      <c r="AQ625" s="212"/>
      <c r="AR625" s="201"/>
      <c r="AS625" s="201"/>
      <c r="AT625" s="201"/>
      <c r="AU625" s="201"/>
      <c r="AV625" s="202"/>
      <c r="AW625" s="194"/>
      <c r="AX625" s="201"/>
      <c r="AY625" s="213"/>
      <c r="AZ625" s="214"/>
      <c r="BA625" s="215"/>
      <c r="BB625" s="216"/>
      <c r="BC625" s="217" t="str">
        <f t="shared" si="117"/>
        <v/>
      </c>
      <c r="BD625" s="218"/>
      <c r="BE625" s="219"/>
      <c r="BF625" s="220"/>
      <c r="BG625" s="219"/>
      <c r="BH625" s="219"/>
      <c r="BI625" s="220"/>
      <c r="BJ625" s="218"/>
      <c r="BK625" s="219"/>
      <c r="BL625" s="197"/>
      <c r="BM625" s="215"/>
      <c r="BN625" s="221"/>
      <c r="BO625" s="222" t="str">
        <f t="shared" si="118"/>
        <v/>
      </c>
      <c r="BP625" s="217" t="str">
        <f t="shared" si="119"/>
        <v/>
      </c>
      <c r="BQ625" s="215"/>
      <c r="BR625" s="224"/>
      <c r="BS625" s="225"/>
      <c r="BT625" s="223"/>
      <c r="BU625" s="215"/>
      <c r="BV625" s="226"/>
      <c r="BW625" s="222" t="str">
        <f t="shared" si="130"/>
        <v/>
      </c>
      <c r="BX625" s="223" t="str">
        <f t="shared" si="121"/>
        <v/>
      </c>
      <c r="BY625" s="215"/>
      <c r="BZ625" s="227"/>
      <c r="CA625" s="227"/>
      <c r="CB625" s="228"/>
      <c r="CC625" s="229"/>
      <c r="CD625" s="230" t="str">
        <f t="shared" si="131"/>
        <v/>
      </c>
      <c r="CE625" s="231" t="str">
        <f t="shared" si="132"/>
        <v/>
      </c>
      <c r="CF625" s="232" t="str">
        <f t="shared" si="133"/>
        <v/>
      </c>
      <c r="CG625" s="233" t="str">
        <f t="shared" si="134"/>
        <v/>
      </c>
      <c r="CH625" s="207" t="str">
        <f>IF(OR(G625="",CC625= ""), "", IF(ISERROR(SMALL((CJ625,CN625,CV625), 1)-CC625), "",  SMALL((CJ625,CN625,CV625), 1)-CC625))</f>
        <v/>
      </c>
      <c r="CI625" s="234"/>
      <c r="CJ625" s="235"/>
      <c r="CK625" s="236"/>
      <c r="CL625" s="222" t="str">
        <f t="shared" si="135"/>
        <v/>
      </c>
      <c r="CM625" s="237" t="str">
        <f>IF(OR(G625="", CJ625="",CK625=""), "", IF(ISERROR(SMALL((CN625,CV625), 1)-CK625), "",  SMALL((CN625,CV625), 1)-CK625))</f>
        <v/>
      </c>
      <c r="CN625" s="235"/>
      <c r="CO625" s="236"/>
      <c r="CP625" s="224" t="str">
        <f t="shared" si="136"/>
        <v/>
      </c>
      <c r="CQ625" s="235"/>
      <c r="CR625" s="236"/>
      <c r="CS625" s="222" t="str">
        <f t="shared" si="137"/>
        <v/>
      </c>
      <c r="CT625" s="237" t="str">
        <f t="shared" si="138"/>
        <v/>
      </c>
      <c r="CU625" s="238"/>
      <c r="CV625" s="239"/>
      <c r="CW625" s="240"/>
    </row>
    <row r="626" spans="2:101" ht="16.5" customHeight="1">
      <c r="B626" s="122"/>
      <c r="E626" s="122"/>
      <c r="F626" s="194"/>
      <c r="G626" s="195"/>
      <c r="H626" s="195"/>
      <c r="I626" s="195"/>
      <c r="J626" s="196"/>
      <c r="K626" s="197"/>
      <c r="L626" s="198"/>
      <c r="M626" s="199"/>
      <c r="N626" s="200"/>
      <c r="O626" s="201"/>
      <c r="P626" s="201"/>
      <c r="Q626" s="201"/>
      <c r="R626" s="201"/>
      <c r="S626" s="201"/>
      <c r="T626" s="201"/>
      <c r="U626" s="201"/>
      <c r="V626" s="201"/>
      <c r="W626" s="201"/>
      <c r="X626" s="202"/>
      <c r="Y626" s="203"/>
      <c r="Z626" s="204"/>
      <c r="AA626" s="205"/>
      <c r="AB626" s="206"/>
      <c r="AC626" s="206"/>
      <c r="AD626" s="194"/>
      <c r="AE626" s="201"/>
      <c r="AF626" s="207"/>
      <c r="AG626" s="208"/>
      <c r="AH626" s="209"/>
      <c r="AI626" s="210"/>
      <c r="AJ626" s="197"/>
      <c r="AK626" s="201"/>
      <c r="AL626" s="196"/>
      <c r="AM626" s="201"/>
      <c r="AN626" s="201"/>
      <c r="AO626" s="201"/>
      <c r="AP626" s="211"/>
      <c r="AQ626" s="212"/>
      <c r="AR626" s="201"/>
      <c r="AS626" s="201"/>
      <c r="AT626" s="201"/>
      <c r="AU626" s="201"/>
      <c r="AV626" s="202"/>
      <c r="AW626" s="194"/>
      <c r="AX626" s="201"/>
      <c r="AY626" s="213"/>
      <c r="AZ626" s="214"/>
      <c r="BA626" s="215"/>
      <c r="BB626" s="216"/>
      <c r="BC626" s="217" t="str">
        <f t="shared" si="117"/>
        <v/>
      </c>
      <c r="BD626" s="218"/>
      <c r="BE626" s="219"/>
      <c r="BF626" s="220"/>
      <c r="BG626" s="219"/>
      <c r="BH626" s="219"/>
      <c r="BI626" s="220"/>
      <c r="BJ626" s="218"/>
      <c r="BK626" s="219"/>
      <c r="BL626" s="197"/>
      <c r="BM626" s="215"/>
      <c r="BN626" s="221"/>
      <c r="BO626" s="222" t="str">
        <f t="shared" si="118"/>
        <v/>
      </c>
      <c r="BP626" s="217" t="str">
        <f t="shared" si="119"/>
        <v/>
      </c>
      <c r="BQ626" s="215"/>
      <c r="BR626" s="224"/>
      <c r="BS626" s="225"/>
      <c r="BT626" s="223"/>
      <c r="BU626" s="215"/>
      <c r="BV626" s="226"/>
      <c r="BW626" s="222" t="str">
        <f t="shared" si="130"/>
        <v/>
      </c>
      <c r="BX626" s="223" t="str">
        <f t="shared" si="121"/>
        <v/>
      </c>
      <c r="BY626" s="215"/>
      <c r="BZ626" s="227"/>
      <c r="CA626" s="227"/>
      <c r="CB626" s="228"/>
      <c r="CC626" s="229"/>
      <c r="CD626" s="230" t="str">
        <f t="shared" si="131"/>
        <v/>
      </c>
      <c r="CE626" s="231" t="str">
        <f t="shared" si="132"/>
        <v/>
      </c>
      <c r="CF626" s="232" t="str">
        <f t="shared" si="133"/>
        <v/>
      </c>
      <c r="CG626" s="233" t="str">
        <f t="shared" si="134"/>
        <v/>
      </c>
      <c r="CH626" s="207" t="str">
        <f>IF(OR(G626="",CC626= ""), "", IF(ISERROR(SMALL((CJ626,CN626,CV626), 1)-CC626), "",  SMALL((CJ626,CN626,CV626), 1)-CC626))</f>
        <v/>
      </c>
      <c r="CI626" s="234"/>
      <c r="CJ626" s="235"/>
      <c r="CK626" s="236"/>
      <c r="CL626" s="222" t="str">
        <f t="shared" si="135"/>
        <v/>
      </c>
      <c r="CM626" s="237" t="str">
        <f>IF(OR(G626="", CJ626="",CK626=""), "", IF(ISERROR(SMALL((CN626,CV626), 1)-CK626), "",  SMALL((CN626,CV626), 1)-CK626))</f>
        <v/>
      </c>
      <c r="CN626" s="235"/>
      <c r="CO626" s="236"/>
      <c r="CP626" s="224" t="str">
        <f t="shared" si="136"/>
        <v/>
      </c>
      <c r="CQ626" s="235"/>
      <c r="CR626" s="236"/>
      <c r="CS626" s="222" t="str">
        <f t="shared" si="137"/>
        <v/>
      </c>
      <c r="CT626" s="237" t="str">
        <f t="shared" si="138"/>
        <v/>
      </c>
      <c r="CU626" s="238"/>
      <c r="CV626" s="239"/>
      <c r="CW626" s="240"/>
    </row>
    <row r="627" spans="2:101" ht="16.5" customHeight="1">
      <c r="B627" s="122"/>
      <c r="E627" s="122"/>
      <c r="F627" s="194"/>
      <c r="G627" s="195"/>
      <c r="H627" s="195"/>
      <c r="I627" s="195"/>
      <c r="J627" s="196"/>
      <c r="K627" s="197"/>
      <c r="L627" s="198"/>
      <c r="M627" s="199"/>
      <c r="N627" s="200"/>
      <c r="O627" s="201"/>
      <c r="P627" s="201"/>
      <c r="Q627" s="201"/>
      <c r="R627" s="201"/>
      <c r="S627" s="201"/>
      <c r="T627" s="201"/>
      <c r="U627" s="201"/>
      <c r="V627" s="201"/>
      <c r="W627" s="201"/>
      <c r="X627" s="202"/>
      <c r="Y627" s="203"/>
      <c r="Z627" s="204"/>
      <c r="AA627" s="205"/>
      <c r="AB627" s="206"/>
      <c r="AC627" s="206"/>
      <c r="AD627" s="194"/>
      <c r="AE627" s="201"/>
      <c r="AF627" s="207"/>
      <c r="AG627" s="208"/>
      <c r="AH627" s="209"/>
      <c r="AI627" s="210"/>
      <c r="AJ627" s="197"/>
      <c r="AK627" s="201"/>
      <c r="AL627" s="196"/>
      <c r="AM627" s="201"/>
      <c r="AN627" s="201"/>
      <c r="AO627" s="201"/>
      <c r="AP627" s="211"/>
      <c r="AQ627" s="212"/>
      <c r="AR627" s="201"/>
      <c r="AS627" s="201"/>
      <c r="AT627" s="201"/>
      <c r="AU627" s="201"/>
      <c r="AV627" s="202"/>
      <c r="AW627" s="194"/>
      <c r="AX627" s="201"/>
      <c r="AY627" s="213"/>
      <c r="AZ627" s="214"/>
      <c r="BA627" s="215"/>
      <c r="BB627" s="216"/>
      <c r="BC627" s="217" t="str">
        <f t="shared" si="117"/>
        <v/>
      </c>
      <c r="BD627" s="218"/>
      <c r="BE627" s="219"/>
      <c r="BF627" s="220"/>
      <c r="BG627" s="219"/>
      <c r="BH627" s="219"/>
      <c r="BI627" s="220"/>
      <c r="BJ627" s="218"/>
      <c r="BK627" s="219"/>
      <c r="BL627" s="197"/>
      <c r="BM627" s="215"/>
      <c r="BN627" s="221"/>
      <c r="BO627" s="222" t="str">
        <f t="shared" si="118"/>
        <v/>
      </c>
      <c r="BP627" s="217" t="str">
        <f t="shared" si="119"/>
        <v/>
      </c>
      <c r="BQ627" s="215"/>
      <c r="BR627" s="224"/>
      <c r="BS627" s="225"/>
      <c r="BT627" s="223"/>
      <c r="BU627" s="215"/>
      <c r="BV627" s="226"/>
      <c r="BW627" s="222" t="str">
        <f t="shared" si="130"/>
        <v/>
      </c>
      <c r="BX627" s="223" t="str">
        <f t="shared" si="121"/>
        <v/>
      </c>
      <c r="BY627" s="215"/>
      <c r="BZ627" s="227"/>
      <c r="CA627" s="227"/>
      <c r="CB627" s="228"/>
      <c r="CC627" s="229"/>
      <c r="CD627" s="230" t="str">
        <f t="shared" si="131"/>
        <v/>
      </c>
      <c r="CE627" s="231" t="str">
        <f t="shared" si="132"/>
        <v/>
      </c>
      <c r="CF627" s="232" t="str">
        <f t="shared" si="133"/>
        <v/>
      </c>
      <c r="CG627" s="233" t="str">
        <f t="shared" si="134"/>
        <v/>
      </c>
      <c r="CH627" s="207" t="str">
        <f>IF(OR(G627="",CC627= ""), "", IF(ISERROR(SMALL((CJ627,CN627,CV627), 1)-CC627), "",  SMALL((CJ627,CN627,CV627), 1)-CC627))</f>
        <v/>
      </c>
      <c r="CI627" s="234"/>
      <c r="CJ627" s="235"/>
      <c r="CK627" s="236"/>
      <c r="CL627" s="222" t="str">
        <f t="shared" si="135"/>
        <v/>
      </c>
      <c r="CM627" s="237" t="str">
        <f>IF(OR(G627="", CJ627="",CK627=""), "", IF(ISERROR(SMALL((CN627,CV627), 1)-CK627), "",  SMALL((CN627,CV627), 1)-CK627))</f>
        <v/>
      </c>
      <c r="CN627" s="235"/>
      <c r="CO627" s="236"/>
      <c r="CP627" s="224" t="str">
        <f t="shared" si="136"/>
        <v/>
      </c>
      <c r="CQ627" s="235"/>
      <c r="CR627" s="236"/>
      <c r="CS627" s="222" t="str">
        <f t="shared" si="137"/>
        <v/>
      </c>
      <c r="CT627" s="237" t="str">
        <f t="shared" si="138"/>
        <v/>
      </c>
      <c r="CU627" s="238"/>
      <c r="CV627" s="239"/>
      <c r="CW627" s="240"/>
    </row>
    <row r="628" spans="2:101" ht="16.5" customHeight="1">
      <c r="B628" s="122"/>
      <c r="E628" s="122"/>
      <c r="F628" s="194"/>
      <c r="G628" s="195"/>
      <c r="H628" s="195"/>
      <c r="I628" s="195"/>
      <c r="J628" s="196"/>
      <c r="K628" s="197"/>
      <c r="L628" s="198"/>
      <c r="M628" s="199"/>
      <c r="N628" s="200"/>
      <c r="O628" s="201"/>
      <c r="P628" s="201"/>
      <c r="Q628" s="201"/>
      <c r="R628" s="201"/>
      <c r="S628" s="201"/>
      <c r="T628" s="201"/>
      <c r="U628" s="201"/>
      <c r="V628" s="201"/>
      <c r="W628" s="201"/>
      <c r="X628" s="202"/>
      <c r="Y628" s="203"/>
      <c r="Z628" s="204"/>
      <c r="AA628" s="205"/>
      <c r="AB628" s="206"/>
      <c r="AC628" s="206"/>
      <c r="AD628" s="194"/>
      <c r="AE628" s="201"/>
      <c r="AF628" s="207"/>
      <c r="AG628" s="208"/>
      <c r="AH628" s="209"/>
      <c r="AI628" s="210"/>
      <c r="AJ628" s="197"/>
      <c r="AK628" s="201"/>
      <c r="AL628" s="196"/>
      <c r="AM628" s="201"/>
      <c r="AN628" s="201"/>
      <c r="AO628" s="201"/>
      <c r="AP628" s="211"/>
      <c r="AQ628" s="212"/>
      <c r="AR628" s="201"/>
      <c r="AS628" s="201"/>
      <c r="AT628" s="201"/>
      <c r="AU628" s="201"/>
      <c r="AV628" s="202"/>
      <c r="AW628" s="194"/>
      <c r="AX628" s="201"/>
      <c r="AY628" s="213"/>
      <c r="AZ628" s="214"/>
      <c r="BA628" s="215"/>
      <c r="BB628" s="216"/>
      <c r="BC628" s="217" t="str">
        <f t="shared" si="117"/>
        <v/>
      </c>
      <c r="BD628" s="218"/>
      <c r="BE628" s="219"/>
      <c r="BF628" s="220"/>
      <c r="BG628" s="219"/>
      <c r="BH628" s="219"/>
      <c r="BI628" s="220"/>
      <c r="BJ628" s="218"/>
      <c r="BK628" s="219"/>
      <c r="BL628" s="197"/>
      <c r="BM628" s="215"/>
      <c r="BN628" s="221"/>
      <c r="BO628" s="222" t="str">
        <f t="shared" si="118"/>
        <v/>
      </c>
      <c r="BP628" s="217" t="str">
        <f t="shared" si="119"/>
        <v/>
      </c>
      <c r="BQ628" s="215"/>
      <c r="BR628" s="224"/>
      <c r="BS628" s="225"/>
      <c r="BT628" s="223"/>
      <c r="BU628" s="215"/>
      <c r="BV628" s="226"/>
      <c r="BW628" s="222" t="str">
        <f t="shared" si="130"/>
        <v/>
      </c>
      <c r="BX628" s="223" t="str">
        <f t="shared" si="121"/>
        <v/>
      </c>
      <c r="BY628" s="215"/>
      <c r="BZ628" s="227"/>
      <c r="CA628" s="227"/>
      <c r="CB628" s="228"/>
      <c r="CC628" s="229"/>
      <c r="CD628" s="230" t="str">
        <f t="shared" si="131"/>
        <v/>
      </c>
      <c r="CE628" s="231" t="str">
        <f t="shared" si="132"/>
        <v/>
      </c>
      <c r="CF628" s="232" t="str">
        <f t="shared" si="133"/>
        <v/>
      </c>
      <c r="CG628" s="233" t="str">
        <f t="shared" si="134"/>
        <v/>
      </c>
      <c r="CH628" s="207" t="str">
        <f>IF(OR(G628="",CC628= ""), "", IF(ISERROR(SMALL((CJ628,CN628,CV628), 1)-CC628), "",  SMALL((CJ628,CN628,CV628), 1)-CC628))</f>
        <v/>
      </c>
      <c r="CI628" s="234"/>
      <c r="CJ628" s="235"/>
      <c r="CK628" s="236"/>
      <c r="CL628" s="222" t="str">
        <f t="shared" si="135"/>
        <v/>
      </c>
      <c r="CM628" s="237" t="str">
        <f>IF(OR(G628="", CJ628="",CK628=""), "", IF(ISERROR(SMALL((CN628,CV628), 1)-CK628), "",  SMALL((CN628,CV628), 1)-CK628))</f>
        <v/>
      </c>
      <c r="CN628" s="235"/>
      <c r="CO628" s="236"/>
      <c r="CP628" s="224" t="str">
        <f t="shared" si="136"/>
        <v/>
      </c>
      <c r="CQ628" s="235"/>
      <c r="CR628" s="236"/>
      <c r="CS628" s="222" t="str">
        <f t="shared" si="137"/>
        <v/>
      </c>
      <c r="CT628" s="237" t="str">
        <f t="shared" si="138"/>
        <v/>
      </c>
      <c r="CU628" s="238"/>
      <c r="CV628" s="239"/>
      <c r="CW628" s="240"/>
    </row>
    <row r="629" spans="2:101" ht="16.5" customHeight="1">
      <c r="B629" s="122"/>
      <c r="E629" s="122"/>
      <c r="F629" s="194"/>
      <c r="G629" s="195"/>
      <c r="H629" s="195"/>
      <c r="I629" s="195"/>
      <c r="J629" s="196"/>
      <c r="K629" s="197"/>
      <c r="L629" s="198"/>
      <c r="M629" s="199"/>
      <c r="N629" s="200"/>
      <c r="O629" s="201"/>
      <c r="P629" s="201"/>
      <c r="Q629" s="201"/>
      <c r="R629" s="201"/>
      <c r="S629" s="201"/>
      <c r="T629" s="201"/>
      <c r="U629" s="201"/>
      <c r="V629" s="201"/>
      <c r="W629" s="201"/>
      <c r="X629" s="202"/>
      <c r="Y629" s="203"/>
      <c r="Z629" s="204"/>
      <c r="AA629" s="205"/>
      <c r="AB629" s="206"/>
      <c r="AC629" s="206"/>
      <c r="AD629" s="194"/>
      <c r="AE629" s="201"/>
      <c r="AF629" s="207"/>
      <c r="AG629" s="208"/>
      <c r="AH629" s="209"/>
      <c r="AI629" s="210"/>
      <c r="AJ629" s="197"/>
      <c r="AK629" s="201"/>
      <c r="AL629" s="196"/>
      <c r="AM629" s="201"/>
      <c r="AN629" s="201"/>
      <c r="AO629" s="201"/>
      <c r="AP629" s="211"/>
      <c r="AQ629" s="212"/>
      <c r="AR629" s="201"/>
      <c r="AS629" s="201"/>
      <c r="AT629" s="201"/>
      <c r="AU629" s="201"/>
      <c r="AV629" s="202"/>
      <c r="AW629" s="194"/>
      <c r="AX629" s="201"/>
      <c r="AY629" s="213"/>
      <c r="AZ629" s="214"/>
      <c r="BA629" s="215"/>
      <c r="BB629" s="216"/>
      <c r="BC629" s="217" t="str">
        <f t="shared" si="117"/>
        <v/>
      </c>
      <c r="BD629" s="218"/>
      <c r="BE629" s="219"/>
      <c r="BF629" s="220"/>
      <c r="BG629" s="219"/>
      <c r="BH629" s="219"/>
      <c r="BI629" s="220"/>
      <c r="BJ629" s="218"/>
      <c r="BK629" s="219"/>
      <c r="BL629" s="197"/>
      <c r="BM629" s="215"/>
      <c r="BN629" s="221"/>
      <c r="BO629" s="222" t="str">
        <f t="shared" si="118"/>
        <v/>
      </c>
      <c r="BP629" s="217" t="str">
        <f t="shared" si="119"/>
        <v/>
      </c>
      <c r="BQ629" s="215"/>
      <c r="BR629" s="224"/>
      <c r="BS629" s="225"/>
      <c r="BT629" s="223"/>
      <c r="BU629" s="215"/>
      <c r="BV629" s="226"/>
      <c r="BW629" s="222" t="str">
        <f t="shared" si="130"/>
        <v/>
      </c>
      <c r="BX629" s="223" t="str">
        <f t="shared" si="121"/>
        <v/>
      </c>
      <c r="BY629" s="215"/>
      <c r="BZ629" s="227"/>
      <c r="CA629" s="227"/>
      <c r="CB629" s="228"/>
      <c r="CC629" s="229"/>
      <c r="CD629" s="230" t="str">
        <f t="shared" si="131"/>
        <v/>
      </c>
      <c r="CE629" s="231" t="str">
        <f t="shared" si="132"/>
        <v/>
      </c>
      <c r="CF629" s="232" t="str">
        <f t="shared" si="133"/>
        <v/>
      </c>
      <c r="CG629" s="233" t="str">
        <f t="shared" si="134"/>
        <v/>
      </c>
      <c r="CH629" s="207" t="str">
        <f>IF(OR(G629="",CC629= ""), "", IF(ISERROR(SMALL((CJ629,CN629,CV629), 1)-CC629), "",  SMALL((CJ629,CN629,CV629), 1)-CC629))</f>
        <v/>
      </c>
      <c r="CI629" s="234"/>
      <c r="CJ629" s="235"/>
      <c r="CK629" s="236"/>
      <c r="CL629" s="222" t="str">
        <f t="shared" si="135"/>
        <v/>
      </c>
      <c r="CM629" s="237" t="str">
        <f>IF(OR(G629="", CJ629="",CK629=""), "", IF(ISERROR(SMALL((CN629,CV629), 1)-CK629), "",  SMALL((CN629,CV629), 1)-CK629))</f>
        <v/>
      </c>
      <c r="CN629" s="235"/>
      <c r="CO629" s="236"/>
      <c r="CP629" s="224" t="str">
        <f t="shared" si="136"/>
        <v/>
      </c>
      <c r="CQ629" s="235"/>
      <c r="CR629" s="236"/>
      <c r="CS629" s="222" t="str">
        <f t="shared" si="137"/>
        <v/>
      </c>
      <c r="CT629" s="237" t="str">
        <f t="shared" si="138"/>
        <v/>
      </c>
      <c r="CU629" s="238"/>
      <c r="CV629" s="239"/>
      <c r="CW629" s="240"/>
    </row>
    <row r="630" spans="2:101" ht="16.5" customHeight="1">
      <c r="B630" s="122"/>
      <c r="E630" s="122"/>
      <c r="F630" s="194"/>
      <c r="G630" s="195"/>
      <c r="H630" s="195"/>
      <c r="I630" s="195"/>
      <c r="J630" s="196"/>
      <c r="K630" s="197"/>
      <c r="L630" s="198"/>
      <c r="M630" s="199"/>
      <c r="N630" s="200"/>
      <c r="O630" s="201"/>
      <c r="P630" s="201"/>
      <c r="Q630" s="201"/>
      <c r="R630" s="201"/>
      <c r="S630" s="201"/>
      <c r="T630" s="201"/>
      <c r="U630" s="201"/>
      <c r="V630" s="201"/>
      <c r="W630" s="201"/>
      <c r="X630" s="202"/>
      <c r="Y630" s="203"/>
      <c r="Z630" s="204"/>
      <c r="AA630" s="205"/>
      <c r="AB630" s="206"/>
      <c r="AC630" s="206"/>
      <c r="AD630" s="194"/>
      <c r="AE630" s="201"/>
      <c r="AF630" s="207"/>
      <c r="AG630" s="208"/>
      <c r="AH630" s="209"/>
      <c r="AI630" s="210"/>
      <c r="AJ630" s="197"/>
      <c r="AK630" s="201"/>
      <c r="AL630" s="196"/>
      <c r="AM630" s="201"/>
      <c r="AN630" s="201"/>
      <c r="AO630" s="201"/>
      <c r="AP630" s="211"/>
      <c r="AQ630" s="212"/>
      <c r="AR630" s="201"/>
      <c r="AS630" s="201"/>
      <c r="AT630" s="201"/>
      <c r="AU630" s="201"/>
      <c r="AV630" s="202"/>
      <c r="AW630" s="194"/>
      <c r="AX630" s="201"/>
      <c r="AY630" s="213"/>
      <c r="AZ630" s="214"/>
      <c r="BA630" s="215"/>
      <c r="BB630" s="216"/>
      <c r="BC630" s="217" t="str">
        <f t="shared" si="117"/>
        <v/>
      </c>
      <c r="BD630" s="218"/>
      <c r="BE630" s="219"/>
      <c r="BF630" s="220"/>
      <c r="BG630" s="219"/>
      <c r="BH630" s="219"/>
      <c r="BI630" s="220"/>
      <c r="BJ630" s="218"/>
      <c r="BK630" s="219"/>
      <c r="BL630" s="197"/>
      <c r="BM630" s="215"/>
      <c r="BN630" s="221"/>
      <c r="BO630" s="222" t="str">
        <f t="shared" si="118"/>
        <v/>
      </c>
      <c r="BP630" s="217" t="str">
        <f t="shared" si="119"/>
        <v/>
      </c>
      <c r="BQ630" s="215"/>
      <c r="BR630" s="224"/>
      <c r="BS630" s="225"/>
      <c r="BT630" s="223"/>
      <c r="BU630" s="215"/>
      <c r="BV630" s="226"/>
      <c r="BW630" s="222" t="str">
        <f t="shared" si="130"/>
        <v/>
      </c>
      <c r="BX630" s="223" t="str">
        <f t="shared" si="121"/>
        <v/>
      </c>
      <c r="BY630" s="215"/>
      <c r="BZ630" s="227"/>
      <c r="CA630" s="227"/>
      <c r="CB630" s="228"/>
      <c r="CC630" s="229"/>
      <c r="CD630" s="230" t="str">
        <f t="shared" si="131"/>
        <v/>
      </c>
      <c r="CE630" s="231" t="str">
        <f t="shared" si="132"/>
        <v/>
      </c>
      <c r="CF630" s="232" t="str">
        <f t="shared" si="133"/>
        <v/>
      </c>
      <c r="CG630" s="233" t="str">
        <f t="shared" si="134"/>
        <v/>
      </c>
      <c r="CH630" s="207" t="str">
        <f>IF(OR(G630="",CC630= ""), "", IF(ISERROR(SMALL((CJ630,CN630,CV630), 1)-CC630), "",  SMALL((CJ630,CN630,CV630), 1)-CC630))</f>
        <v/>
      </c>
      <c r="CI630" s="234"/>
      <c r="CJ630" s="235"/>
      <c r="CK630" s="236"/>
      <c r="CL630" s="222" t="str">
        <f t="shared" si="135"/>
        <v/>
      </c>
      <c r="CM630" s="237" t="str">
        <f>IF(OR(G630="", CJ630="",CK630=""), "", IF(ISERROR(SMALL((CN630,CV630), 1)-CK630), "",  SMALL((CN630,CV630), 1)-CK630))</f>
        <v/>
      </c>
      <c r="CN630" s="235"/>
      <c r="CO630" s="236"/>
      <c r="CP630" s="224" t="str">
        <f t="shared" si="136"/>
        <v/>
      </c>
      <c r="CQ630" s="235"/>
      <c r="CR630" s="236"/>
      <c r="CS630" s="222" t="str">
        <f t="shared" si="137"/>
        <v/>
      </c>
      <c r="CT630" s="237" t="str">
        <f t="shared" si="138"/>
        <v/>
      </c>
      <c r="CU630" s="238"/>
      <c r="CV630" s="239"/>
      <c r="CW630" s="240"/>
    </row>
    <row r="631" spans="2:101" ht="16.5" customHeight="1">
      <c r="B631" s="122"/>
      <c r="E631" s="122"/>
      <c r="F631" s="194"/>
      <c r="G631" s="195"/>
      <c r="H631" s="195"/>
      <c r="I631" s="195"/>
      <c r="J631" s="196"/>
      <c r="K631" s="197"/>
      <c r="L631" s="198"/>
      <c r="M631" s="199"/>
      <c r="N631" s="200"/>
      <c r="O631" s="201"/>
      <c r="P631" s="201"/>
      <c r="Q631" s="201"/>
      <c r="R631" s="201"/>
      <c r="S631" s="201"/>
      <c r="T631" s="201"/>
      <c r="U631" s="201"/>
      <c r="V631" s="201"/>
      <c r="W631" s="201"/>
      <c r="X631" s="202"/>
      <c r="Y631" s="203"/>
      <c r="Z631" s="204"/>
      <c r="AA631" s="205"/>
      <c r="AB631" s="206"/>
      <c r="AC631" s="206"/>
      <c r="AD631" s="194"/>
      <c r="AE631" s="201"/>
      <c r="AF631" s="207"/>
      <c r="AG631" s="208"/>
      <c r="AH631" s="209"/>
      <c r="AI631" s="210"/>
      <c r="AJ631" s="197"/>
      <c r="AK631" s="201"/>
      <c r="AL631" s="196"/>
      <c r="AM631" s="201"/>
      <c r="AN631" s="201"/>
      <c r="AO631" s="201"/>
      <c r="AP631" s="211"/>
      <c r="AQ631" s="212"/>
      <c r="AR631" s="201"/>
      <c r="AS631" s="201"/>
      <c r="AT631" s="201"/>
      <c r="AU631" s="201"/>
      <c r="AV631" s="202"/>
      <c r="AW631" s="194"/>
      <c r="AX631" s="201"/>
      <c r="AY631" s="213"/>
      <c r="AZ631" s="214"/>
      <c r="BA631" s="215"/>
      <c r="BB631" s="216"/>
      <c r="BC631" s="217" t="str">
        <f t="shared" si="117"/>
        <v/>
      </c>
      <c r="BD631" s="218"/>
      <c r="BE631" s="219"/>
      <c r="BF631" s="220"/>
      <c r="BG631" s="219"/>
      <c r="BH631" s="219"/>
      <c r="BI631" s="220"/>
      <c r="BJ631" s="218"/>
      <c r="BK631" s="219"/>
      <c r="BL631" s="197"/>
      <c r="BM631" s="215"/>
      <c r="BN631" s="221"/>
      <c r="BO631" s="222" t="str">
        <f t="shared" si="118"/>
        <v/>
      </c>
      <c r="BP631" s="217" t="str">
        <f t="shared" si="119"/>
        <v/>
      </c>
      <c r="BQ631" s="215"/>
      <c r="BR631" s="224"/>
      <c r="BS631" s="225"/>
      <c r="BT631" s="223"/>
      <c r="BU631" s="215"/>
      <c r="BV631" s="226"/>
      <c r="BW631" s="222" t="str">
        <f t="shared" si="130"/>
        <v/>
      </c>
      <c r="BX631" s="223" t="str">
        <f t="shared" si="121"/>
        <v/>
      </c>
      <c r="BY631" s="215"/>
      <c r="BZ631" s="227"/>
      <c r="CA631" s="227"/>
      <c r="CB631" s="228"/>
      <c r="CC631" s="229"/>
      <c r="CD631" s="230" t="str">
        <f t="shared" si="131"/>
        <v/>
      </c>
      <c r="CE631" s="231" t="str">
        <f t="shared" si="132"/>
        <v/>
      </c>
      <c r="CF631" s="232" t="str">
        <f t="shared" si="133"/>
        <v/>
      </c>
      <c r="CG631" s="233" t="str">
        <f t="shared" si="134"/>
        <v/>
      </c>
      <c r="CH631" s="207" t="str">
        <f>IF(OR(G631="",CC631= ""), "", IF(ISERROR(SMALL((CJ631,CN631,CV631), 1)-CC631), "",  SMALL((CJ631,CN631,CV631), 1)-CC631))</f>
        <v/>
      </c>
      <c r="CI631" s="234"/>
      <c r="CJ631" s="235"/>
      <c r="CK631" s="236"/>
      <c r="CL631" s="222" t="str">
        <f t="shared" si="135"/>
        <v/>
      </c>
      <c r="CM631" s="237" t="str">
        <f>IF(OR(G631="", CJ631="",CK631=""), "", IF(ISERROR(SMALL((CN631,CV631), 1)-CK631), "",  SMALL((CN631,CV631), 1)-CK631))</f>
        <v/>
      </c>
      <c r="CN631" s="235"/>
      <c r="CO631" s="236"/>
      <c r="CP631" s="224" t="str">
        <f t="shared" si="136"/>
        <v/>
      </c>
      <c r="CQ631" s="235"/>
      <c r="CR631" s="236"/>
      <c r="CS631" s="222" t="str">
        <f t="shared" si="137"/>
        <v/>
      </c>
      <c r="CT631" s="237" t="str">
        <f t="shared" si="138"/>
        <v/>
      </c>
      <c r="CU631" s="238"/>
      <c r="CV631" s="239"/>
      <c r="CW631" s="240"/>
    </row>
    <row r="632" spans="2:101" ht="16.5" customHeight="1">
      <c r="B632" s="122"/>
      <c r="E632" s="122"/>
      <c r="F632" s="194"/>
      <c r="G632" s="195"/>
      <c r="H632" s="195"/>
      <c r="I632" s="195"/>
      <c r="J632" s="196"/>
      <c r="K632" s="197"/>
      <c r="L632" s="198"/>
      <c r="M632" s="199"/>
      <c r="N632" s="200"/>
      <c r="O632" s="201"/>
      <c r="P632" s="201"/>
      <c r="Q632" s="201"/>
      <c r="R632" s="201"/>
      <c r="S632" s="201"/>
      <c r="T632" s="201"/>
      <c r="U632" s="201"/>
      <c r="V632" s="201"/>
      <c r="W632" s="201"/>
      <c r="X632" s="202"/>
      <c r="Y632" s="203"/>
      <c r="Z632" s="204"/>
      <c r="AA632" s="205"/>
      <c r="AB632" s="206"/>
      <c r="AC632" s="206"/>
      <c r="AD632" s="194"/>
      <c r="AE632" s="201"/>
      <c r="AF632" s="207"/>
      <c r="AG632" s="208"/>
      <c r="AH632" s="209"/>
      <c r="AI632" s="210"/>
      <c r="AJ632" s="197"/>
      <c r="AK632" s="201"/>
      <c r="AL632" s="196"/>
      <c r="AM632" s="201"/>
      <c r="AN632" s="201"/>
      <c r="AO632" s="201"/>
      <c r="AP632" s="211"/>
      <c r="AQ632" s="212"/>
      <c r="AR632" s="201"/>
      <c r="AS632" s="201"/>
      <c r="AT632" s="201"/>
      <c r="AU632" s="201"/>
      <c r="AV632" s="202"/>
      <c r="AW632" s="194"/>
      <c r="AX632" s="201"/>
      <c r="AY632" s="213"/>
      <c r="AZ632" s="214"/>
      <c r="BA632" s="215"/>
      <c r="BB632" s="216"/>
      <c r="BC632" s="217" t="str">
        <f t="shared" si="117"/>
        <v/>
      </c>
      <c r="BD632" s="218"/>
      <c r="BE632" s="219"/>
      <c r="BF632" s="220"/>
      <c r="BG632" s="219"/>
      <c r="BH632" s="219"/>
      <c r="BI632" s="220"/>
      <c r="BJ632" s="218"/>
      <c r="BK632" s="219"/>
      <c r="BL632" s="197"/>
      <c r="BM632" s="215"/>
      <c r="BN632" s="221"/>
      <c r="BO632" s="222" t="str">
        <f t="shared" si="118"/>
        <v/>
      </c>
      <c r="BP632" s="217" t="str">
        <f t="shared" si="119"/>
        <v/>
      </c>
      <c r="BQ632" s="215"/>
      <c r="BR632" s="224"/>
      <c r="BS632" s="225"/>
      <c r="BT632" s="223"/>
      <c r="BU632" s="215"/>
      <c r="BV632" s="226"/>
      <c r="BW632" s="222" t="str">
        <f t="shared" si="130"/>
        <v/>
      </c>
      <c r="BX632" s="223" t="str">
        <f t="shared" si="121"/>
        <v/>
      </c>
      <c r="BY632" s="215"/>
      <c r="BZ632" s="227"/>
      <c r="CA632" s="227"/>
      <c r="CB632" s="228"/>
      <c r="CC632" s="229"/>
      <c r="CD632" s="230" t="str">
        <f t="shared" si="131"/>
        <v/>
      </c>
      <c r="CE632" s="231" t="str">
        <f t="shared" si="132"/>
        <v/>
      </c>
      <c r="CF632" s="232" t="str">
        <f t="shared" si="133"/>
        <v/>
      </c>
      <c r="CG632" s="233" t="str">
        <f t="shared" si="134"/>
        <v/>
      </c>
      <c r="CH632" s="207" t="str">
        <f>IF(OR(G632="",CC632= ""), "", IF(ISERROR(SMALL((CJ632,CN632,CV632), 1)-CC632), "",  SMALL((CJ632,CN632,CV632), 1)-CC632))</f>
        <v/>
      </c>
      <c r="CI632" s="234"/>
      <c r="CJ632" s="235"/>
      <c r="CK632" s="236"/>
      <c r="CL632" s="222" t="str">
        <f t="shared" si="135"/>
        <v/>
      </c>
      <c r="CM632" s="237" t="str">
        <f>IF(OR(G632="", CJ632="",CK632=""), "", IF(ISERROR(SMALL((CN632,CV632), 1)-CK632), "",  SMALL((CN632,CV632), 1)-CK632))</f>
        <v/>
      </c>
      <c r="CN632" s="235"/>
      <c r="CO632" s="236"/>
      <c r="CP632" s="224" t="str">
        <f t="shared" si="136"/>
        <v/>
      </c>
      <c r="CQ632" s="235"/>
      <c r="CR632" s="236"/>
      <c r="CS632" s="222" t="str">
        <f t="shared" si="137"/>
        <v/>
      </c>
      <c r="CT632" s="237" t="str">
        <f t="shared" si="138"/>
        <v/>
      </c>
      <c r="CU632" s="238"/>
      <c r="CV632" s="239"/>
      <c r="CW632" s="240"/>
    </row>
    <row r="633" spans="2:101" ht="16.5" customHeight="1">
      <c r="B633" s="122"/>
      <c r="E633" s="122"/>
      <c r="F633" s="194"/>
      <c r="G633" s="195"/>
      <c r="H633" s="195"/>
      <c r="I633" s="195"/>
      <c r="J633" s="196"/>
      <c r="K633" s="197"/>
      <c r="L633" s="198"/>
      <c r="M633" s="199"/>
      <c r="N633" s="200"/>
      <c r="O633" s="201"/>
      <c r="P633" s="201"/>
      <c r="Q633" s="201"/>
      <c r="R633" s="201"/>
      <c r="S633" s="201"/>
      <c r="T633" s="201"/>
      <c r="U633" s="201"/>
      <c r="V633" s="201"/>
      <c r="W633" s="201"/>
      <c r="X633" s="202"/>
      <c r="Y633" s="203"/>
      <c r="Z633" s="204"/>
      <c r="AA633" s="205"/>
      <c r="AB633" s="206"/>
      <c r="AC633" s="206"/>
      <c r="AD633" s="194"/>
      <c r="AE633" s="201"/>
      <c r="AF633" s="207"/>
      <c r="AG633" s="208"/>
      <c r="AH633" s="209"/>
      <c r="AI633" s="210"/>
      <c r="AJ633" s="197"/>
      <c r="AK633" s="201"/>
      <c r="AL633" s="196"/>
      <c r="AM633" s="201"/>
      <c r="AN633" s="201"/>
      <c r="AO633" s="201"/>
      <c r="AP633" s="211"/>
      <c r="AQ633" s="212"/>
      <c r="AR633" s="201"/>
      <c r="AS633" s="201"/>
      <c r="AT633" s="201"/>
      <c r="AU633" s="201"/>
      <c r="AV633" s="202"/>
      <c r="AW633" s="194"/>
      <c r="AX633" s="201"/>
      <c r="AY633" s="213"/>
      <c r="AZ633" s="214"/>
      <c r="BA633" s="215"/>
      <c r="BB633" s="216"/>
      <c r="BC633" s="217" t="str">
        <f t="shared" si="117"/>
        <v/>
      </c>
      <c r="BD633" s="218"/>
      <c r="BE633" s="219"/>
      <c r="BF633" s="220"/>
      <c r="BG633" s="219"/>
      <c r="BH633" s="219"/>
      <c r="BI633" s="220"/>
      <c r="BJ633" s="218"/>
      <c r="BK633" s="219"/>
      <c r="BL633" s="197"/>
      <c r="BM633" s="215"/>
      <c r="BN633" s="221"/>
      <c r="BO633" s="222" t="str">
        <f t="shared" si="118"/>
        <v/>
      </c>
      <c r="BP633" s="217" t="str">
        <f t="shared" si="119"/>
        <v/>
      </c>
      <c r="BQ633" s="215"/>
      <c r="BR633" s="224"/>
      <c r="BS633" s="225"/>
      <c r="BT633" s="223"/>
      <c r="BU633" s="215"/>
      <c r="BV633" s="226"/>
      <c r="BW633" s="222" t="str">
        <f t="shared" si="130"/>
        <v/>
      </c>
      <c r="BX633" s="223" t="str">
        <f t="shared" si="121"/>
        <v/>
      </c>
      <c r="BY633" s="215"/>
      <c r="BZ633" s="227"/>
      <c r="CA633" s="227"/>
      <c r="CB633" s="228"/>
      <c r="CC633" s="229"/>
      <c r="CD633" s="230" t="str">
        <f t="shared" si="131"/>
        <v/>
      </c>
      <c r="CE633" s="231" t="str">
        <f t="shared" si="132"/>
        <v/>
      </c>
      <c r="CF633" s="232" t="str">
        <f t="shared" si="133"/>
        <v/>
      </c>
      <c r="CG633" s="233" t="str">
        <f t="shared" si="134"/>
        <v/>
      </c>
      <c r="CH633" s="207" t="str">
        <f>IF(OR(G633="",CC633= ""), "", IF(ISERROR(SMALL((CJ633,CN633,CV633), 1)-CC633), "",  SMALL((CJ633,CN633,CV633), 1)-CC633))</f>
        <v/>
      </c>
      <c r="CI633" s="234"/>
      <c r="CJ633" s="235"/>
      <c r="CK633" s="236"/>
      <c r="CL633" s="222" t="str">
        <f t="shared" si="135"/>
        <v/>
      </c>
      <c r="CM633" s="237" t="str">
        <f>IF(OR(G633="", CJ633="",CK633=""), "", IF(ISERROR(SMALL((CN633,CV633), 1)-CK633), "",  SMALL((CN633,CV633), 1)-CK633))</f>
        <v/>
      </c>
      <c r="CN633" s="235"/>
      <c r="CO633" s="236"/>
      <c r="CP633" s="224" t="str">
        <f t="shared" si="136"/>
        <v/>
      </c>
      <c r="CQ633" s="235"/>
      <c r="CR633" s="236"/>
      <c r="CS633" s="222" t="str">
        <f t="shared" si="137"/>
        <v/>
      </c>
      <c r="CT633" s="237" t="str">
        <f t="shared" si="138"/>
        <v/>
      </c>
      <c r="CU633" s="238"/>
      <c r="CV633" s="239"/>
      <c r="CW633" s="240"/>
    </row>
    <row r="634" spans="2:101" ht="16.5" customHeight="1">
      <c r="B634" s="122"/>
      <c r="E634" s="122"/>
      <c r="F634" s="194"/>
      <c r="G634" s="195"/>
      <c r="H634" s="195"/>
      <c r="I634" s="195"/>
      <c r="J634" s="196"/>
      <c r="K634" s="197"/>
      <c r="L634" s="198"/>
      <c r="M634" s="199"/>
      <c r="N634" s="200"/>
      <c r="O634" s="201"/>
      <c r="P634" s="201"/>
      <c r="Q634" s="201"/>
      <c r="R634" s="201"/>
      <c r="S634" s="201"/>
      <c r="T634" s="201"/>
      <c r="U634" s="201"/>
      <c r="V634" s="201"/>
      <c r="W634" s="201"/>
      <c r="X634" s="202"/>
      <c r="Y634" s="203"/>
      <c r="Z634" s="204"/>
      <c r="AA634" s="205"/>
      <c r="AB634" s="206"/>
      <c r="AC634" s="206"/>
      <c r="AD634" s="194"/>
      <c r="AE634" s="201"/>
      <c r="AF634" s="207"/>
      <c r="AG634" s="208"/>
      <c r="AH634" s="209"/>
      <c r="AI634" s="210"/>
      <c r="AJ634" s="197"/>
      <c r="AK634" s="201"/>
      <c r="AL634" s="196"/>
      <c r="AM634" s="201"/>
      <c r="AN634" s="201"/>
      <c r="AO634" s="201"/>
      <c r="AP634" s="211"/>
      <c r="AQ634" s="212"/>
      <c r="AR634" s="201"/>
      <c r="AS634" s="201"/>
      <c r="AT634" s="201"/>
      <c r="AU634" s="201"/>
      <c r="AV634" s="202"/>
      <c r="AW634" s="194"/>
      <c r="AX634" s="201"/>
      <c r="AY634" s="213"/>
      <c r="AZ634" s="214"/>
      <c r="BA634" s="215"/>
      <c r="BB634" s="216"/>
      <c r="BC634" s="217" t="str">
        <f t="shared" si="117"/>
        <v/>
      </c>
      <c r="BD634" s="218"/>
      <c r="BE634" s="219"/>
      <c r="BF634" s="220"/>
      <c r="BG634" s="219"/>
      <c r="BH634" s="219"/>
      <c r="BI634" s="220"/>
      <c r="BJ634" s="218"/>
      <c r="BK634" s="219"/>
      <c r="BL634" s="197"/>
      <c r="BM634" s="215"/>
      <c r="BN634" s="221"/>
      <c r="BO634" s="222" t="str">
        <f t="shared" si="118"/>
        <v/>
      </c>
      <c r="BP634" s="217" t="str">
        <f t="shared" si="119"/>
        <v/>
      </c>
      <c r="BQ634" s="215"/>
      <c r="BR634" s="224"/>
      <c r="BS634" s="225"/>
      <c r="BT634" s="223"/>
      <c r="BU634" s="215"/>
      <c r="BV634" s="226"/>
      <c r="BW634" s="222" t="str">
        <f t="shared" si="130"/>
        <v/>
      </c>
      <c r="BX634" s="223" t="str">
        <f t="shared" si="121"/>
        <v/>
      </c>
      <c r="BY634" s="215"/>
      <c r="BZ634" s="227"/>
      <c r="CA634" s="227"/>
      <c r="CB634" s="228"/>
      <c r="CC634" s="229"/>
      <c r="CD634" s="230" t="str">
        <f t="shared" si="131"/>
        <v/>
      </c>
      <c r="CE634" s="231" t="str">
        <f t="shared" si="132"/>
        <v/>
      </c>
      <c r="CF634" s="232" t="str">
        <f t="shared" si="133"/>
        <v/>
      </c>
      <c r="CG634" s="233" t="str">
        <f t="shared" si="134"/>
        <v/>
      </c>
      <c r="CH634" s="207" t="str">
        <f>IF(OR(G634="",CC634= ""), "", IF(ISERROR(SMALL((CJ634,CN634,CV634), 1)-CC634), "",  SMALL((CJ634,CN634,CV634), 1)-CC634))</f>
        <v/>
      </c>
      <c r="CI634" s="234"/>
      <c r="CJ634" s="235"/>
      <c r="CK634" s="236"/>
      <c r="CL634" s="222" t="str">
        <f t="shared" si="135"/>
        <v/>
      </c>
      <c r="CM634" s="237" t="str">
        <f>IF(OR(G634="", CJ634="",CK634=""), "", IF(ISERROR(SMALL((CN634,CV634), 1)-CK634), "",  SMALL((CN634,CV634), 1)-CK634))</f>
        <v/>
      </c>
      <c r="CN634" s="235"/>
      <c r="CO634" s="236"/>
      <c r="CP634" s="224" t="str">
        <f t="shared" si="136"/>
        <v/>
      </c>
      <c r="CQ634" s="235"/>
      <c r="CR634" s="236"/>
      <c r="CS634" s="222" t="str">
        <f t="shared" si="137"/>
        <v/>
      </c>
      <c r="CT634" s="237" t="str">
        <f t="shared" si="138"/>
        <v/>
      </c>
      <c r="CU634" s="238"/>
      <c r="CV634" s="239"/>
      <c r="CW634" s="240"/>
    </row>
    <row r="635" spans="2:101" ht="16.5" customHeight="1">
      <c r="B635" s="122"/>
      <c r="E635" s="122"/>
      <c r="F635" s="194"/>
      <c r="G635" s="195"/>
      <c r="H635" s="195"/>
      <c r="I635" s="195"/>
      <c r="J635" s="196"/>
      <c r="K635" s="197"/>
      <c r="L635" s="198"/>
      <c r="M635" s="199"/>
      <c r="N635" s="200"/>
      <c r="O635" s="201"/>
      <c r="P635" s="201"/>
      <c r="Q635" s="201"/>
      <c r="R635" s="201"/>
      <c r="S635" s="201"/>
      <c r="T635" s="201"/>
      <c r="U635" s="201"/>
      <c r="V635" s="201"/>
      <c r="W635" s="201"/>
      <c r="X635" s="202"/>
      <c r="Y635" s="203"/>
      <c r="Z635" s="204"/>
      <c r="AA635" s="205"/>
      <c r="AB635" s="206"/>
      <c r="AC635" s="206"/>
      <c r="AD635" s="194"/>
      <c r="AE635" s="201"/>
      <c r="AF635" s="207"/>
      <c r="AG635" s="208"/>
      <c r="AH635" s="209"/>
      <c r="AI635" s="210"/>
      <c r="AJ635" s="197"/>
      <c r="AK635" s="201"/>
      <c r="AL635" s="196"/>
      <c r="AM635" s="201"/>
      <c r="AN635" s="201"/>
      <c r="AO635" s="201"/>
      <c r="AP635" s="211"/>
      <c r="AQ635" s="212"/>
      <c r="AR635" s="201"/>
      <c r="AS635" s="201"/>
      <c r="AT635" s="201"/>
      <c r="AU635" s="201"/>
      <c r="AV635" s="202"/>
      <c r="AW635" s="194"/>
      <c r="AX635" s="201"/>
      <c r="AY635" s="213"/>
      <c r="AZ635" s="214"/>
      <c r="BA635" s="215"/>
      <c r="BB635" s="216"/>
      <c r="BC635" s="217" t="str">
        <f t="shared" si="117"/>
        <v/>
      </c>
      <c r="BD635" s="218"/>
      <c r="BE635" s="219"/>
      <c r="BF635" s="220"/>
      <c r="BG635" s="219"/>
      <c r="BH635" s="219"/>
      <c r="BI635" s="220"/>
      <c r="BJ635" s="218"/>
      <c r="BK635" s="219"/>
      <c r="BL635" s="197"/>
      <c r="BM635" s="215"/>
      <c r="BN635" s="221"/>
      <c r="BO635" s="222" t="str">
        <f t="shared" si="118"/>
        <v/>
      </c>
      <c r="BP635" s="217" t="str">
        <f t="shared" si="119"/>
        <v/>
      </c>
      <c r="BQ635" s="215"/>
      <c r="BR635" s="224"/>
      <c r="BS635" s="225"/>
      <c r="BT635" s="223"/>
      <c r="BU635" s="215"/>
      <c r="BV635" s="226"/>
      <c r="BW635" s="222" t="str">
        <f t="shared" si="130"/>
        <v/>
      </c>
      <c r="BX635" s="223" t="str">
        <f t="shared" si="121"/>
        <v/>
      </c>
      <c r="BY635" s="215"/>
      <c r="BZ635" s="227"/>
      <c r="CA635" s="227"/>
      <c r="CB635" s="228"/>
      <c r="CC635" s="229"/>
      <c r="CD635" s="230" t="str">
        <f t="shared" si="131"/>
        <v/>
      </c>
      <c r="CE635" s="231" t="str">
        <f t="shared" si="132"/>
        <v/>
      </c>
      <c r="CF635" s="232" t="str">
        <f t="shared" si="133"/>
        <v/>
      </c>
      <c r="CG635" s="233" t="str">
        <f t="shared" si="134"/>
        <v/>
      </c>
      <c r="CH635" s="207" t="str">
        <f>IF(OR(G635="",CC635= ""), "", IF(ISERROR(SMALL((CJ635,CN635,CV635), 1)-CC635), "",  SMALL((CJ635,CN635,CV635), 1)-CC635))</f>
        <v/>
      </c>
      <c r="CI635" s="234"/>
      <c r="CJ635" s="235"/>
      <c r="CK635" s="236"/>
      <c r="CL635" s="222" t="str">
        <f t="shared" si="135"/>
        <v/>
      </c>
      <c r="CM635" s="237" t="str">
        <f>IF(OR(G635="", CJ635="",CK635=""), "", IF(ISERROR(SMALL((CN635,CV635), 1)-CK635), "",  SMALL((CN635,CV635), 1)-CK635))</f>
        <v/>
      </c>
      <c r="CN635" s="235"/>
      <c r="CO635" s="236"/>
      <c r="CP635" s="224" t="str">
        <f t="shared" si="136"/>
        <v/>
      </c>
      <c r="CQ635" s="235"/>
      <c r="CR635" s="236"/>
      <c r="CS635" s="222" t="str">
        <f t="shared" si="137"/>
        <v/>
      </c>
      <c r="CT635" s="237" t="str">
        <f t="shared" si="138"/>
        <v/>
      </c>
      <c r="CU635" s="238"/>
      <c r="CV635" s="239"/>
      <c r="CW635" s="240"/>
    </row>
    <row r="636" spans="2:101" ht="16.5" customHeight="1">
      <c r="B636" s="122"/>
      <c r="E636" s="122"/>
      <c r="F636" s="194"/>
      <c r="G636" s="195"/>
      <c r="H636" s="195"/>
      <c r="I636" s="195"/>
      <c r="J636" s="196"/>
      <c r="K636" s="197"/>
      <c r="L636" s="198"/>
      <c r="M636" s="199"/>
      <c r="N636" s="200"/>
      <c r="O636" s="201"/>
      <c r="P636" s="201"/>
      <c r="Q636" s="201"/>
      <c r="R636" s="201"/>
      <c r="S636" s="201"/>
      <c r="T636" s="201"/>
      <c r="U636" s="201"/>
      <c r="V636" s="201"/>
      <c r="W636" s="201"/>
      <c r="X636" s="202"/>
      <c r="Y636" s="203"/>
      <c r="Z636" s="204"/>
      <c r="AA636" s="205"/>
      <c r="AB636" s="206"/>
      <c r="AC636" s="206"/>
      <c r="AD636" s="194"/>
      <c r="AE636" s="201"/>
      <c r="AF636" s="207"/>
      <c r="AG636" s="208"/>
      <c r="AH636" s="209"/>
      <c r="AI636" s="210"/>
      <c r="AJ636" s="197"/>
      <c r="AK636" s="201"/>
      <c r="AL636" s="196"/>
      <c r="AM636" s="201"/>
      <c r="AN636" s="201"/>
      <c r="AO636" s="201"/>
      <c r="AP636" s="211"/>
      <c r="AQ636" s="212"/>
      <c r="AR636" s="201"/>
      <c r="AS636" s="201"/>
      <c r="AT636" s="201"/>
      <c r="AU636" s="201"/>
      <c r="AV636" s="202"/>
      <c r="AW636" s="194"/>
      <c r="AX636" s="201"/>
      <c r="AY636" s="213"/>
      <c r="AZ636" s="214"/>
      <c r="BA636" s="215"/>
      <c r="BB636" s="216"/>
      <c r="BC636" s="217" t="str">
        <f t="shared" si="117"/>
        <v/>
      </c>
      <c r="BD636" s="218"/>
      <c r="BE636" s="219"/>
      <c r="BF636" s="220"/>
      <c r="BG636" s="219"/>
      <c r="BH636" s="219"/>
      <c r="BI636" s="220"/>
      <c r="BJ636" s="218"/>
      <c r="BK636" s="219"/>
      <c r="BL636" s="197"/>
      <c r="BM636" s="215"/>
      <c r="BN636" s="221"/>
      <c r="BO636" s="222" t="str">
        <f t="shared" si="118"/>
        <v/>
      </c>
      <c r="BP636" s="217" t="str">
        <f t="shared" si="119"/>
        <v/>
      </c>
      <c r="BQ636" s="215"/>
      <c r="BR636" s="224"/>
      <c r="BS636" s="225"/>
      <c r="BT636" s="223"/>
      <c r="BU636" s="215"/>
      <c r="BV636" s="226"/>
      <c r="BW636" s="222" t="str">
        <f t="shared" si="130"/>
        <v/>
      </c>
      <c r="BX636" s="223" t="str">
        <f t="shared" si="121"/>
        <v/>
      </c>
      <c r="BY636" s="215"/>
      <c r="BZ636" s="227"/>
      <c r="CA636" s="227"/>
      <c r="CB636" s="228"/>
      <c r="CC636" s="229"/>
      <c r="CD636" s="230" t="str">
        <f t="shared" si="131"/>
        <v/>
      </c>
      <c r="CE636" s="231" t="str">
        <f t="shared" si="132"/>
        <v/>
      </c>
      <c r="CF636" s="232" t="str">
        <f t="shared" si="133"/>
        <v/>
      </c>
      <c r="CG636" s="233" t="str">
        <f t="shared" si="134"/>
        <v/>
      </c>
      <c r="CH636" s="207" t="str">
        <f>IF(OR(G636="",CC636= ""), "", IF(ISERROR(SMALL((CJ636,CN636,CV636), 1)-CC636), "",  SMALL((CJ636,CN636,CV636), 1)-CC636))</f>
        <v/>
      </c>
      <c r="CI636" s="234"/>
      <c r="CJ636" s="235"/>
      <c r="CK636" s="236"/>
      <c r="CL636" s="222" t="str">
        <f t="shared" si="135"/>
        <v/>
      </c>
      <c r="CM636" s="237" t="str">
        <f>IF(OR(G636="", CJ636="",CK636=""), "", IF(ISERROR(SMALL((CN636,CV636), 1)-CK636), "",  SMALL((CN636,CV636), 1)-CK636))</f>
        <v/>
      </c>
      <c r="CN636" s="235"/>
      <c r="CO636" s="236"/>
      <c r="CP636" s="224" t="str">
        <f t="shared" si="136"/>
        <v/>
      </c>
      <c r="CQ636" s="235"/>
      <c r="CR636" s="236"/>
      <c r="CS636" s="222" t="str">
        <f t="shared" si="137"/>
        <v/>
      </c>
      <c r="CT636" s="237" t="str">
        <f t="shared" si="138"/>
        <v/>
      </c>
      <c r="CU636" s="238"/>
      <c r="CV636" s="239"/>
      <c r="CW636" s="240"/>
    </row>
    <row r="637" spans="2:101" ht="16.5" customHeight="1">
      <c r="B637" s="122"/>
      <c r="E637" s="122"/>
      <c r="F637" s="194"/>
      <c r="G637" s="195"/>
      <c r="H637" s="195"/>
      <c r="I637" s="195"/>
      <c r="J637" s="196"/>
      <c r="K637" s="197"/>
      <c r="L637" s="198"/>
      <c r="M637" s="199"/>
      <c r="N637" s="200"/>
      <c r="O637" s="201"/>
      <c r="P637" s="201"/>
      <c r="Q637" s="201"/>
      <c r="R637" s="201"/>
      <c r="S637" s="201"/>
      <c r="T637" s="201"/>
      <c r="U637" s="201"/>
      <c r="V637" s="201"/>
      <c r="W637" s="201"/>
      <c r="X637" s="202"/>
      <c r="Y637" s="203"/>
      <c r="Z637" s="204"/>
      <c r="AA637" s="205"/>
      <c r="AB637" s="206"/>
      <c r="AC637" s="206"/>
      <c r="AD637" s="194"/>
      <c r="AE637" s="201"/>
      <c r="AF637" s="207"/>
      <c r="AG637" s="208"/>
      <c r="AH637" s="209"/>
      <c r="AI637" s="210"/>
      <c r="AJ637" s="197"/>
      <c r="AK637" s="201"/>
      <c r="AL637" s="196"/>
      <c r="AM637" s="201"/>
      <c r="AN637" s="201"/>
      <c r="AO637" s="201"/>
      <c r="AP637" s="211"/>
      <c r="AQ637" s="212"/>
      <c r="AR637" s="201"/>
      <c r="AS637" s="201"/>
      <c r="AT637" s="201"/>
      <c r="AU637" s="201"/>
      <c r="AV637" s="202"/>
      <c r="AW637" s="194"/>
      <c r="AX637" s="201"/>
      <c r="AY637" s="213"/>
      <c r="AZ637" s="214"/>
      <c r="BA637" s="215"/>
      <c r="BB637" s="216"/>
      <c r="BC637" s="217" t="str">
        <f t="shared" si="117"/>
        <v/>
      </c>
      <c r="BD637" s="218"/>
      <c r="BE637" s="219"/>
      <c r="BF637" s="220"/>
      <c r="BG637" s="219"/>
      <c r="BH637" s="219"/>
      <c r="BI637" s="220"/>
      <c r="BJ637" s="218"/>
      <c r="BK637" s="219"/>
      <c r="BL637" s="197"/>
      <c r="BM637" s="215"/>
      <c r="BN637" s="221"/>
      <c r="BO637" s="222" t="str">
        <f t="shared" si="118"/>
        <v/>
      </c>
      <c r="BP637" s="217" t="str">
        <f t="shared" si="119"/>
        <v/>
      </c>
      <c r="BQ637" s="215"/>
      <c r="BR637" s="224"/>
      <c r="BS637" s="225"/>
      <c r="BT637" s="223"/>
      <c r="BU637" s="215"/>
      <c r="BV637" s="226"/>
      <c r="BW637" s="222" t="str">
        <f t="shared" si="130"/>
        <v/>
      </c>
      <c r="BX637" s="223" t="str">
        <f t="shared" si="121"/>
        <v/>
      </c>
      <c r="BY637" s="215"/>
      <c r="BZ637" s="227"/>
      <c r="CA637" s="227"/>
      <c r="CB637" s="228"/>
      <c r="CC637" s="229"/>
      <c r="CD637" s="230" t="str">
        <f t="shared" si="131"/>
        <v/>
      </c>
      <c r="CE637" s="231" t="str">
        <f t="shared" si="132"/>
        <v/>
      </c>
      <c r="CF637" s="232" t="str">
        <f t="shared" si="133"/>
        <v/>
      </c>
      <c r="CG637" s="233" t="str">
        <f t="shared" si="134"/>
        <v/>
      </c>
      <c r="CH637" s="207" t="str">
        <f>IF(OR(G637="",CC637= ""), "", IF(ISERROR(SMALL((CJ637,CN637,CV637), 1)-CC637), "",  SMALL((CJ637,CN637,CV637), 1)-CC637))</f>
        <v/>
      </c>
      <c r="CI637" s="234"/>
      <c r="CJ637" s="235"/>
      <c r="CK637" s="236"/>
      <c r="CL637" s="222" t="str">
        <f t="shared" si="135"/>
        <v/>
      </c>
      <c r="CM637" s="237" t="str">
        <f>IF(OR(G637="", CJ637="",CK637=""), "", IF(ISERROR(SMALL((CN637,CV637), 1)-CK637), "",  SMALL((CN637,CV637), 1)-CK637))</f>
        <v/>
      </c>
      <c r="CN637" s="235"/>
      <c r="CO637" s="236"/>
      <c r="CP637" s="224" t="str">
        <f t="shared" si="136"/>
        <v/>
      </c>
      <c r="CQ637" s="235"/>
      <c r="CR637" s="236"/>
      <c r="CS637" s="222" t="str">
        <f t="shared" si="137"/>
        <v/>
      </c>
      <c r="CT637" s="237" t="str">
        <f t="shared" si="138"/>
        <v/>
      </c>
      <c r="CU637" s="238"/>
      <c r="CV637" s="239"/>
      <c r="CW637" s="240"/>
    </row>
    <row r="638" spans="2:101" ht="16.5" customHeight="1">
      <c r="B638" s="122"/>
      <c r="E638" s="122"/>
      <c r="F638" s="194"/>
      <c r="G638" s="195"/>
      <c r="H638" s="195"/>
      <c r="I638" s="195"/>
      <c r="J638" s="196"/>
      <c r="K638" s="197"/>
      <c r="L638" s="198"/>
      <c r="M638" s="199"/>
      <c r="N638" s="200"/>
      <c r="O638" s="201"/>
      <c r="P638" s="201"/>
      <c r="Q638" s="201"/>
      <c r="R638" s="201"/>
      <c r="S638" s="201"/>
      <c r="T638" s="201"/>
      <c r="U638" s="201"/>
      <c r="V638" s="201"/>
      <c r="W638" s="201"/>
      <c r="X638" s="202"/>
      <c r="Y638" s="203"/>
      <c r="Z638" s="204"/>
      <c r="AA638" s="205"/>
      <c r="AB638" s="206"/>
      <c r="AC638" s="206"/>
      <c r="AD638" s="194"/>
      <c r="AE638" s="201"/>
      <c r="AF638" s="207"/>
      <c r="AG638" s="208"/>
      <c r="AH638" s="209"/>
      <c r="AI638" s="210"/>
      <c r="AJ638" s="197"/>
      <c r="AK638" s="201"/>
      <c r="AL638" s="196"/>
      <c r="AM638" s="201"/>
      <c r="AN638" s="201"/>
      <c r="AO638" s="201"/>
      <c r="AP638" s="211"/>
      <c r="AQ638" s="212"/>
      <c r="AR638" s="201"/>
      <c r="AS638" s="201"/>
      <c r="AT638" s="201"/>
      <c r="AU638" s="201"/>
      <c r="AV638" s="202"/>
      <c r="AW638" s="194"/>
      <c r="AX638" s="201"/>
      <c r="AY638" s="213"/>
      <c r="AZ638" s="214"/>
      <c r="BA638" s="215"/>
      <c r="BB638" s="216"/>
      <c r="BC638" s="217" t="str">
        <f t="shared" si="117"/>
        <v/>
      </c>
      <c r="BD638" s="218"/>
      <c r="BE638" s="219"/>
      <c r="BF638" s="220"/>
      <c r="BG638" s="219"/>
      <c r="BH638" s="219"/>
      <c r="BI638" s="220"/>
      <c r="BJ638" s="218"/>
      <c r="BK638" s="219"/>
      <c r="BL638" s="197"/>
      <c r="BM638" s="215"/>
      <c r="BN638" s="221"/>
      <c r="BO638" s="222" t="str">
        <f t="shared" si="118"/>
        <v/>
      </c>
      <c r="BP638" s="217" t="str">
        <f t="shared" si="119"/>
        <v/>
      </c>
      <c r="BQ638" s="215"/>
      <c r="BR638" s="224"/>
      <c r="BS638" s="225"/>
      <c r="BT638" s="223"/>
      <c r="BU638" s="215"/>
      <c r="BV638" s="226"/>
      <c r="BW638" s="222" t="str">
        <f t="shared" si="130"/>
        <v/>
      </c>
      <c r="BX638" s="223" t="str">
        <f t="shared" si="121"/>
        <v/>
      </c>
      <c r="BY638" s="215"/>
      <c r="BZ638" s="227"/>
      <c r="CA638" s="227"/>
      <c r="CB638" s="228"/>
      <c r="CC638" s="229"/>
      <c r="CD638" s="230" t="str">
        <f t="shared" si="131"/>
        <v/>
      </c>
      <c r="CE638" s="231" t="str">
        <f t="shared" si="132"/>
        <v/>
      </c>
      <c r="CF638" s="232" t="str">
        <f t="shared" si="133"/>
        <v/>
      </c>
      <c r="CG638" s="233" t="str">
        <f t="shared" si="134"/>
        <v/>
      </c>
      <c r="CH638" s="207" t="str">
        <f>IF(OR(G638="",CC638= ""), "", IF(ISERROR(SMALL((CJ638,CN638,CV638), 1)-CC638), "",  SMALL((CJ638,CN638,CV638), 1)-CC638))</f>
        <v/>
      </c>
      <c r="CI638" s="234"/>
      <c r="CJ638" s="235"/>
      <c r="CK638" s="236"/>
      <c r="CL638" s="222" t="str">
        <f t="shared" si="135"/>
        <v/>
      </c>
      <c r="CM638" s="237" t="str">
        <f>IF(OR(G638="", CJ638="",CK638=""), "", IF(ISERROR(SMALL((CN638,CV638), 1)-CK638), "",  SMALL((CN638,CV638), 1)-CK638))</f>
        <v/>
      </c>
      <c r="CN638" s="235"/>
      <c r="CO638" s="236"/>
      <c r="CP638" s="224" t="str">
        <f t="shared" si="136"/>
        <v/>
      </c>
      <c r="CQ638" s="235"/>
      <c r="CR638" s="236"/>
      <c r="CS638" s="222" t="str">
        <f t="shared" si="137"/>
        <v/>
      </c>
      <c r="CT638" s="237" t="str">
        <f t="shared" si="138"/>
        <v/>
      </c>
      <c r="CU638" s="238"/>
      <c r="CV638" s="239"/>
      <c r="CW638" s="240"/>
    </row>
    <row r="639" spans="2:101" ht="16.5" customHeight="1">
      <c r="B639" s="122"/>
      <c r="E639" s="122"/>
      <c r="F639" s="194"/>
      <c r="G639" s="195"/>
      <c r="H639" s="195"/>
      <c r="I639" s="195"/>
      <c r="J639" s="196"/>
      <c r="K639" s="197"/>
      <c r="L639" s="198"/>
      <c r="M639" s="199"/>
      <c r="N639" s="200"/>
      <c r="O639" s="201"/>
      <c r="P639" s="201"/>
      <c r="Q639" s="201"/>
      <c r="R639" s="201"/>
      <c r="S639" s="201"/>
      <c r="T639" s="201"/>
      <c r="U639" s="201"/>
      <c r="V639" s="201"/>
      <c r="W639" s="201"/>
      <c r="X639" s="202"/>
      <c r="Y639" s="203"/>
      <c r="Z639" s="204"/>
      <c r="AA639" s="205"/>
      <c r="AB639" s="206"/>
      <c r="AC639" s="206"/>
      <c r="AD639" s="194"/>
      <c r="AE639" s="201"/>
      <c r="AF639" s="207"/>
      <c r="AG639" s="208"/>
      <c r="AH639" s="209"/>
      <c r="AI639" s="210"/>
      <c r="AJ639" s="197"/>
      <c r="AK639" s="201"/>
      <c r="AL639" s="196"/>
      <c r="AM639" s="201"/>
      <c r="AN639" s="201"/>
      <c r="AO639" s="201"/>
      <c r="AP639" s="211"/>
      <c r="AQ639" s="212"/>
      <c r="AR639" s="201"/>
      <c r="AS639" s="201"/>
      <c r="AT639" s="201"/>
      <c r="AU639" s="201"/>
      <c r="AV639" s="202"/>
      <c r="AW639" s="194"/>
      <c r="AX639" s="201"/>
      <c r="AY639" s="213"/>
      <c r="AZ639" s="214"/>
      <c r="BA639" s="215"/>
      <c r="BB639" s="216"/>
      <c r="BC639" s="217" t="str">
        <f t="shared" si="117"/>
        <v/>
      </c>
      <c r="BD639" s="218"/>
      <c r="BE639" s="219"/>
      <c r="BF639" s="220"/>
      <c r="BG639" s="219"/>
      <c r="BH639" s="219"/>
      <c r="BI639" s="220"/>
      <c r="BJ639" s="218"/>
      <c r="BK639" s="219"/>
      <c r="BL639" s="197"/>
      <c r="BM639" s="215"/>
      <c r="BN639" s="221"/>
      <c r="BO639" s="222" t="str">
        <f t="shared" si="118"/>
        <v/>
      </c>
      <c r="BP639" s="217" t="str">
        <f t="shared" si="119"/>
        <v/>
      </c>
      <c r="BQ639" s="215"/>
      <c r="BR639" s="224"/>
      <c r="BS639" s="225"/>
      <c r="BT639" s="223"/>
      <c r="BU639" s="215"/>
      <c r="BV639" s="226"/>
      <c r="BW639" s="222" t="str">
        <f t="shared" si="130"/>
        <v/>
      </c>
      <c r="BX639" s="223" t="str">
        <f t="shared" si="121"/>
        <v/>
      </c>
      <c r="BY639" s="215"/>
      <c r="BZ639" s="227"/>
      <c r="CA639" s="227"/>
      <c r="CB639" s="228"/>
      <c r="CC639" s="229"/>
      <c r="CD639" s="230" t="str">
        <f t="shared" si="131"/>
        <v/>
      </c>
      <c r="CE639" s="231" t="str">
        <f t="shared" si="132"/>
        <v/>
      </c>
      <c r="CF639" s="232" t="str">
        <f t="shared" si="133"/>
        <v/>
      </c>
      <c r="CG639" s="233" t="str">
        <f t="shared" si="134"/>
        <v/>
      </c>
      <c r="CH639" s="207" t="str">
        <f>IF(OR(G639="",CC639= ""), "", IF(ISERROR(SMALL((CJ639,CN639,CV639), 1)-CC639), "",  SMALL((CJ639,CN639,CV639), 1)-CC639))</f>
        <v/>
      </c>
      <c r="CI639" s="234"/>
      <c r="CJ639" s="235"/>
      <c r="CK639" s="236"/>
      <c r="CL639" s="222" t="str">
        <f t="shared" si="135"/>
        <v/>
      </c>
      <c r="CM639" s="237" t="str">
        <f>IF(OR(G639="", CJ639="",CK639=""), "", IF(ISERROR(SMALL((CN639,CV639), 1)-CK639), "",  SMALL((CN639,CV639), 1)-CK639))</f>
        <v/>
      </c>
      <c r="CN639" s="235"/>
      <c r="CO639" s="236"/>
      <c r="CP639" s="224" t="str">
        <f t="shared" si="136"/>
        <v/>
      </c>
      <c r="CQ639" s="235"/>
      <c r="CR639" s="236"/>
      <c r="CS639" s="222" t="str">
        <f t="shared" si="137"/>
        <v/>
      </c>
      <c r="CT639" s="237" t="str">
        <f t="shared" si="138"/>
        <v/>
      </c>
      <c r="CU639" s="238"/>
      <c r="CV639" s="239"/>
      <c r="CW639" s="240"/>
    </row>
    <row r="640" spans="2:101" ht="16.5" customHeight="1">
      <c r="B640" s="122"/>
      <c r="E640" s="122"/>
      <c r="F640" s="194"/>
      <c r="G640" s="195"/>
      <c r="H640" s="195"/>
      <c r="I640" s="195"/>
      <c r="J640" s="196"/>
      <c r="K640" s="197"/>
      <c r="L640" s="198"/>
      <c r="M640" s="199"/>
      <c r="N640" s="200"/>
      <c r="O640" s="201"/>
      <c r="P640" s="201"/>
      <c r="Q640" s="201"/>
      <c r="R640" s="201"/>
      <c r="S640" s="201"/>
      <c r="T640" s="201"/>
      <c r="U640" s="201"/>
      <c r="V640" s="201"/>
      <c r="W640" s="201"/>
      <c r="X640" s="202"/>
      <c r="Y640" s="203"/>
      <c r="Z640" s="204"/>
      <c r="AA640" s="205"/>
      <c r="AB640" s="206"/>
      <c r="AC640" s="206"/>
      <c r="AD640" s="194"/>
      <c r="AE640" s="201"/>
      <c r="AF640" s="207"/>
      <c r="AG640" s="208"/>
      <c r="AH640" s="209"/>
      <c r="AI640" s="210"/>
      <c r="AJ640" s="197"/>
      <c r="AK640" s="201"/>
      <c r="AL640" s="196"/>
      <c r="AM640" s="201"/>
      <c r="AN640" s="201"/>
      <c r="AO640" s="201"/>
      <c r="AP640" s="211"/>
      <c r="AQ640" s="212"/>
      <c r="AR640" s="201"/>
      <c r="AS640" s="201"/>
      <c r="AT640" s="201"/>
      <c r="AU640" s="201"/>
      <c r="AV640" s="202"/>
      <c r="AW640" s="194"/>
      <c r="AX640" s="201"/>
      <c r="AY640" s="213"/>
      <c r="AZ640" s="214"/>
      <c r="BA640" s="215"/>
      <c r="BB640" s="216"/>
      <c r="BC640" s="217" t="str">
        <f t="shared" si="117"/>
        <v/>
      </c>
      <c r="BD640" s="218"/>
      <c r="BE640" s="219"/>
      <c r="BF640" s="220"/>
      <c r="BG640" s="219"/>
      <c r="BH640" s="219"/>
      <c r="BI640" s="220"/>
      <c r="BJ640" s="218"/>
      <c r="BK640" s="219"/>
      <c r="BL640" s="197"/>
      <c r="BM640" s="215"/>
      <c r="BN640" s="221"/>
      <c r="BO640" s="222" t="str">
        <f t="shared" si="118"/>
        <v/>
      </c>
      <c r="BP640" s="217" t="str">
        <f t="shared" si="119"/>
        <v/>
      </c>
      <c r="BQ640" s="215"/>
      <c r="BR640" s="224"/>
      <c r="BS640" s="225"/>
      <c r="BT640" s="223"/>
      <c r="BU640" s="215"/>
      <c r="BV640" s="226"/>
      <c r="BW640" s="222" t="str">
        <f t="shared" si="130"/>
        <v/>
      </c>
      <c r="BX640" s="223" t="str">
        <f t="shared" si="121"/>
        <v/>
      </c>
      <c r="BY640" s="215"/>
      <c r="BZ640" s="227"/>
      <c r="CA640" s="227"/>
      <c r="CB640" s="228"/>
      <c r="CC640" s="229"/>
      <c r="CD640" s="230" t="str">
        <f t="shared" si="131"/>
        <v/>
      </c>
      <c r="CE640" s="231" t="str">
        <f t="shared" si="132"/>
        <v/>
      </c>
      <c r="CF640" s="232" t="str">
        <f t="shared" si="133"/>
        <v/>
      </c>
      <c r="CG640" s="233" t="str">
        <f t="shared" si="134"/>
        <v/>
      </c>
      <c r="CH640" s="207" t="str">
        <f>IF(OR(G640="",CC640= ""), "", IF(ISERROR(SMALL((CJ640,CN640,CV640), 1)-CC640), "",  SMALL((CJ640,CN640,CV640), 1)-CC640))</f>
        <v/>
      </c>
      <c r="CI640" s="234"/>
      <c r="CJ640" s="235"/>
      <c r="CK640" s="236"/>
      <c r="CL640" s="222" t="str">
        <f t="shared" si="135"/>
        <v/>
      </c>
      <c r="CM640" s="237" t="str">
        <f>IF(OR(G640="", CJ640="",CK640=""), "", IF(ISERROR(SMALL((CN640,CV640), 1)-CK640), "",  SMALL((CN640,CV640), 1)-CK640))</f>
        <v/>
      </c>
      <c r="CN640" s="235"/>
      <c r="CO640" s="236"/>
      <c r="CP640" s="224" t="str">
        <f t="shared" si="136"/>
        <v/>
      </c>
      <c r="CQ640" s="235"/>
      <c r="CR640" s="236"/>
      <c r="CS640" s="222" t="str">
        <f t="shared" si="137"/>
        <v/>
      </c>
      <c r="CT640" s="237" t="str">
        <f t="shared" si="138"/>
        <v/>
      </c>
      <c r="CU640" s="238"/>
      <c r="CV640" s="239"/>
      <c r="CW640" s="240"/>
    </row>
    <row r="641" spans="2:101" ht="16.5" customHeight="1">
      <c r="B641" s="122"/>
      <c r="E641" s="122"/>
      <c r="F641" s="194"/>
      <c r="G641" s="195"/>
      <c r="H641" s="195"/>
      <c r="I641" s="195"/>
      <c r="J641" s="196"/>
      <c r="K641" s="197"/>
      <c r="L641" s="198"/>
      <c r="M641" s="199"/>
      <c r="N641" s="200"/>
      <c r="O641" s="201"/>
      <c r="P641" s="201"/>
      <c r="Q641" s="201"/>
      <c r="R641" s="201"/>
      <c r="S641" s="201"/>
      <c r="T641" s="201"/>
      <c r="U641" s="201"/>
      <c r="V641" s="201"/>
      <c r="W641" s="201"/>
      <c r="X641" s="202"/>
      <c r="Y641" s="203"/>
      <c r="Z641" s="204"/>
      <c r="AA641" s="205"/>
      <c r="AB641" s="206"/>
      <c r="AC641" s="206"/>
      <c r="AD641" s="194"/>
      <c r="AE641" s="201"/>
      <c r="AF641" s="207"/>
      <c r="AG641" s="208"/>
      <c r="AH641" s="209"/>
      <c r="AI641" s="210"/>
      <c r="AJ641" s="197"/>
      <c r="AK641" s="201"/>
      <c r="AL641" s="196"/>
      <c r="AM641" s="201"/>
      <c r="AN641" s="201"/>
      <c r="AO641" s="201"/>
      <c r="AP641" s="211"/>
      <c r="AQ641" s="212"/>
      <c r="AR641" s="201"/>
      <c r="AS641" s="201"/>
      <c r="AT641" s="201"/>
      <c r="AU641" s="201"/>
      <c r="AV641" s="202"/>
      <c r="AW641" s="194"/>
      <c r="AX641" s="201"/>
      <c r="AY641" s="213"/>
      <c r="AZ641" s="214"/>
      <c r="BA641" s="215"/>
      <c r="BB641" s="216"/>
      <c r="BC641" s="217" t="str">
        <f t="shared" si="117"/>
        <v/>
      </c>
      <c r="BD641" s="218"/>
      <c r="BE641" s="219"/>
      <c r="BF641" s="220"/>
      <c r="BG641" s="219"/>
      <c r="BH641" s="219"/>
      <c r="BI641" s="220"/>
      <c r="BJ641" s="218"/>
      <c r="BK641" s="219"/>
      <c r="BL641" s="197"/>
      <c r="BM641" s="215"/>
      <c r="BN641" s="221"/>
      <c r="BO641" s="222" t="str">
        <f t="shared" si="118"/>
        <v/>
      </c>
      <c r="BP641" s="217" t="str">
        <f t="shared" si="119"/>
        <v/>
      </c>
      <c r="BQ641" s="215"/>
      <c r="BR641" s="224"/>
      <c r="BS641" s="225"/>
      <c r="BT641" s="223"/>
      <c r="BU641" s="215"/>
      <c r="BV641" s="226"/>
      <c r="BW641" s="222" t="str">
        <f t="shared" si="130"/>
        <v/>
      </c>
      <c r="BX641" s="223" t="str">
        <f t="shared" si="121"/>
        <v/>
      </c>
      <c r="BY641" s="215"/>
      <c r="BZ641" s="227"/>
      <c r="CA641" s="227"/>
      <c r="CB641" s="228"/>
      <c r="CC641" s="229"/>
      <c r="CD641" s="230" t="str">
        <f t="shared" si="131"/>
        <v/>
      </c>
      <c r="CE641" s="231" t="str">
        <f t="shared" si="132"/>
        <v/>
      </c>
      <c r="CF641" s="232" t="str">
        <f t="shared" si="133"/>
        <v/>
      </c>
      <c r="CG641" s="233" t="str">
        <f t="shared" si="134"/>
        <v/>
      </c>
      <c r="CH641" s="207" t="str">
        <f>IF(OR(G641="",CC641= ""), "", IF(ISERROR(SMALL((CJ641,CN641,CV641), 1)-CC641), "",  SMALL((CJ641,CN641,CV641), 1)-CC641))</f>
        <v/>
      </c>
      <c r="CI641" s="234"/>
      <c r="CJ641" s="235"/>
      <c r="CK641" s="236"/>
      <c r="CL641" s="222" t="str">
        <f t="shared" si="135"/>
        <v/>
      </c>
      <c r="CM641" s="237" t="str">
        <f>IF(OR(G641="", CJ641="",CK641=""), "", IF(ISERROR(SMALL((CN641,CV641), 1)-CK641), "",  SMALL((CN641,CV641), 1)-CK641))</f>
        <v/>
      </c>
      <c r="CN641" s="235"/>
      <c r="CO641" s="236"/>
      <c r="CP641" s="224" t="str">
        <f t="shared" si="136"/>
        <v/>
      </c>
      <c r="CQ641" s="235"/>
      <c r="CR641" s="236"/>
      <c r="CS641" s="222" t="str">
        <f t="shared" si="137"/>
        <v/>
      </c>
      <c r="CT641" s="237" t="str">
        <f t="shared" si="138"/>
        <v/>
      </c>
      <c r="CU641" s="238"/>
      <c r="CV641" s="239"/>
      <c r="CW641" s="240"/>
    </row>
    <row r="642" spans="2:101" ht="16.5" customHeight="1">
      <c r="B642" s="122"/>
      <c r="E642" s="122"/>
      <c r="F642" s="194"/>
      <c r="G642" s="195"/>
      <c r="H642" s="195"/>
      <c r="I642" s="195"/>
      <c r="J642" s="196"/>
      <c r="K642" s="197"/>
      <c r="L642" s="198"/>
      <c r="M642" s="199"/>
      <c r="N642" s="200"/>
      <c r="O642" s="201"/>
      <c r="P642" s="201"/>
      <c r="Q642" s="201"/>
      <c r="R642" s="201"/>
      <c r="S642" s="201"/>
      <c r="T642" s="201"/>
      <c r="U642" s="201"/>
      <c r="V642" s="201"/>
      <c r="W642" s="201"/>
      <c r="X642" s="202"/>
      <c r="Y642" s="203"/>
      <c r="Z642" s="204"/>
      <c r="AA642" s="205"/>
      <c r="AB642" s="206"/>
      <c r="AC642" s="206"/>
      <c r="AD642" s="194"/>
      <c r="AE642" s="201"/>
      <c r="AF642" s="207"/>
      <c r="AG642" s="208"/>
      <c r="AH642" s="209"/>
      <c r="AI642" s="210"/>
      <c r="AJ642" s="197"/>
      <c r="AK642" s="201"/>
      <c r="AL642" s="196"/>
      <c r="AM642" s="201"/>
      <c r="AN642" s="201"/>
      <c r="AO642" s="201"/>
      <c r="AP642" s="211"/>
      <c r="AQ642" s="212"/>
      <c r="AR642" s="201"/>
      <c r="AS642" s="201"/>
      <c r="AT642" s="201"/>
      <c r="AU642" s="201"/>
      <c r="AV642" s="202"/>
      <c r="AW642" s="194"/>
      <c r="AX642" s="201"/>
      <c r="AY642" s="213"/>
      <c r="AZ642" s="214"/>
      <c r="BA642" s="215"/>
      <c r="BB642" s="216"/>
      <c r="BC642" s="217" t="str">
        <f t="shared" si="117"/>
        <v/>
      </c>
      <c r="BD642" s="218"/>
      <c r="BE642" s="219"/>
      <c r="BF642" s="220"/>
      <c r="BG642" s="219"/>
      <c r="BH642" s="219"/>
      <c r="BI642" s="220"/>
      <c r="BJ642" s="218"/>
      <c r="BK642" s="219"/>
      <c r="BL642" s="197"/>
      <c r="BM642" s="215"/>
      <c r="BN642" s="221"/>
      <c r="BO642" s="222" t="str">
        <f t="shared" si="118"/>
        <v/>
      </c>
      <c r="BP642" s="217" t="str">
        <f t="shared" si="119"/>
        <v/>
      </c>
      <c r="BQ642" s="215"/>
      <c r="BR642" s="224"/>
      <c r="BS642" s="225"/>
      <c r="BT642" s="223"/>
      <c r="BU642" s="215"/>
      <c r="BV642" s="226"/>
      <c r="BW642" s="222" t="str">
        <f t="shared" si="130"/>
        <v/>
      </c>
      <c r="BX642" s="223" t="str">
        <f t="shared" si="121"/>
        <v/>
      </c>
      <c r="BY642" s="215"/>
      <c r="BZ642" s="227"/>
      <c r="CA642" s="227"/>
      <c r="CB642" s="228"/>
      <c r="CC642" s="229"/>
      <c r="CD642" s="230" t="str">
        <f t="shared" si="131"/>
        <v/>
      </c>
      <c r="CE642" s="231" t="str">
        <f t="shared" si="132"/>
        <v/>
      </c>
      <c r="CF642" s="232" t="str">
        <f t="shared" si="133"/>
        <v/>
      </c>
      <c r="CG642" s="233" t="str">
        <f t="shared" si="134"/>
        <v/>
      </c>
      <c r="CH642" s="207" t="str">
        <f>IF(OR(G642="",CC642= ""), "", IF(ISERROR(SMALL((CJ642,CN642,CV642), 1)-CC642), "",  SMALL((CJ642,CN642,CV642), 1)-CC642))</f>
        <v/>
      </c>
      <c r="CI642" s="234"/>
      <c r="CJ642" s="235"/>
      <c r="CK642" s="236"/>
      <c r="CL642" s="222" t="str">
        <f t="shared" si="135"/>
        <v/>
      </c>
      <c r="CM642" s="237" t="str">
        <f>IF(OR(G642="", CJ642="",CK642=""), "", IF(ISERROR(SMALL((CN642,CV642), 1)-CK642), "",  SMALL((CN642,CV642), 1)-CK642))</f>
        <v/>
      </c>
      <c r="CN642" s="235"/>
      <c r="CO642" s="236"/>
      <c r="CP642" s="224" t="str">
        <f t="shared" si="136"/>
        <v/>
      </c>
      <c r="CQ642" s="235"/>
      <c r="CR642" s="236"/>
      <c r="CS642" s="222" t="str">
        <f t="shared" si="137"/>
        <v/>
      </c>
      <c r="CT642" s="237" t="str">
        <f t="shared" si="138"/>
        <v/>
      </c>
      <c r="CU642" s="238"/>
      <c r="CV642" s="239"/>
      <c r="CW642" s="240"/>
    </row>
    <row r="643" spans="2:101" ht="16.5" customHeight="1">
      <c r="B643" s="122"/>
      <c r="E643" s="122"/>
      <c r="F643" s="194"/>
      <c r="G643" s="195"/>
      <c r="H643" s="195"/>
      <c r="I643" s="195"/>
      <c r="J643" s="196"/>
      <c r="K643" s="197"/>
      <c r="L643" s="198"/>
      <c r="M643" s="199"/>
      <c r="N643" s="200"/>
      <c r="O643" s="201"/>
      <c r="P643" s="201"/>
      <c r="Q643" s="201"/>
      <c r="R643" s="201"/>
      <c r="S643" s="201"/>
      <c r="T643" s="201"/>
      <c r="U643" s="201"/>
      <c r="V643" s="201"/>
      <c r="W643" s="201"/>
      <c r="X643" s="202"/>
      <c r="Y643" s="203"/>
      <c r="Z643" s="204"/>
      <c r="AA643" s="205"/>
      <c r="AB643" s="206"/>
      <c r="AC643" s="206"/>
      <c r="AD643" s="194"/>
      <c r="AE643" s="201"/>
      <c r="AF643" s="207"/>
      <c r="AG643" s="208"/>
      <c r="AH643" s="209"/>
      <c r="AI643" s="210"/>
      <c r="AJ643" s="197"/>
      <c r="AK643" s="201"/>
      <c r="AL643" s="196"/>
      <c r="AM643" s="201"/>
      <c r="AN643" s="201"/>
      <c r="AO643" s="201"/>
      <c r="AP643" s="211"/>
      <c r="AQ643" s="212"/>
      <c r="AR643" s="201"/>
      <c r="AS643" s="201"/>
      <c r="AT643" s="201"/>
      <c r="AU643" s="201"/>
      <c r="AV643" s="202"/>
      <c r="AW643" s="194"/>
      <c r="AX643" s="201"/>
      <c r="AY643" s="213"/>
      <c r="AZ643" s="214"/>
      <c r="BA643" s="215"/>
      <c r="BB643" s="216"/>
      <c r="BC643" s="217" t="str">
        <f t="shared" si="117"/>
        <v/>
      </c>
      <c r="BD643" s="218"/>
      <c r="BE643" s="219"/>
      <c r="BF643" s="220"/>
      <c r="BG643" s="219"/>
      <c r="BH643" s="219"/>
      <c r="BI643" s="220"/>
      <c r="BJ643" s="218"/>
      <c r="BK643" s="219"/>
      <c r="BL643" s="197"/>
      <c r="BM643" s="215"/>
      <c r="BN643" s="221"/>
      <c r="BO643" s="222" t="str">
        <f t="shared" si="118"/>
        <v/>
      </c>
      <c r="BP643" s="217" t="str">
        <f t="shared" si="119"/>
        <v/>
      </c>
      <c r="BQ643" s="215"/>
      <c r="BR643" s="224"/>
      <c r="BS643" s="225"/>
      <c r="BT643" s="223"/>
      <c r="BU643" s="215"/>
      <c r="BV643" s="226"/>
      <c r="BW643" s="222" t="str">
        <f t="shared" si="130"/>
        <v/>
      </c>
      <c r="BX643" s="223" t="str">
        <f t="shared" si="121"/>
        <v/>
      </c>
      <c r="BY643" s="215"/>
      <c r="BZ643" s="227"/>
      <c r="CA643" s="227"/>
      <c r="CB643" s="228"/>
      <c r="CC643" s="229"/>
      <c r="CD643" s="230" t="str">
        <f t="shared" si="131"/>
        <v/>
      </c>
      <c r="CE643" s="231" t="str">
        <f t="shared" si="132"/>
        <v/>
      </c>
      <c r="CF643" s="232" t="str">
        <f t="shared" si="133"/>
        <v/>
      </c>
      <c r="CG643" s="233" t="str">
        <f t="shared" si="134"/>
        <v/>
      </c>
      <c r="CH643" s="207" t="str">
        <f>IF(OR(G643="",CC643= ""), "", IF(ISERROR(SMALL((CJ643,CN643,CV643), 1)-CC643), "",  SMALL((CJ643,CN643,CV643), 1)-CC643))</f>
        <v/>
      </c>
      <c r="CI643" s="234"/>
      <c r="CJ643" s="235"/>
      <c r="CK643" s="236"/>
      <c r="CL643" s="222" t="str">
        <f t="shared" si="135"/>
        <v/>
      </c>
      <c r="CM643" s="237" t="str">
        <f>IF(OR(G643="", CJ643="",CK643=""), "", IF(ISERROR(SMALL((CN643,CV643), 1)-CK643), "",  SMALL((CN643,CV643), 1)-CK643))</f>
        <v/>
      </c>
      <c r="CN643" s="235"/>
      <c r="CO643" s="236"/>
      <c r="CP643" s="224" t="str">
        <f t="shared" si="136"/>
        <v/>
      </c>
      <c r="CQ643" s="235"/>
      <c r="CR643" s="236"/>
      <c r="CS643" s="222" t="str">
        <f t="shared" si="137"/>
        <v/>
      </c>
      <c r="CT643" s="237" t="str">
        <f t="shared" si="138"/>
        <v/>
      </c>
      <c r="CU643" s="238"/>
      <c r="CV643" s="239"/>
      <c r="CW643" s="240"/>
    </row>
    <row r="644" spans="2:101" ht="16.5" customHeight="1">
      <c r="B644" s="122"/>
      <c r="E644" s="122"/>
      <c r="F644" s="194"/>
      <c r="G644" s="195"/>
      <c r="H644" s="195"/>
      <c r="I644" s="195"/>
      <c r="J644" s="196"/>
      <c r="K644" s="197"/>
      <c r="L644" s="198"/>
      <c r="M644" s="199"/>
      <c r="N644" s="200"/>
      <c r="O644" s="201"/>
      <c r="P644" s="201"/>
      <c r="Q644" s="201"/>
      <c r="R644" s="201"/>
      <c r="S644" s="201"/>
      <c r="T644" s="201"/>
      <c r="U644" s="201"/>
      <c r="V644" s="201"/>
      <c r="W644" s="201"/>
      <c r="X644" s="202"/>
      <c r="Y644" s="203"/>
      <c r="Z644" s="204"/>
      <c r="AA644" s="205"/>
      <c r="AB644" s="206"/>
      <c r="AC644" s="206"/>
      <c r="AD644" s="194"/>
      <c r="AE644" s="201"/>
      <c r="AF644" s="207"/>
      <c r="AG644" s="208"/>
      <c r="AH644" s="209"/>
      <c r="AI644" s="210"/>
      <c r="AJ644" s="197"/>
      <c r="AK644" s="201"/>
      <c r="AL644" s="196"/>
      <c r="AM644" s="201"/>
      <c r="AN644" s="201"/>
      <c r="AO644" s="201"/>
      <c r="AP644" s="211"/>
      <c r="AQ644" s="212"/>
      <c r="AR644" s="201"/>
      <c r="AS644" s="201"/>
      <c r="AT644" s="201"/>
      <c r="AU644" s="201"/>
      <c r="AV644" s="202"/>
      <c r="AW644" s="194"/>
      <c r="AX644" s="201"/>
      <c r="AY644" s="213"/>
      <c r="AZ644" s="214"/>
      <c r="BA644" s="215"/>
      <c r="BB644" s="216"/>
      <c r="BC644" s="217" t="str">
        <f t="shared" si="117"/>
        <v/>
      </c>
      <c r="BD644" s="218"/>
      <c r="BE644" s="219"/>
      <c r="BF644" s="220"/>
      <c r="BG644" s="219"/>
      <c r="BH644" s="219"/>
      <c r="BI644" s="220"/>
      <c r="BJ644" s="218"/>
      <c r="BK644" s="219"/>
      <c r="BL644" s="197"/>
      <c r="BM644" s="215"/>
      <c r="BN644" s="221"/>
      <c r="BO644" s="222" t="str">
        <f t="shared" si="118"/>
        <v/>
      </c>
      <c r="BP644" s="217" t="str">
        <f t="shared" si="119"/>
        <v/>
      </c>
      <c r="BQ644" s="215"/>
      <c r="BR644" s="224"/>
      <c r="BS644" s="225"/>
      <c r="BT644" s="223"/>
      <c r="BU644" s="215"/>
      <c r="BV644" s="226"/>
      <c r="BW644" s="222" t="str">
        <f t="shared" si="130"/>
        <v/>
      </c>
      <c r="BX644" s="223" t="str">
        <f t="shared" si="121"/>
        <v/>
      </c>
      <c r="BY644" s="215"/>
      <c r="BZ644" s="227"/>
      <c r="CA644" s="227"/>
      <c r="CB644" s="228"/>
      <c r="CC644" s="229"/>
      <c r="CD644" s="230" t="str">
        <f t="shared" si="131"/>
        <v/>
      </c>
      <c r="CE644" s="231" t="str">
        <f t="shared" si="132"/>
        <v/>
      </c>
      <c r="CF644" s="232" t="str">
        <f t="shared" si="133"/>
        <v/>
      </c>
      <c r="CG644" s="233" t="str">
        <f t="shared" si="134"/>
        <v/>
      </c>
      <c r="CH644" s="207" t="str">
        <f>IF(OR(G644="",CC644= ""), "", IF(ISERROR(SMALL((CJ644,CN644,CV644), 1)-CC644), "",  SMALL((CJ644,CN644,CV644), 1)-CC644))</f>
        <v/>
      </c>
      <c r="CI644" s="234"/>
      <c r="CJ644" s="235"/>
      <c r="CK644" s="236"/>
      <c r="CL644" s="222" t="str">
        <f t="shared" si="135"/>
        <v/>
      </c>
      <c r="CM644" s="237" t="str">
        <f>IF(OR(G644="", CJ644="",CK644=""), "", IF(ISERROR(SMALL((CN644,CV644), 1)-CK644), "",  SMALL((CN644,CV644), 1)-CK644))</f>
        <v/>
      </c>
      <c r="CN644" s="235"/>
      <c r="CO644" s="236"/>
      <c r="CP644" s="224" t="str">
        <f t="shared" si="136"/>
        <v/>
      </c>
      <c r="CQ644" s="235"/>
      <c r="CR644" s="236"/>
      <c r="CS644" s="222" t="str">
        <f t="shared" si="137"/>
        <v/>
      </c>
      <c r="CT644" s="237" t="str">
        <f t="shared" si="138"/>
        <v/>
      </c>
      <c r="CU644" s="238"/>
      <c r="CV644" s="239"/>
      <c r="CW644" s="240"/>
    </row>
    <row r="645" spans="2:101" ht="16.5" customHeight="1">
      <c r="B645" s="122"/>
      <c r="E645" s="122"/>
      <c r="F645" s="194"/>
      <c r="G645" s="195"/>
      <c r="H645" s="195"/>
      <c r="I645" s="195"/>
      <c r="J645" s="196"/>
      <c r="K645" s="197"/>
      <c r="L645" s="198"/>
      <c r="M645" s="199"/>
      <c r="N645" s="200"/>
      <c r="O645" s="201"/>
      <c r="P645" s="201"/>
      <c r="Q645" s="201"/>
      <c r="R645" s="201"/>
      <c r="S645" s="201"/>
      <c r="T645" s="201"/>
      <c r="U645" s="201"/>
      <c r="V645" s="201"/>
      <c r="W645" s="201"/>
      <c r="X645" s="202"/>
      <c r="Y645" s="203"/>
      <c r="Z645" s="204"/>
      <c r="AA645" s="205"/>
      <c r="AB645" s="206"/>
      <c r="AC645" s="206"/>
      <c r="AD645" s="194"/>
      <c r="AE645" s="201"/>
      <c r="AF645" s="207"/>
      <c r="AG645" s="208"/>
      <c r="AH645" s="209"/>
      <c r="AI645" s="210"/>
      <c r="AJ645" s="197"/>
      <c r="AK645" s="201"/>
      <c r="AL645" s="196"/>
      <c r="AM645" s="201"/>
      <c r="AN645" s="201"/>
      <c r="AO645" s="201"/>
      <c r="AP645" s="211"/>
      <c r="AQ645" s="212"/>
      <c r="AR645" s="201"/>
      <c r="AS645" s="201"/>
      <c r="AT645" s="201"/>
      <c r="AU645" s="201"/>
      <c r="AV645" s="202"/>
      <c r="AW645" s="194"/>
      <c r="AX645" s="201"/>
      <c r="AY645" s="213"/>
      <c r="AZ645" s="214"/>
      <c r="BA645" s="215"/>
      <c r="BB645" s="216"/>
      <c r="BC645" s="217" t="str">
        <f t="shared" si="117"/>
        <v/>
      </c>
      <c r="BD645" s="218"/>
      <c r="BE645" s="219"/>
      <c r="BF645" s="220"/>
      <c r="BG645" s="219"/>
      <c r="BH645" s="219"/>
      <c r="BI645" s="220"/>
      <c r="BJ645" s="218"/>
      <c r="BK645" s="219"/>
      <c r="BL645" s="197"/>
      <c r="BM645" s="215"/>
      <c r="BN645" s="221"/>
      <c r="BO645" s="222" t="str">
        <f t="shared" si="118"/>
        <v/>
      </c>
      <c r="BP645" s="217" t="str">
        <f t="shared" si="119"/>
        <v/>
      </c>
      <c r="BQ645" s="215"/>
      <c r="BR645" s="224"/>
      <c r="BS645" s="225"/>
      <c r="BT645" s="223"/>
      <c r="BU645" s="215"/>
      <c r="BV645" s="226"/>
      <c r="BW645" s="222" t="str">
        <f t="shared" si="130"/>
        <v/>
      </c>
      <c r="BX645" s="223" t="str">
        <f t="shared" si="121"/>
        <v/>
      </c>
      <c r="BY645" s="215"/>
      <c r="BZ645" s="227"/>
      <c r="CA645" s="227"/>
      <c r="CB645" s="228"/>
      <c r="CC645" s="229"/>
      <c r="CD645" s="230" t="str">
        <f t="shared" si="131"/>
        <v/>
      </c>
      <c r="CE645" s="231" t="str">
        <f t="shared" si="132"/>
        <v/>
      </c>
      <c r="CF645" s="232" t="str">
        <f t="shared" si="133"/>
        <v/>
      </c>
      <c r="CG645" s="233" t="str">
        <f t="shared" si="134"/>
        <v/>
      </c>
      <c r="CH645" s="207" t="str">
        <f>IF(OR(G645="",CC645= ""), "", IF(ISERROR(SMALL((CJ645,CN645,CV645), 1)-CC645), "",  SMALL((CJ645,CN645,CV645), 1)-CC645))</f>
        <v/>
      </c>
      <c r="CI645" s="234"/>
      <c r="CJ645" s="235"/>
      <c r="CK645" s="236"/>
      <c r="CL645" s="222" t="str">
        <f t="shared" si="135"/>
        <v/>
      </c>
      <c r="CM645" s="237" t="str">
        <f>IF(OR(G645="", CJ645="",CK645=""), "", IF(ISERROR(SMALL((CN645,CV645), 1)-CK645), "",  SMALL((CN645,CV645), 1)-CK645))</f>
        <v/>
      </c>
      <c r="CN645" s="235"/>
      <c r="CO645" s="236"/>
      <c r="CP645" s="224" t="str">
        <f t="shared" si="136"/>
        <v/>
      </c>
      <c r="CQ645" s="235"/>
      <c r="CR645" s="236"/>
      <c r="CS645" s="222" t="str">
        <f t="shared" si="137"/>
        <v/>
      </c>
      <c r="CT645" s="237" t="str">
        <f t="shared" si="138"/>
        <v/>
      </c>
      <c r="CU645" s="238"/>
      <c r="CV645" s="239"/>
      <c r="CW645" s="240"/>
    </row>
    <row r="646" spans="2:101" ht="16.5" customHeight="1">
      <c r="B646" s="122"/>
      <c r="E646" s="122"/>
      <c r="F646" s="194"/>
      <c r="G646" s="195"/>
      <c r="H646" s="195"/>
      <c r="I646" s="195"/>
      <c r="J646" s="196"/>
      <c r="K646" s="197"/>
      <c r="L646" s="198"/>
      <c r="M646" s="199"/>
      <c r="N646" s="200"/>
      <c r="O646" s="201"/>
      <c r="P646" s="201"/>
      <c r="Q646" s="201"/>
      <c r="R646" s="201"/>
      <c r="S646" s="201"/>
      <c r="T646" s="201"/>
      <c r="U646" s="201"/>
      <c r="V646" s="201"/>
      <c r="W646" s="201"/>
      <c r="X646" s="202"/>
      <c r="Y646" s="203"/>
      <c r="Z646" s="204"/>
      <c r="AA646" s="205"/>
      <c r="AB646" s="206"/>
      <c r="AC646" s="206"/>
      <c r="AD646" s="194"/>
      <c r="AE646" s="201"/>
      <c r="AF646" s="207"/>
      <c r="AG646" s="208"/>
      <c r="AH646" s="209"/>
      <c r="AI646" s="210"/>
      <c r="AJ646" s="197"/>
      <c r="AK646" s="201"/>
      <c r="AL646" s="196"/>
      <c r="AM646" s="201"/>
      <c r="AN646" s="201"/>
      <c r="AO646" s="201"/>
      <c r="AP646" s="211"/>
      <c r="AQ646" s="212"/>
      <c r="AR646" s="201"/>
      <c r="AS646" s="201"/>
      <c r="AT646" s="201"/>
      <c r="AU646" s="201"/>
      <c r="AV646" s="202"/>
      <c r="AW646" s="194"/>
      <c r="AX646" s="201"/>
      <c r="AY646" s="213"/>
      <c r="AZ646" s="214"/>
      <c r="BA646" s="215"/>
      <c r="BB646" s="216"/>
      <c r="BC646" s="217" t="str">
        <f t="shared" si="117"/>
        <v/>
      </c>
      <c r="BD646" s="218"/>
      <c r="BE646" s="219"/>
      <c r="BF646" s="220"/>
      <c r="BG646" s="219"/>
      <c r="BH646" s="219"/>
      <c r="BI646" s="220"/>
      <c r="BJ646" s="218"/>
      <c r="BK646" s="219"/>
      <c r="BL646" s="197"/>
      <c r="BM646" s="215"/>
      <c r="BN646" s="221"/>
      <c r="BO646" s="222" t="str">
        <f t="shared" si="118"/>
        <v/>
      </c>
      <c r="BP646" s="217" t="str">
        <f t="shared" si="119"/>
        <v/>
      </c>
      <c r="BQ646" s="215"/>
      <c r="BR646" s="224"/>
      <c r="BS646" s="225"/>
      <c r="BT646" s="223"/>
      <c r="BU646" s="215"/>
      <c r="BV646" s="226"/>
      <c r="BW646" s="222" t="str">
        <f t="shared" si="130"/>
        <v/>
      </c>
      <c r="BX646" s="223" t="str">
        <f t="shared" si="121"/>
        <v/>
      </c>
      <c r="BY646" s="215"/>
      <c r="BZ646" s="227"/>
      <c r="CA646" s="227"/>
      <c r="CB646" s="228"/>
      <c r="CC646" s="229"/>
      <c r="CD646" s="230" t="str">
        <f t="shared" si="131"/>
        <v/>
      </c>
      <c r="CE646" s="231" t="str">
        <f t="shared" si="132"/>
        <v/>
      </c>
      <c r="CF646" s="232" t="str">
        <f t="shared" si="133"/>
        <v/>
      </c>
      <c r="CG646" s="233" t="str">
        <f t="shared" si="134"/>
        <v/>
      </c>
      <c r="CH646" s="207" t="str">
        <f>IF(OR(G646="",CC646= ""), "", IF(ISERROR(SMALL((CJ646,CN646,CV646), 1)-CC646), "",  SMALL((CJ646,CN646,CV646), 1)-CC646))</f>
        <v/>
      </c>
      <c r="CI646" s="234"/>
      <c r="CJ646" s="235"/>
      <c r="CK646" s="236"/>
      <c r="CL646" s="222" t="str">
        <f t="shared" si="135"/>
        <v/>
      </c>
      <c r="CM646" s="237" t="str">
        <f>IF(OR(G646="", CJ646="",CK646=""), "", IF(ISERROR(SMALL((CN646,CV646), 1)-CK646), "",  SMALL((CN646,CV646), 1)-CK646))</f>
        <v/>
      </c>
      <c r="CN646" s="235"/>
      <c r="CO646" s="236"/>
      <c r="CP646" s="224" t="str">
        <f t="shared" si="136"/>
        <v/>
      </c>
      <c r="CQ646" s="235"/>
      <c r="CR646" s="236"/>
      <c r="CS646" s="222" t="str">
        <f t="shared" si="137"/>
        <v/>
      </c>
      <c r="CT646" s="237" t="str">
        <f t="shared" si="138"/>
        <v/>
      </c>
      <c r="CU646" s="238"/>
      <c r="CV646" s="239"/>
      <c r="CW646" s="240"/>
    </row>
    <row r="647" spans="2:101" ht="16.5" customHeight="1">
      <c r="B647" s="122"/>
      <c r="E647" s="122"/>
      <c r="F647" s="194"/>
      <c r="G647" s="195"/>
      <c r="H647" s="195"/>
      <c r="I647" s="195"/>
      <c r="J647" s="196"/>
      <c r="K647" s="197"/>
      <c r="L647" s="198"/>
      <c r="M647" s="199"/>
      <c r="N647" s="200"/>
      <c r="O647" s="201"/>
      <c r="P647" s="201"/>
      <c r="Q647" s="201"/>
      <c r="R647" s="201"/>
      <c r="S647" s="201"/>
      <c r="T647" s="201"/>
      <c r="U647" s="201"/>
      <c r="V647" s="201"/>
      <c r="W647" s="201"/>
      <c r="X647" s="202"/>
      <c r="Y647" s="203"/>
      <c r="Z647" s="204"/>
      <c r="AA647" s="205"/>
      <c r="AB647" s="206"/>
      <c r="AC647" s="206"/>
      <c r="AD647" s="194"/>
      <c r="AE647" s="201"/>
      <c r="AF647" s="207"/>
      <c r="AG647" s="208"/>
      <c r="AH647" s="209"/>
      <c r="AI647" s="210"/>
      <c r="AJ647" s="197"/>
      <c r="AK647" s="201"/>
      <c r="AL647" s="196"/>
      <c r="AM647" s="201"/>
      <c r="AN647" s="201"/>
      <c r="AO647" s="201"/>
      <c r="AP647" s="211"/>
      <c r="AQ647" s="212"/>
      <c r="AR647" s="201"/>
      <c r="AS647" s="201"/>
      <c r="AT647" s="201"/>
      <c r="AU647" s="201"/>
      <c r="AV647" s="202"/>
      <c r="AW647" s="194"/>
      <c r="AX647" s="201"/>
      <c r="AY647" s="213"/>
      <c r="AZ647" s="214"/>
      <c r="BA647" s="215"/>
      <c r="BB647" s="216"/>
      <c r="BC647" s="217" t="str">
        <f t="shared" si="117"/>
        <v/>
      </c>
      <c r="BD647" s="218"/>
      <c r="BE647" s="219"/>
      <c r="BF647" s="220"/>
      <c r="BG647" s="219"/>
      <c r="BH647" s="219"/>
      <c r="BI647" s="220"/>
      <c r="BJ647" s="218"/>
      <c r="BK647" s="219"/>
      <c r="BL647" s="197"/>
      <c r="BM647" s="215"/>
      <c r="BN647" s="221"/>
      <c r="BO647" s="222" t="str">
        <f t="shared" si="118"/>
        <v/>
      </c>
      <c r="BP647" s="217" t="str">
        <f t="shared" si="119"/>
        <v/>
      </c>
      <c r="BQ647" s="215"/>
      <c r="BR647" s="224"/>
      <c r="BS647" s="225"/>
      <c r="BT647" s="223"/>
      <c r="BU647" s="215"/>
      <c r="BV647" s="226"/>
      <c r="BW647" s="222" t="str">
        <f t="shared" si="130"/>
        <v/>
      </c>
      <c r="BX647" s="223" t="str">
        <f t="shared" si="121"/>
        <v/>
      </c>
      <c r="BY647" s="215"/>
      <c r="BZ647" s="227"/>
      <c r="CA647" s="227"/>
      <c r="CB647" s="228"/>
      <c r="CC647" s="229"/>
      <c r="CD647" s="230" t="str">
        <f t="shared" si="131"/>
        <v/>
      </c>
      <c r="CE647" s="231" t="str">
        <f t="shared" si="132"/>
        <v/>
      </c>
      <c r="CF647" s="232" t="str">
        <f t="shared" si="133"/>
        <v/>
      </c>
      <c r="CG647" s="233" t="str">
        <f t="shared" si="134"/>
        <v/>
      </c>
      <c r="CH647" s="207" t="str">
        <f>IF(OR(G647="",CC647= ""), "", IF(ISERROR(SMALL((CJ647,CN647,CV647), 1)-CC647), "",  SMALL((CJ647,CN647,CV647), 1)-CC647))</f>
        <v/>
      </c>
      <c r="CI647" s="234"/>
      <c r="CJ647" s="235"/>
      <c r="CK647" s="236"/>
      <c r="CL647" s="222" t="str">
        <f t="shared" si="135"/>
        <v/>
      </c>
      <c r="CM647" s="237" t="str">
        <f>IF(OR(G647="", CJ647="",CK647=""), "", IF(ISERROR(SMALL((CN647,CV647), 1)-CK647), "",  SMALL((CN647,CV647), 1)-CK647))</f>
        <v/>
      </c>
      <c r="CN647" s="235"/>
      <c r="CO647" s="236"/>
      <c r="CP647" s="224" t="str">
        <f t="shared" si="136"/>
        <v/>
      </c>
      <c r="CQ647" s="235"/>
      <c r="CR647" s="236"/>
      <c r="CS647" s="222" t="str">
        <f t="shared" si="137"/>
        <v/>
      </c>
      <c r="CT647" s="237" t="str">
        <f t="shared" si="138"/>
        <v/>
      </c>
      <c r="CU647" s="238"/>
      <c r="CV647" s="239"/>
      <c r="CW647" s="240"/>
    </row>
    <row r="648" spans="2:101" ht="16.5" customHeight="1">
      <c r="B648" s="122"/>
      <c r="E648" s="122"/>
      <c r="F648" s="194"/>
      <c r="G648" s="195"/>
      <c r="H648" s="195"/>
      <c r="I648" s="195"/>
      <c r="J648" s="196"/>
      <c r="K648" s="197"/>
      <c r="L648" s="198"/>
      <c r="M648" s="199"/>
      <c r="N648" s="200"/>
      <c r="O648" s="201"/>
      <c r="P648" s="201"/>
      <c r="Q648" s="201"/>
      <c r="R648" s="201"/>
      <c r="S648" s="201"/>
      <c r="T648" s="201"/>
      <c r="U648" s="201"/>
      <c r="V648" s="201"/>
      <c r="W648" s="201"/>
      <c r="X648" s="202"/>
      <c r="Y648" s="203"/>
      <c r="Z648" s="204"/>
      <c r="AA648" s="205"/>
      <c r="AB648" s="206"/>
      <c r="AC648" s="206"/>
      <c r="AD648" s="194"/>
      <c r="AE648" s="201"/>
      <c r="AF648" s="207"/>
      <c r="AG648" s="208"/>
      <c r="AH648" s="209"/>
      <c r="AI648" s="210"/>
      <c r="AJ648" s="197"/>
      <c r="AK648" s="201"/>
      <c r="AL648" s="196"/>
      <c r="AM648" s="201"/>
      <c r="AN648" s="201"/>
      <c r="AO648" s="201"/>
      <c r="AP648" s="211"/>
      <c r="AQ648" s="212"/>
      <c r="AR648" s="201"/>
      <c r="AS648" s="201"/>
      <c r="AT648" s="201"/>
      <c r="AU648" s="201"/>
      <c r="AV648" s="202"/>
      <c r="AW648" s="194"/>
      <c r="AX648" s="201"/>
      <c r="AY648" s="213"/>
      <c r="AZ648" s="214"/>
      <c r="BA648" s="215"/>
      <c r="BB648" s="216"/>
      <c r="BC648" s="217" t="str">
        <f t="shared" si="117"/>
        <v/>
      </c>
      <c r="BD648" s="218"/>
      <c r="BE648" s="219"/>
      <c r="BF648" s="220"/>
      <c r="BG648" s="219"/>
      <c r="BH648" s="219"/>
      <c r="BI648" s="220"/>
      <c r="BJ648" s="218"/>
      <c r="BK648" s="219"/>
      <c r="BL648" s="197"/>
      <c r="BM648" s="215"/>
      <c r="BN648" s="221"/>
      <c r="BO648" s="222" t="str">
        <f t="shared" si="118"/>
        <v/>
      </c>
      <c r="BP648" s="217" t="str">
        <f t="shared" si="119"/>
        <v/>
      </c>
      <c r="BQ648" s="215"/>
      <c r="BR648" s="224"/>
      <c r="BS648" s="225"/>
      <c r="BT648" s="223"/>
      <c r="BU648" s="215"/>
      <c r="BV648" s="226"/>
      <c r="BW648" s="222" t="str">
        <f t="shared" si="130"/>
        <v/>
      </c>
      <c r="BX648" s="223" t="str">
        <f t="shared" si="121"/>
        <v/>
      </c>
      <c r="BY648" s="215"/>
      <c r="BZ648" s="227"/>
      <c r="CA648" s="227"/>
      <c r="CB648" s="228"/>
      <c r="CC648" s="229"/>
      <c r="CD648" s="230" t="str">
        <f t="shared" si="131"/>
        <v/>
      </c>
      <c r="CE648" s="231" t="str">
        <f t="shared" si="132"/>
        <v/>
      </c>
      <c r="CF648" s="232" t="str">
        <f t="shared" si="133"/>
        <v/>
      </c>
      <c r="CG648" s="233" t="str">
        <f t="shared" si="134"/>
        <v/>
      </c>
      <c r="CH648" s="207" t="str">
        <f>IF(OR(G648="",CC648= ""), "", IF(ISERROR(SMALL((CJ648,CN648,CV648), 1)-CC648), "",  SMALL((CJ648,CN648,CV648), 1)-CC648))</f>
        <v/>
      </c>
      <c r="CI648" s="234"/>
      <c r="CJ648" s="235"/>
      <c r="CK648" s="236"/>
      <c r="CL648" s="222" t="str">
        <f t="shared" si="135"/>
        <v/>
      </c>
      <c r="CM648" s="237" t="str">
        <f>IF(OR(G648="", CJ648="",CK648=""), "", IF(ISERROR(SMALL((CN648,CV648), 1)-CK648), "",  SMALL((CN648,CV648), 1)-CK648))</f>
        <v/>
      </c>
      <c r="CN648" s="235"/>
      <c r="CO648" s="236"/>
      <c r="CP648" s="224" t="str">
        <f t="shared" si="136"/>
        <v/>
      </c>
      <c r="CQ648" s="235"/>
      <c r="CR648" s="236"/>
      <c r="CS648" s="222" t="str">
        <f t="shared" si="137"/>
        <v/>
      </c>
      <c r="CT648" s="237" t="str">
        <f t="shared" si="138"/>
        <v/>
      </c>
      <c r="CU648" s="238"/>
      <c r="CV648" s="239"/>
      <c r="CW648" s="240"/>
    </row>
    <row r="649" spans="2:101" ht="16.5" customHeight="1">
      <c r="B649" s="122"/>
      <c r="E649" s="122"/>
      <c r="F649" s="194"/>
      <c r="G649" s="195"/>
      <c r="H649" s="195"/>
      <c r="I649" s="195"/>
      <c r="J649" s="196"/>
      <c r="K649" s="197"/>
      <c r="L649" s="198"/>
      <c r="M649" s="199"/>
      <c r="N649" s="200"/>
      <c r="O649" s="201"/>
      <c r="P649" s="201"/>
      <c r="Q649" s="201"/>
      <c r="R649" s="201"/>
      <c r="S649" s="201"/>
      <c r="T649" s="201"/>
      <c r="U649" s="201"/>
      <c r="V649" s="201"/>
      <c r="W649" s="201"/>
      <c r="X649" s="202"/>
      <c r="Y649" s="203"/>
      <c r="Z649" s="204"/>
      <c r="AA649" s="205"/>
      <c r="AB649" s="206"/>
      <c r="AC649" s="206"/>
      <c r="AD649" s="194"/>
      <c r="AE649" s="201"/>
      <c r="AF649" s="207"/>
      <c r="AG649" s="208"/>
      <c r="AH649" s="209"/>
      <c r="AI649" s="210"/>
      <c r="AJ649" s="197"/>
      <c r="AK649" s="201"/>
      <c r="AL649" s="196"/>
      <c r="AM649" s="201"/>
      <c r="AN649" s="201"/>
      <c r="AO649" s="201"/>
      <c r="AP649" s="211"/>
      <c r="AQ649" s="212"/>
      <c r="AR649" s="201"/>
      <c r="AS649" s="201"/>
      <c r="AT649" s="201"/>
      <c r="AU649" s="201"/>
      <c r="AV649" s="202"/>
      <c r="AW649" s="194"/>
      <c r="AX649" s="201"/>
      <c r="AY649" s="213"/>
      <c r="AZ649" s="214"/>
      <c r="BA649" s="215"/>
      <c r="BB649" s="216"/>
      <c r="BC649" s="217" t="str">
        <f t="shared" ref="BC649:BC670" si="139">IF(OR($H649="", $BM649="", BB649=""), "", IF(ISERROR($BM649-BB649), "", $BM649-BB649))</f>
        <v/>
      </c>
      <c r="BD649" s="218"/>
      <c r="BE649" s="219"/>
      <c r="BF649" s="220"/>
      <c r="BG649" s="219"/>
      <c r="BH649" s="219"/>
      <c r="BI649" s="220"/>
      <c r="BJ649" s="218"/>
      <c r="BK649" s="219"/>
      <c r="BL649" s="197"/>
      <c r="BM649" s="215"/>
      <c r="BN649" s="221"/>
      <c r="BO649" s="222" t="str">
        <f t="shared" ref="BO649:BO670" si="140">IF(OR(G649="", BM649="", BN649=""), "", IF(ISERROR(BN649-BM649+1), "", BN649-BM649+1))</f>
        <v/>
      </c>
      <c r="BP649" s="217" t="str">
        <f t="shared" ref="BP649:BP670" si="141">IF(OR(G649="", BN649="", BY649=""), "", IF(ISERROR(BY649-BN649), "", BY649-BN649))</f>
        <v/>
      </c>
      <c r="BQ649" s="215"/>
      <c r="BR649" s="224"/>
      <c r="BS649" s="225"/>
      <c r="BT649" s="223"/>
      <c r="BU649" s="215"/>
      <c r="BV649" s="226"/>
      <c r="BW649" s="222" t="str">
        <f t="shared" si="130"/>
        <v/>
      </c>
      <c r="BX649" s="223" t="str">
        <f t="shared" ref="BX649:BX670" si="142">IF(OR(H649="", BV649="", CB649=""), "", IF(ISERROR(CB649-BV649), "", CB649-BV649))</f>
        <v/>
      </c>
      <c r="BY649" s="215"/>
      <c r="BZ649" s="227"/>
      <c r="CA649" s="227"/>
      <c r="CB649" s="228"/>
      <c r="CC649" s="229"/>
      <c r="CD649" s="230" t="str">
        <f t="shared" si="131"/>
        <v/>
      </c>
      <c r="CE649" s="231" t="str">
        <f t="shared" si="132"/>
        <v/>
      </c>
      <c r="CF649" s="232" t="str">
        <f t="shared" si="133"/>
        <v/>
      </c>
      <c r="CG649" s="233" t="str">
        <f t="shared" si="134"/>
        <v/>
      </c>
      <c r="CH649" s="207" t="str">
        <f>IF(OR(G649="",CC649= ""), "", IF(ISERROR(SMALL((CJ649,CN649,CV649), 1)-CC649), "",  SMALL((CJ649,CN649,CV649), 1)-CC649))</f>
        <v/>
      </c>
      <c r="CI649" s="234"/>
      <c r="CJ649" s="235"/>
      <c r="CK649" s="236"/>
      <c r="CL649" s="222" t="str">
        <f t="shared" si="135"/>
        <v/>
      </c>
      <c r="CM649" s="237" t="str">
        <f>IF(OR(G649="", CJ649="",CK649=""), "", IF(ISERROR(SMALL((CN649,CV649), 1)-CK649), "",  SMALL((CN649,CV649), 1)-CK649))</f>
        <v/>
      </c>
      <c r="CN649" s="235"/>
      <c r="CO649" s="236"/>
      <c r="CP649" s="224" t="str">
        <f t="shared" si="136"/>
        <v/>
      </c>
      <c r="CQ649" s="235"/>
      <c r="CR649" s="236"/>
      <c r="CS649" s="222" t="str">
        <f t="shared" si="137"/>
        <v/>
      </c>
      <c r="CT649" s="237" t="str">
        <f t="shared" si="138"/>
        <v/>
      </c>
      <c r="CU649" s="238"/>
      <c r="CV649" s="239"/>
      <c r="CW649" s="240"/>
    </row>
    <row r="650" spans="2:101" ht="16.5" customHeight="1">
      <c r="B650" s="122"/>
      <c r="E650" s="122"/>
      <c r="F650" s="194"/>
      <c r="G650" s="195"/>
      <c r="H650" s="195"/>
      <c r="I650" s="195"/>
      <c r="J650" s="196"/>
      <c r="K650" s="197"/>
      <c r="L650" s="198"/>
      <c r="M650" s="199"/>
      <c r="N650" s="200"/>
      <c r="O650" s="201"/>
      <c r="P650" s="201"/>
      <c r="Q650" s="201"/>
      <c r="R650" s="201"/>
      <c r="S650" s="201"/>
      <c r="T650" s="201"/>
      <c r="U650" s="201"/>
      <c r="V650" s="201"/>
      <c r="W650" s="201"/>
      <c r="X650" s="202"/>
      <c r="Y650" s="203"/>
      <c r="Z650" s="204"/>
      <c r="AA650" s="205"/>
      <c r="AB650" s="206"/>
      <c r="AC650" s="206"/>
      <c r="AD650" s="194"/>
      <c r="AE650" s="201"/>
      <c r="AF650" s="207"/>
      <c r="AG650" s="208"/>
      <c r="AH650" s="209"/>
      <c r="AI650" s="210"/>
      <c r="AJ650" s="197"/>
      <c r="AK650" s="201"/>
      <c r="AL650" s="196"/>
      <c r="AM650" s="201"/>
      <c r="AN650" s="201"/>
      <c r="AO650" s="201"/>
      <c r="AP650" s="211"/>
      <c r="AQ650" s="212"/>
      <c r="AR650" s="201"/>
      <c r="AS650" s="201"/>
      <c r="AT650" s="201"/>
      <c r="AU650" s="201"/>
      <c r="AV650" s="202"/>
      <c r="AW650" s="194"/>
      <c r="AX650" s="201"/>
      <c r="AY650" s="213"/>
      <c r="AZ650" s="214"/>
      <c r="BA650" s="215"/>
      <c r="BB650" s="216"/>
      <c r="BC650" s="217" t="str">
        <f t="shared" si="139"/>
        <v/>
      </c>
      <c r="BD650" s="218"/>
      <c r="BE650" s="219"/>
      <c r="BF650" s="220"/>
      <c r="BG650" s="219"/>
      <c r="BH650" s="219"/>
      <c r="BI650" s="220"/>
      <c r="BJ650" s="218"/>
      <c r="BK650" s="219"/>
      <c r="BL650" s="197"/>
      <c r="BM650" s="215"/>
      <c r="BN650" s="221"/>
      <c r="BO650" s="222" t="str">
        <f t="shared" si="140"/>
        <v/>
      </c>
      <c r="BP650" s="217" t="str">
        <f t="shared" si="141"/>
        <v/>
      </c>
      <c r="BQ650" s="215"/>
      <c r="BR650" s="224"/>
      <c r="BS650" s="225"/>
      <c r="BT650" s="223"/>
      <c r="BU650" s="215"/>
      <c r="BV650" s="226"/>
      <c r="BW650" s="222" t="str">
        <f t="shared" si="130"/>
        <v/>
      </c>
      <c r="BX650" s="223" t="str">
        <f t="shared" si="142"/>
        <v/>
      </c>
      <c r="BY650" s="215"/>
      <c r="BZ650" s="227"/>
      <c r="CA650" s="227"/>
      <c r="CB650" s="228"/>
      <c r="CC650" s="229"/>
      <c r="CD650" s="230" t="str">
        <f t="shared" si="131"/>
        <v/>
      </c>
      <c r="CE650" s="231" t="str">
        <f t="shared" si="132"/>
        <v/>
      </c>
      <c r="CF650" s="232" t="str">
        <f t="shared" si="133"/>
        <v/>
      </c>
      <c r="CG650" s="233" t="str">
        <f t="shared" si="134"/>
        <v/>
      </c>
      <c r="CH650" s="207" t="str">
        <f>IF(OR(G650="",CC650= ""), "", IF(ISERROR(SMALL((CJ650,CN650,CV650), 1)-CC650), "",  SMALL((CJ650,CN650,CV650), 1)-CC650))</f>
        <v/>
      </c>
      <c r="CI650" s="234"/>
      <c r="CJ650" s="235"/>
      <c r="CK650" s="236"/>
      <c r="CL650" s="222" t="str">
        <f t="shared" si="135"/>
        <v/>
      </c>
      <c r="CM650" s="237" t="str">
        <f>IF(OR(G650="", CJ650="",CK650=""), "", IF(ISERROR(SMALL((CN650,CV650), 1)-CK650), "",  SMALL((CN650,CV650), 1)-CK650))</f>
        <v/>
      </c>
      <c r="CN650" s="235"/>
      <c r="CO650" s="236"/>
      <c r="CP650" s="224" t="str">
        <f t="shared" si="136"/>
        <v/>
      </c>
      <c r="CQ650" s="235"/>
      <c r="CR650" s="236"/>
      <c r="CS650" s="222" t="str">
        <f t="shared" si="137"/>
        <v/>
      </c>
      <c r="CT650" s="237" t="str">
        <f t="shared" si="138"/>
        <v/>
      </c>
      <c r="CU650" s="238"/>
      <c r="CV650" s="239"/>
      <c r="CW650" s="240"/>
    </row>
    <row r="651" spans="2:101" ht="16.5" customHeight="1">
      <c r="B651" s="122"/>
      <c r="E651" s="122"/>
      <c r="F651" s="194"/>
      <c r="G651" s="195"/>
      <c r="H651" s="195"/>
      <c r="I651" s="195"/>
      <c r="J651" s="196"/>
      <c r="K651" s="197"/>
      <c r="L651" s="198"/>
      <c r="M651" s="199"/>
      <c r="N651" s="200"/>
      <c r="O651" s="201"/>
      <c r="P651" s="201"/>
      <c r="Q651" s="201"/>
      <c r="R651" s="201"/>
      <c r="S651" s="201"/>
      <c r="T651" s="201"/>
      <c r="U651" s="201"/>
      <c r="V651" s="201"/>
      <c r="W651" s="201"/>
      <c r="X651" s="202"/>
      <c r="Y651" s="203"/>
      <c r="Z651" s="204"/>
      <c r="AA651" s="205"/>
      <c r="AB651" s="206"/>
      <c r="AC651" s="206"/>
      <c r="AD651" s="194"/>
      <c r="AE651" s="201"/>
      <c r="AF651" s="207"/>
      <c r="AG651" s="208"/>
      <c r="AH651" s="209"/>
      <c r="AI651" s="210"/>
      <c r="AJ651" s="197"/>
      <c r="AK651" s="201"/>
      <c r="AL651" s="196"/>
      <c r="AM651" s="201"/>
      <c r="AN651" s="201"/>
      <c r="AO651" s="201"/>
      <c r="AP651" s="211"/>
      <c r="AQ651" s="212"/>
      <c r="AR651" s="201"/>
      <c r="AS651" s="201"/>
      <c r="AT651" s="201"/>
      <c r="AU651" s="201"/>
      <c r="AV651" s="202"/>
      <c r="AW651" s="194"/>
      <c r="AX651" s="201"/>
      <c r="AY651" s="213"/>
      <c r="AZ651" s="214"/>
      <c r="BA651" s="215"/>
      <c r="BB651" s="216"/>
      <c r="BC651" s="217" t="str">
        <f t="shared" si="139"/>
        <v/>
      </c>
      <c r="BD651" s="218"/>
      <c r="BE651" s="219"/>
      <c r="BF651" s="220"/>
      <c r="BG651" s="219"/>
      <c r="BH651" s="219"/>
      <c r="BI651" s="220"/>
      <c r="BJ651" s="218"/>
      <c r="BK651" s="219"/>
      <c r="BL651" s="197"/>
      <c r="BM651" s="215"/>
      <c r="BN651" s="221"/>
      <c r="BO651" s="222" t="str">
        <f t="shared" si="140"/>
        <v/>
      </c>
      <c r="BP651" s="217" t="str">
        <f t="shared" si="141"/>
        <v/>
      </c>
      <c r="BQ651" s="215"/>
      <c r="BR651" s="224"/>
      <c r="BS651" s="225"/>
      <c r="BT651" s="223"/>
      <c r="BU651" s="215"/>
      <c r="BV651" s="226"/>
      <c r="BW651" s="222" t="str">
        <f t="shared" si="130"/>
        <v/>
      </c>
      <c r="BX651" s="223" t="str">
        <f t="shared" si="142"/>
        <v/>
      </c>
      <c r="BY651" s="215"/>
      <c r="BZ651" s="227"/>
      <c r="CA651" s="227"/>
      <c r="CB651" s="228"/>
      <c r="CC651" s="229"/>
      <c r="CD651" s="230" t="str">
        <f t="shared" si="131"/>
        <v/>
      </c>
      <c r="CE651" s="231" t="str">
        <f t="shared" si="132"/>
        <v/>
      </c>
      <c r="CF651" s="232" t="str">
        <f t="shared" si="133"/>
        <v/>
      </c>
      <c r="CG651" s="233" t="str">
        <f t="shared" si="134"/>
        <v/>
      </c>
      <c r="CH651" s="207" t="str">
        <f>IF(OR(G651="",CC651= ""), "", IF(ISERROR(SMALL((CJ651,CN651,CV651), 1)-CC651), "",  SMALL((CJ651,CN651,CV651), 1)-CC651))</f>
        <v/>
      </c>
      <c r="CI651" s="234"/>
      <c r="CJ651" s="235"/>
      <c r="CK651" s="236"/>
      <c r="CL651" s="222" t="str">
        <f t="shared" si="135"/>
        <v/>
      </c>
      <c r="CM651" s="237" t="str">
        <f>IF(OR(G651="", CJ651="",CK651=""), "", IF(ISERROR(SMALL((CN651,CV651), 1)-CK651), "",  SMALL((CN651,CV651), 1)-CK651))</f>
        <v/>
      </c>
      <c r="CN651" s="235"/>
      <c r="CO651" s="236"/>
      <c r="CP651" s="224" t="str">
        <f t="shared" si="136"/>
        <v/>
      </c>
      <c r="CQ651" s="235"/>
      <c r="CR651" s="236"/>
      <c r="CS651" s="222" t="str">
        <f t="shared" si="137"/>
        <v/>
      </c>
      <c r="CT651" s="237" t="str">
        <f t="shared" si="138"/>
        <v/>
      </c>
      <c r="CU651" s="238"/>
      <c r="CV651" s="239"/>
      <c r="CW651" s="240"/>
    </row>
    <row r="652" spans="2:101" ht="16.5" customHeight="1">
      <c r="B652" s="122"/>
      <c r="E652" s="122"/>
      <c r="F652" s="194"/>
      <c r="G652" s="195"/>
      <c r="H652" s="195"/>
      <c r="I652" s="195"/>
      <c r="J652" s="196"/>
      <c r="K652" s="197"/>
      <c r="L652" s="198"/>
      <c r="M652" s="199"/>
      <c r="N652" s="200"/>
      <c r="O652" s="201"/>
      <c r="P652" s="201"/>
      <c r="Q652" s="201"/>
      <c r="R652" s="201"/>
      <c r="S652" s="201"/>
      <c r="T652" s="201"/>
      <c r="U652" s="201"/>
      <c r="V652" s="201"/>
      <c r="W652" s="201"/>
      <c r="X652" s="202"/>
      <c r="Y652" s="203"/>
      <c r="Z652" s="204"/>
      <c r="AA652" s="205"/>
      <c r="AB652" s="206"/>
      <c r="AC652" s="206"/>
      <c r="AD652" s="194"/>
      <c r="AE652" s="201"/>
      <c r="AF652" s="207"/>
      <c r="AG652" s="208"/>
      <c r="AH652" s="209"/>
      <c r="AI652" s="210"/>
      <c r="AJ652" s="197"/>
      <c r="AK652" s="201"/>
      <c r="AL652" s="196"/>
      <c r="AM652" s="201"/>
      <c r="AN652" s="201"/>
      <c r="AO652" s="201"/>
      <c r="AP652" s="211"/>
      <c r="AQ652" s="212"/>
      <c r="AR652" s="201"/>
      <c r="AS652" s="201"/>
      <c r="AT652" s="201"/>
      <c r="AU652" s="201"/>
      <c r="AV652" s="202"/>
      <c r="AW652" s="194"/>
      <c r="AX652" s="201"/>
      <c r="AY652" s="213"/>
      <c r="AZ652" s="214"/>
      <c r="BA652" s="215"/>
      <c r="BB652" s="216"/>
      <c r="BC652" s="217" t="str">
        <f t="shared" si="139"/>
        <v/>
      </c>
      <c r="BD652" s="218"/>
      <c r="BE652" s="219"/>
      <c r="BF652" s="220"/>
      <c r="BG652" s="219"/>
      <c r="BH652" s="219"/>
      <c r="BI652" s="220"/>
      <c r="BJ652" s="218"/>
      <c r="BK652" s="219"/>
      <c r="BL652" s="197"/>
      <c r="BM652" s="215"/>
      <c r="BN652" s="221"/>
      <c r="BO652" s="222" t="str">
        <f t="shared" si="140"/>
        <v/>
      </c>
      <c r="BP652" s="217" t="str">
        <f t="shared" si="141"/>
        <v/>
      </c>
      <c r="BQ652" s="215"/>
      <c r="BR652" s="224"/>
      <c r="BS652" s="225"/>
      <c r="BT652" s="223"/>
      <c r="BU652" s="215"/>
      <c r="BV652" s="226"/>
      <c r="BW652" s="222" t="str">
        <f t="shared" si="130"/>
        <v/>
      </c>
      <c r="BX652" s="223" t="str">
        <f t="shared" si="142"/>
        <v/>
      </c>
      <c r="BY652" s="215"/>
      <c r="BZ652" s="227"/>
      <c r="CA652" s="227"/>
      <c r="CB652" s="228"/>
      <c r="CC652" s="229"/>
      <c r="CD652" s="230" t="str">
        <f t="shared" si="131"/>
        <v/>
      </c>
      <c r="CE652" s="231" t="str">
        <f t="shared" si="132"/>
        <v/>
      </c>
      <c r="CF652" s="232" t="str">
        <f t="shared" si="133"/>
        <v/>
      </c>
      <c r="CG652" s="233" t="str">
        <f t="shared" si="134"/>
        <v/>
      </c>
      <c r="CH652" s="207" t="str">
        <f>IF(OR(G652="",CC652= ""), "", IF(ISERROR(SMALL((CJ652,CN652,CV652), 1)-CC652), "",  SMALL((CJ652,CN652,CV652), 1)-CC652))</f>
        <v/>
      </c>
      <c r="CI652" s="234"/>
      <c r="CJ652" s="235"/>
      <c r="CK652" s="236"/>
      <c r="CL652" s="222" t="str">
        <f t="shared" si="135"/>
        <v/>
      </c>
      <c r="CM652" s="237" t="str">
        <f>IF(OR(G652="", CJ652="",CK652=""), "", IF(ISERROR(SMALL((CN652,CV652), 1)-CK652), "",  SMALL((CN652,CV652), 1)-CK652))</f>
        <v/>
      </c>
      <c r="CN652" s="235"/>
      <c r="CO652" s="236"/>
      <c r="CP652" s="224" t="str">
        <f t="shared" si="136"/>
        <v/>
      </c>
      <c r="CQ652" s="235"/>
      <c r="CR652" s="236"/>
      <c r="CS652" s="222" t="str">
        <f t="shared" si="137"/>
        <v/>
      </c>
      <c r="CT652" s="237" t="str">
        <f t="shared" si="138"/>
        <v/>
      </c>
      <c r="CU652" s="238"/>
      <c r="CV652" s="239"/>
      <c r="CW652" s="240"/>
    </row>
    <row r="653" spans="2:101" ht="16.5" customHeight="1">
      <c r="B653" s="122"/>
      <c r="E653" s="122"/>
      <c r="F653" s="194"/>
      <c r="G653" s="195"/>
      <c r="H653" s="195"/>
      <c r="I653" s="195"/>
      <c r="J653" s="196"/>
      <c r="K653" s="197"/>
      <c r="L653" s="198"/>
      <c r="M653" s="199"/>
      <c r="N653" s="200"/>
      <c r="O653" s="201"/>
      <c r="P653" s="201"/>
      <c r="Q653" s="201"/>
      <c r="R653" s="201"/>
      <c r="S653" s="201"/>
      <c r="T653" s="201"/>
      <c r="U653" s="201"/>
      <c r="V653" s="201"/>
      <c r="W653" s="201"/>
      <c r="X653" s="202"/>
      <c r="Y653" s="203"/>
      <c r="Z653" s="204"/>
      <c r="AA653" s="205"/>
      <c r="AB653" s="206"/>
      <c r="AC653" s="206"/>
      <c r="AD653" s="194"/>
      <c r="AE653" s="201"/>
      <c r="AF653" s="207"/>
      <c r="AG653" s="208"/>
      <c r="AH653" s="209"/>
      <c r="AI653" s="210"/>
      <c r="AJ653" s="197"/>
      <c r="AK653" s="201"/>
      <c r="AL653" s="196"/>
      <c r="AM653" s="201"/>
      <c r="AN653" s="201"/>
      <c r="AO653" s="201"/>
      <c r="AP653" s="211"/>
      <c r="AQ653" s="212"/>
      <c r="AR653" s="201"/>
      <c r="AS653" s="201"/>
      <c r="AT653" s="201"/>
      <c r="AU653" s="201"/>
      <c r="AV653" s="202"/>
      <c r="AW653" s="194"/>
      <c r="AX653" s="201"/>
      <c r="AY653" s="213"/>
      <c r="AZ653" s="214"/>
      <c r="BA653" s="215"/>
      <c r="BB653" s="216"/>
      <c r="BC653" s="217" t="str">
        <f t="shared" si="139"/>
        <v/>
      </c>
      <c r="BD653" s="218"/>
      <c r="BE653" s="219"/>
      <c r="BF653" s="220"/>
      <c r="BG653" s="219"/>
      <c r="BH653" s="219"/>
      <c r="BI653" s="220"/>
      <c r="BJ653" s="218"/>
      <c r="BK653" s="219"/>
      <c r="BL653" s="197"/>
      <c r="BM653" s="215"/>
      <c r="BN653" s="221"/>
      <c r="BO653" s="222" t="str">
        <f t="shared" si="140"/>
        <v/>
      </c>
      <c r="BP653" s="217" t="str">
        <f t="shared" si="141"/>
        <v/>
      </c>
      <c r="BQ653" s="215"/>
      <c r="BR653" s="224"/>
      <c r="BS653" s="225"/>
      <c r="BT653" s="223"/>
      <c r="BU653" s="215"/>
      <c r="BV653" s="226"/>
      <c r="BW653" s="222" t="str">
        <f t="shared" si="130"/>
        <v/>
      </c>
      <c r="BX653" s="223" t="str">
        <f t="shared" si="142"/>
        <v/>
      </c>
      <c r="BY653" s="215"/>
      <c r="BZ653" s="227"/>
      <c r="CA653" s="227"/>
      <c r="CB653" s="228"/>
      <c r="CC653" s="229"/>
      <c r="CD653" s="230" t="str">
        <f t="shared" si="131"/>
        <v/>
      </c>
      <c r="CE653" s="231" t="str">
        <f t="shared" si="132"/>
        <v/>
      </c>
      <c r="CF653" s="232" t="str">
        <f t="shared" si="133"/>
        <v/>
      </c>
      <c r="CG653" s="233" t="str">
        <f t="shared" si="134"/>
        <v/>
      </c>
      <c r="CH653" s="207" t="str">
        <f>IF(OR(G653="",CC653= ""), "", IF(ISERROR(SMALL((CJ653,CN653,CV653), 1)-CC653), "",  SMALL((CJ653,CN653,CV653), 1)-CC653))</f>
        <v/>
      </c>
      <c r="CI653" s="234"/>
      <c r="CJ653" s="235"/>
      <c r="CK653" s="236"/>
      <c r="CL653" s="222" t="str">
        <f t="shared" si="135"/>
        <v/>
      </c>
      <c r="CM653" s="237" t="str">
        <f>IF(OR(G653="", CJ653="",CK653=""), "", IF(ISERROR(SMALL((CN653,CV653), 1)-CK653), "",  SMALL((CN653,CV653), 1)-CK653))</f>
        <v/>
      </c>
      <c r="CN653" s="235"/>
      <c r="CO653" s="236"/>
      <c r="CP653" s="224" t="str">
        <f t="shared" si="136"/>
        <v/>
      </c>
      <c r="CQ653" s="235"/>
      <c r="CR653" s="236"/>
      <c r="CS653" s="222" t="str">
        <f t="shared" si="137"/>
        <v/>
      </c>
      <c r="CT653" s="237" t="str">
        <f t="shared" si="138"/>
        <v/>
      </c>
      <c r="CU653" s="238"/>
      <c r="CV653" s="239"/>
      <c r="CW653" s="240"/>
    </row>
    <row r="654" spans="2:101" ht="16.5" customHeight="1">
      <c r="B654" s="122"/>
      <c r="E654" s="122"/>
      <c r="F654" s="194"/>
      <c r="G654" s="195"/>
      <c r="H654" s="195"/>
      <c r="I654" s="195"/>
      <c r="J654" s="196"/>
      <c r="K654" s="197"/>
      <c r="L654" s="198"/>
      <c r="M654" s="199"/>
      <c r="N654" s="200"/>
      <c r="O654" s="201"/>
      <c r="P654" s="201"/>
      <c r="Q654" s="201"/>
      <c r="R654" s="201"/>
      <c r="S654" s="201"/>
      <c r="T654" s="201"/>
      <c r="U654" s="201"/>
      <c r="V654" s="201"/>
      <c r="W654" s="201"/>
      <c r="X654" s="202"/>
      <c r="Y654" s="203"/>
      <c r="Z654" s="204"/>
      <c r="AA654" s="205"/>
      <c r="AB654" s="206"/>
      <c r="AC654" s="206"/>
      <c r="AD654" s="194"/>
      <c r="AE654" s="201"/>
      <c r="AF654" s="207"/>
      <c r="AG654" s="208"/>
      <c r="AH654" s="209"/>
      <c r="AI654" s="210"/>
      <c r="AJ654" s="197"/>
      <c r="AK654" s="201"/>
      <c r="AL654" s="196"/>
      <c r="AM654" s="201"/>
      <c r="AN654" s="201"/>
      <c r="AO654" s="201"/>
      <c r="AP654" s="211"/>
      <c r="AQ654" s="212"/>
      <c r="AR654" s="201"/>
      <c r="AS654" s="201"/>
      <c r="AT654" s="201"/>
      <c r="AU654" s="201"/>
      <c r="AV654" s="202"/>
      <c r="AW654" s="194"/>
      <c r="AX654" s="201"/>
      <c r="AY654" s="213"/>
      <c r="AZ654" s="214"/>
      <c r="BA654" s="215"/>
      <c r="BB654" s="216"/>
      <c r="BC654" s="217" t="str">
        <f t="shared" si="139"/>
        <v/>
      </c>
      <c r="BD654" s="218"/>
      <c r="BE654" s="219"/>
      <c r="BF654" s="220"/>
      <c r="BG654" s="219"/>
      <c r="BH654" s="219"/>
      <c r="BI654" s="220"/>
      <c r="BJ654" s="218"/>
      <c r="BK654" s="219"/>
      <c r="BL654" s="197"/>
      <c r="BM654" s="215"/>
      <c r="BN654" s="221"/>
      <c r="BO654" s="222" t="str">
        <f t="shared" si="140"/>
        <v/>
      </c>
      <c r="BP654" s="217" t="str">
        <f t="shared" si="141"/>
        <v/>
      </c>
      <c r="BQ654" s="215"/>
      <c r="BR654" s="224"/>
      <c r="BS654" s="225"/>
      <c r="BT654" s="223"/>
      <c r="BU654" s="215"/>
      <c r="BV654" s="226"/>
      <c r="BW654" s="222" t="str">
        <f t="shared" si="130"/>
        <v/>
      </c>
      <c r="BX654" s="223" t="str">
        <f t="shared" si="142"/>
        <v/>
      </c>
      <c r="BY654" s="215"/>
      <c r="BZ654" s="227"/>
      <c r="CA654" s="227"/>
      <c r="CB654" s="228"/>
      <c r="CC654" s="229"/>
      <c r="CD654" s="230" t="str">
        <f t="shared" si="131"/>
        <v/>
      </c>
      <c r="CE654" s="231" t="str">
        <f t="shared" si="132"/>
        <v/>
      </c>
      <c r="CF654" s="232" t="str">
        <f t="shared" si="133"/>
        <v/>
      </c>
      <c r="CG654" s="233" t="str">
        <f t="shared" si="134"/>
        <v/>
      </c>
      <c r="CH654" s="207" t="str">
        <f>IF(OR(G654="",CC654= ""), "", IF(ISERROR(SMALL((CJ654,CN654,CV654), 1)-CC654), "",  SMALL((CJ654,CN654,CV654), 1)-CC654))</f>
        <v/>
      </c>
      <c r="CI654" s="234"/>
      <c r="CJ654" s="235"/>
      <c r="CK654" s="236"/>
      <c r="CL654" s="222" t="str">
        <f t="shared" si="135"/>
        <v/>
      </c>
      <c r="CM654" s="237" t="str">
        <f>IF(OR(G654="", CJ654="",CK654=""), "", IF(ISERROR(SMALL((CN654,CV654), 1)-CK654), "",  SMALL((CN654,CV654), 1)-CK654))</f>
        <v/>
      </c>
      <c r="CN654" s="235"/>
      <c r="CO654" s="236"/>
      <c r="CP654" s="224" t="str">
        <f t="shared" si="136"/>
        <v/>
      </c>
      <c r="CQ654" s="235"/>
      <c r="CR654" s="236"/>
      <c r="CS654" s="222" t="str">
        <f t="shared" si="137"/>
        <v/>
      </c>
      <c r="CT654" s="237" t="str">
        <f t="shared" si="138"/>
        <v/>
      </c>
      <c r="CU654" s="238"/>
      <c r="CV654" s="239"/>
      <c r="CW654" s="240"/>
    </row>
    <row r="655" spans="2:101" ht="16.5" customHeight="1">
      <c r="B655" s="122"/>
      <c r="E655" s="122"/>
      <c r="F655" s="194"/>
      <c r="G655" s="195"/>
      <c r="H655" s="195"/>
      <c r="I655" s="195"/>
      <c r="J655" s="196"/>
      <c r="K655" s="197"/>
      <c r="L655" s="198"/>
      <c r="M655" s="199"/>
      <c r="N655" s="200"/>
      <c r="O655" s="201"/>
      <c r="P655" s="201"/>
      <c r="Q655" s="201"/>
      <c r="R655" s="201"/>
      <c r="S655" s="201"/>
      <c r="T655" s="201"/>
      <c r="U655" s="201"/>
      <c r="V655" s="201"/>
      <c r="W655" s="201"/>
      <c r="X655" s="202"/>
      <c r="Y655" s="203"/>
      <c r="Z655" s="204"/>
      <c r="AA655" s="205"/>
      <c r="AB655" s="206"/>
      <c r="AC655" s="206"/>
      <c r="AD655" s="194"/>
      <c r="AE655" s="201"/>
      <c r="AF655" s="207"/>
      <c r="AG655" s="208"/>
      <c r="AH655" s="209"/>
      <c r="AI655" s="210"/>
      <c r="AJ655" s="197"/>
      <c r="AK655" s="201"/>
      <c r="AL655" s="196"/>
      <c r="AM655" s="201"/>
      <c r="AN655" s="201"/>
      <c r="AO655" s="201"/>
      <c r="AP655" s="211"/>
      <c r="AQ655" s="212"/>
      <c r="AR655" s="201"/>
      <c r="AS655" s="201"/>
      <c r="AT655" s="201"/>
      <c r="AU655" s="201"/>
      <c r="AV655" s="202"/>
      <c r="AW655" s="194"/>
      <c r="AX655" s="201"/>
      <c r="AY655" s="213"/>
      <c r="AZ655" s="214"/>
      <c r="BA655" s="215"/>
      <c r="BB655" s="216"/>
      <c r="BC655" s="217" t="str">
        <f t="shared" si="139"/>
        <v/>
      </c>
      <c r="BD655" s="218"/>
      <c r="BE655" s="219"/>
      <c r="BF655" s="220"/>
      <c r="BG655" s="219"/>
      <c r="BH655" s="219"/>
      <c r="BI655" s="220"/>
      <c r="BJ655" s="218"/>
      <c r="BK655" s="219"/>
      <c r="BL655" s="197"/>
      <c r="BM655" s="215"/>
      <c r="BN655" s="221"/>
      <c r="BO655" s="222" t="str">
        <f t="shared" si="140"/>
        <v/>
      </c>
      <c r="BP655" s="217" t="str">
        <f t="shared" si="141"/>
        <v/>
      </c>
      <c r="BQ655" s="215"/>
      <c r="BR655" s="224"/>
      <c r="BS655" s="225"/>
      <c r="BT655" s="223"/>
      <c r="BU655" s="215"/>
      <c r="BV655" s="226"/>
      <c r="BW655" s="222" t="str">
        <f t="shared" si="130"/>
        <v/>
      </c>
      <c r="BX655" s="223" t="str">
        <f t="shared" si="142"/>
        <v/>
      </c>
      <c r="BY655" s="215"/>
      <c r="BZ655" s="227"/>
      <c r="CA655" s="227"/>
      <c r="CB655" s="228"/>
      <c r="CC655" s="229"/>
      <c r="CD655" s="230" t="str">
        <f t="shared" si="131"/>
        <v/>
      </c>
      <c r="CE655" s="231" t="str">
        <f t="shared" si="132"/>
        <v/>
      </c>
      <c r="CF655" s="232" t="str">
        <f t="shared" si="133"/>
        <v/>
      </c>
      <c r="CG655" s="233" t="str">
        <f t="shared" si="134"/>
        <v/>
      </c>
      <c r="CH655" s="207" t="str">
        <f>IF(OR(G655="",CC655= ""), "", IF(ISERROR(SMALL((CJ655,CN655,CV655), 1)-CC655), "",  SMALL((CJ655,CN655,CV655), 1)-CC655))</f>
        <v/>
      </c>
      <c r="CI655" s="234"/>
      <c r="CJ655" s="235"/>
      <c r="CK655" s="236"/>
      <c r="CL655" s="222" t="str">
        <f t="shared" si="135"/>
        <v/>
      </c>
      <c r="CM655" s="237" t="str">
        <f>IF(OR(G655="", CJ655="",CK655=""), "", IF(ISERROR(SMALL((CN655,CV655), 1)-CK655), "",  SMALL((CN655,CV655), 1)-CK655))</f>
        <v/>
      </c>
      <c r="CN655" s="235"/>
      <c r="CO655" s="236"/>
      <c r="CP655" s="224" t="str">
        <f t="shared" si="136"/>
        <v/>
      </c>
      <c r="CQ655" s="235"/>
      <c r="CR655" s="236"/>
      <c r="CS655" s="222" t="str">
        <f t="shared" si="137"/>
        <v/>
      </c>
      <c r="CT655" s="237" t="str">
        <f t="shared" si="138"/>
        <v/>
      </c>
      <c r="CU655" s="238"/>
      <c r="CV655" s="239"/>
      <c r="CW655" s="240"/>
    </row>
    <row r="656" spans="2:101" ht="16.5" customHeight="1">
      <c r="B656" s="122"/>
      <c r="E656" s="122"/>
      <c r="F656" s="194"/>
      <c r="G656" s="195"/>
      <c r="H656" s="195"/>
      <c r="I656" s="195"/>
      <c r="J656" s="196"/>
      <c r="K656" s="197"/>
      <c r="L656" s="198"/>
      <c r="M656" s="199"/>
      <c r="N656" s="200"/>
      <c r="O656" s="201"/>
      <c r="P656" s="201"/>
      <c r="Q656" s="201"/>
      <c r="R656" s="201"/>
      <c r="S656" s="201"/>
      <c r="T656" s="201"/>
      <c r="U656" s="201"/>
      <c r="V656" s="201"/>
      <c r="W656" s="201"/>
      <c r="X656" s="202"/>
      <c r="Y656" s="203"/>
      <c r="Z656" s="204"/>
      <c r="AA656" s="205"/>
      <c r="AB656" s="206"/>
      <c r="AC656" s="206"/>
      <c r="AD656" s="194"/>
      <c r="AE656" s="201"/>
      <c r="AF656" s="207"/>
      <c r="AG656" s="208"/>
      <c r="AH656" s="209"/>
      <c r="AI656" s="210"/>
      <c r="AJ656" s="197"/>
      <c r="AK656" s="201"/>
      <c r="AL656" s="196"/>
      <c r="AM656" s="201"/>
      <c r="AN656" s="201"/>
      <c r="AO656" s="201"/>
      <c r="AP656" s="211"/>
      <c r="AQ656" s="212"/>
      <c r="AR656" s="201"/>
      <c r="AS656" s="201"/>
      <c r="AT656" s="201"/>
      <c r="AU656" s="201"/>
      <c r="AV656" s="202"/>
      <c r="AW656" s="194"/>
      <c r="AX656" s="201"/>
      <c r="AY656" s="213"/>
      <c r="AZ656" s="214"/>
      <c r="BA656" s="215"/>
      <c r="BB656" s="216"/>
      <c r="BC656" s="217" t="str">
        <f t="shared" si="139"/>
        <v/>
      </c>
      <c r="BD656" s="218"/>
      <c r="BE656" s="219"/>
      <c r="BF656" s="220"/>
      <c r="BG656" s="219"/>
      <c r="BH656" s="219"/>
      <c r="BI656" s="220"/>
      <c r="BJ656" s="218"/>
      <c r="BK656" s="219"/>
      <c r="BL656" s="197"/>
      <c r="BM656" s="215"/>
      <c r="BN656" s="221"/>
      <c r="BO656" s="222" t="str">
        <f t="shared" si="140"/>
        <v/>
      </c>
      <c r="BP656" s="217" t="str">
        <f t="shared" si="141"/>
        <v/>
      </c>
      <c r="BQ656" s="215"/>
      <c r="BR656" s="224"/>
      <c r="BS656" s="225"/>
      <c r="BT656" s="223"/>
      <c r="BU656" s="215"/>
      <c r="BV656" s="226"/>
      <c r="BW656" s="222" t="str">
        <f t="shared" si="130"/>
        <v/>
      </c>
      <c r="BX656" s="223" t="str">
        <f t="shared" si="142"/>
        <v/>
      </c>
      <c r="BY656" s="215"/>
      <c r="BZ656" s="227"/>
      <c r="CA656" s="227"/>
      <c r="CB656" s="228"/>
      <c r="CC656" s="229"/>
      <c r="CD656" s="230" t="str">
        <f t="shared" si="131"/>
        <v/>
      </c>
      <c r="CE656" s="231" t="str">
        <f t="shared" si="132"/>
        <v/>
      </c>
      <c r="CF656" s="232" t="str">
        <f t="shared" si="133"/>
        <v/>
      </c>
      <c r="CG656" s="233" t="str">
        <f t="shared" si="134"/>
        <v/>
      </c>
      <c r="CH656" s="207" t="str">
        <f>IF(OR(G656="",CC656= ""), "", IF(ISERROR(SMALL((CJ656,CN656,CV656), 1)-CC656), "",  SMALL((CJ656,CN656,CV656), 1)-CC656))</f>
        <v/>
      </c>
      <c r="CI656" s="234"/>
      <c r="CJ656" s="235"/>
      <c r="CK656" s="236"/>
      <c r="CL656" s="222" t="str">
        <f t="shared" si="135"/>
        <v/>
      </c>
      <c r="CM656" s="237" t="str">
        <f>IF(OR(G656="", CJ656="",CK656=""), "", IF(ISERROR(SMALL((CN656,CV656), 1)-CK656), "",  SMALL((CN656,CV656), 1)-CK656))</f>
        <v/>
      </c>
      <c r="CN656" s="235"/>
      <c r="CO656" s="236"/>
      <c r="CP656" s="224" t="str">
        <f t="shared" si="136"/>
        <v/>
      </c>
      <c r="CQ656" s="235"/>
      <c r="CR656" s="236"/>
      <c r="CS656" s="222" t="str">
        <f t="shared" si="137"/>
        <v/>
      </c>
      <c r="CT656" s="237" t="str">
        <f t="shared" si="138"/>
        <v/>
      </c>
      <c r="CU656" s="238"/>
      <c r="CV656" s="239"/>
      <c r="CW656" s="240"/>
    </row>
    <row r="657" spans="2:101" ht="16.5" customHeight="1">
      <c r="B657" s="122"/>
      <c r="E657" s="122"/>
      <c r="F657" s="194"/>
      <c r="G657" s="195"/>
      <c r="H657" s="195"/>
      <c r="I657" s="195"/>
      <c r="J657" s="196"/>
      <c r="K657" s="197"/>
      <c r="L657" s="198"/>
      <c r="M657" s="199"/>
      <c r="N657" s="200"/>
      <c r="O657" s="201"/>
      <c r="P657" s="201"/>
      <c r="Q657" s="201"/>
      <c r="R657" s="201"/>
      <c r="S657" s="201"/>
      <c r="T657" s="201"/>
      <c r="U657" s="201"/>
      <c r="V657" s="201"/>
      <c r="W657" s="201"/>
      <c r="X657" s="202"/>
      <c r="Y657" s="203"/>
      <c r="Z657" s="204"/>
      <c r="AA657" s="205"/>
      <c r="AB657" s="206"/>
      <c r="AC657" s="206"/>
      <c r="AD657" s="194"/>
      <c r="AE657" s="201"/>
      <c r="AF657" s="207"/>
      <c r="AG657" s="208"/>
      <c r="AH657" s="209"/>
      <c r="AI657" s="210"/>
      <c r="AJ657" s="197"/>
      <c r="AK657" s="201"/>
      <c r="AL657" s="196"/>
      <c r="AM657" s="201"/>
      <c r="AN657" s="201"/>
      <c r="AO657" s="201"/>
      <c r="AP657" s="211"/>
      <c r="AQ657" s="212"/>
      <c r="AR657" s="201"/>
      <c r="AS657" s="201"/>
      <c r="AT657" s="201"/>
      <c r="AU657" s="201"/>
      <c r="AV657" s="202"/>
      <c r="AW657" s="194"/>
      <c r="AX657" s="201"/>
      <c r="AY657" s="213"/>
      <c r="AZ657" s="214"/>
      <c r="BA657" s="215"/>
      <c r="BB657" s="216"/>
      <c r="BC657" s="217" t="str">
        <f t="shared" si="139"/>
        <v/>
      </c>
      <c r="BD657" s="218"/>
      <c r="BE657" s="219"/>
      <c r="BF657" s="220"/>
      <c r="BG657" s="219"/>
      <c r="BH657" s="219"/>
      <c r="BI657" s="220"/>
      <c r="BJ657" s="218"/>
      <c r="BK657" s="219"/>
      <c r="BL657" s="197"/>
      <c r="BM657" s="215"/>
      <c r="BN657" s="221"/>
      <c r="BO657" s="222" t="str">
        <f t="shared" si="140"/>
        <v/>
      </c>
      <c r="BP657" s="217" t="str">
        <f t="shared" si="141"/>
        <v/>
      </c>
      <c r="BQ657" s="215"/>
      <c r="BR657" s="224"/>
      <c r="BS657" s="225"/>
      <c r="BT657" s="223"/>
      <c r="BU657" s="215"/>
      <c r="BV657" s="226"/>
      <c r="BW657" s="222" t="str">
        <f t="shared" si="130"/>
        <v/>
      </c>
      <c r="BX657" s="223" t="str">
        <f t="shared" si="142"/>
        <v/>
      </c>
      <c r="BY657" s="215"/>
      <c r="BZ657" s="227"/>
      <c r="CA657" s="227"/>
      <c r="CB657" s="228"/>
      <c r="CC657" s="229"/>
      <c r="CD657" s="230" t="str">
        <f t="shared" si="131"/>
        <v/>
      </c>
      <c r="CE657" s="231" t="str">
        <f t="shared" si="132"/>
        <v/>
      </c>
      <c r="CF657" s="232" t="str">
        <f t="shared" si="133"/>
        <v/>
      </c>
      <c r="CG657" s="233" t="str">
        <f t="shared" si="134"/>
        <v/>
      </c>
      <c r="CH657" s="207" t="str">
        <f>IF(OR(G657="",CC657= ""), "", IF(ISERROR(SMALL((CJ657,CN657,CV657), 1)-CC657), "",  SMALL((CJ657,CN657,CV657), 1)-CC657))</f>
        <v/>
      </c>
      <c r="CI657" s="234"/>
      <c r="CJ657" s="235"/>
      <c r="CK657" s="236"/>
      <c r="CL657" s="222" t="str">
        <f t="shared" si="135"/>
        <v/>
      </c>
      <c r="CM657" s="237" t="str">
        <f>IF(OR(G657="", CJ657="",CK657=""), "", IF(ISERROR(SMALL((CN657,CV657), 1)-CK657), "",  SMALL((CN657,CV657), 1)-CK657))</f>
        <v/>
      </c>
      <c r="CN657" s="235"/>
      <c r="CO657" s="236"/>
      <c r="CP657" s="224" t="str">
        <f t="shared" si="136"/>
        <v/>
      </c>
      <c r="CQ657" s="235"/>
      <c r="CR657" s="236"/>
      <c r="CS657" s="222" t="str">
        <f t="shared" si="137"/>
        <v/>
      </c>
      <c r="CT657" s="237" t="str">
        <f t="shared" si="138"/>
        <v/>
      </c>
      <c r="CU657" s="238"/>
      <c r="CV657" s="239"/>
      <c r="CW657" s="240"/>
    </row>
    <row r="658" spans="2:101" ht="16.5" customHeight="1">
      <c r="B658" s="122"/>
      <c r="E658" s="122"/>
      <c r="F658" s="194"/>
      <c r="G658" s="195"/>
      <c r="H658" s="195"/>
      <c r="I658" s="195"/>
      <c r="J658" s="196"/>
      <c r="K658" s="197"/>
      <c r="L658" s="198"/>
      <c r="M658" s="199"/>
      <c r="N658" s="200"/>
      <c r="O658" s="201"/>
      <c r="P658" s="201"/>
      <c r="Q658" s="201"/>
      <c r="R658" s="201"/>
      <c r="S658" s="201"/>
      <c r="T658" s="201"/>
      <c r="U658" s="201"/>
      <c r="V658" s="201"/>
      <c r="W658" s="201"/>
      <c r="X658" s="202"/>
      <c r="Y658" s="203"/>
      <c r="Z658" s="204"/>
      <c r="AA658" s="205"/>
      <c r="AB658" s="206"/>
      <c r="AC658" s="206"/>
      <c r="AD658" s="194"/>
      <c r="AE658" s="201"/>
      <c r="AF658" s="207"/>
      <c r="AG658" s="208"/>
      <c r="AH658" s="209"/>
      <c r="AI658" s="210"/>
      <c r="AJ658" s="197"/>
      <c r="AK658" s="201"/>
      <c r="AL658" s="196"/>
      <c r="AM658" s="201"/>
      <c r="AN658" s="201"/>
      <c r="AO658" s="201"/>
      <c r="AP658" s="211"/>
      <c r="AQ658" s="212"/>
      <c r="AR658" s="201"/>
      <c r="AS658" s="201"/>
      <c r="AT658" s="201"/>
      <c r="AU658" s="201"/>
      <c r="AV658" s="202"/>
      <c r="AW658" s="194"/>
      <c r="AX658" s="201"/>
      <c r="AY658" s="213"/>
      <c r="AZ658" s="214"/>
      <c r="BA658" s="215"/>
      <c r="BB658" s="216"/>
      <c r="BC658" s="217" t="str">
        <f t="shared" si="139"/>
        <v/>
      </c>
      <c r="BD658" s="218"/>
      <c r="BE658" s="219"/>
      <c r="BF658" s="220"/>
      <c r="BG658" s="219"/>
      <c r="BH658" s="219"/>
      <c r="BI658" s="220"/>
      <c r="BJ658" s="218"/>
      <c r="BK658" s="219"/>
      <c r="BL658" s="197"/>
      <c r="BM658" s="215"/>
      <c r="BN658" s="221"/>
      <c r="BO658" s="222" t="str">
        <f t="shared" si="140"/>
        <v/>
      </c>
      <c r="BP658" s="217" t="str">
        <f t="shared" si="141"/>
        <v/>
      </c>
      <c r="BQ658" s="215"/>
      <c r="BR658" s="224"/>
      <c r="BS658" s="225"/>
      <c r="BT658" s="223"/>
      <c r="BU658" s="215"/>
      <c r="BV658" s="226"/>
      <c r="BW658" s="222" t="str">
        <f t="shared" si="130"/>
        <v/>
      </c>
      <c r="BX658" s="223" t="str">
        <f t="shared" si="142"/>
        <v/>
      </c>
      <c r="BY658" s="215"/>
      <c r="BZ658" s="227"/>
      <c r="CA658" s="227"/>
      <c r="CB658" s="228"/>
      <c r="CC658" s="229"/>
      <c r="CD658" s="230" t="str">
        <f t="shared" si="131"/>
        <v/>
      </c>
      <c r="CE658" s="231" t="str">
        <f t="shared" si="132"/>
        <v/>
      </c>
      <c r="CF658" s="232" t="str">
        <f t="shared" si="133"/>
        <v/>
      </c>
      <c r="CG658" s="233" t="str">
        <f t="shared" si="134"/>
        <v/>
      </c>
      <c r="CH658" s="207" t="str">
        <f>IF(OR(G658="",CC658= ""), "", IF(ISERROR(SMALL((CJ658,CN658,CV658), 1)-CC658), "",  SMALL((CJ658,CN658,CV658), 1)-CC658))</f>
        <v/>
      </c>
      <c r="CI658" s="234"/>
      <c r="CJ658" s="235"/>
      <c r="CK658" s="236"/>
      <c r="CL658" s="222" t="str">
        <f t="shared" si="135"/>
        <v/>
      </c>
      <c r="CM658" s="237" t="str">
        <f>IF(OR(G658="", CJ658="",CK658=""), "", IF(ISERROR(SMALL((CN658,CV658), 1)-CK658), "",  SMALL((CN658,CV658), 1)-CK658))</f>
        <v/>
      </c>
      <c r="CN658" s="235"/>
      <c r="CO658" s="236"/>
      <c r="CP658" s="224" t="str">
        <f t="shared" si="136"/>
        <v/>
      </c>
      <c r="CQ658" s="235"/>
      <c r="CR658" s="236"/>
      <c r="CS658" s="222" t="str">
        <f t="shared" si="137"/>
        <v/>
      </c>
      <c r="CT658" s="237" t="str">
        <f t="shared" si="138"/>
        <v/>
      </c>
      <c r="CU658" s="238"/>
      <c r="CV658" s="239"/>
      <c r="CW658" s="240"/>
    </row>
    <row r="659" spans="2:101" ht="16.5" customHeight="1">
      <c r="B659" s="122"/>
      <c r="E659" s="122"/>
      <c r="F659" s="194"/>
      <c r="G659" s="195"/>
      <c r="H659" s="195"/>
      <c r="I659" s="195"/>
      <c r="J659" s="196"/>
      <c r="K659" s="197"/>
      <c r="L659" s="198"/>
      <c r="M659" s="199"/>
      <c r="N659" s="200"/>
      <c r="O659" s="201"/>
      <c r="P659" s="201"/>
      <c r="Q659" s="201"/>
      <c r="R659" s="201"/>
      <c r="S659" s="201"/>
      <c r="T659" s="201"/>
      <c r="U659" s="201"/>
      <c r="V659" s="201"/>
      <c r="W659" s="201"/>
      <c r="X659" s="202"/>
      <c r="Y659" s="203"/>
      <c r="Z659" s="204"/>
      <c r="AA659" s="205"/>
      <c r="AB659" s="206"/>
      <c r="AC659" s="206"/>
      <c r="AD659" s="194"/>
      <c r="AE659" s="201"/>
      <c r="AF659" s="207"/>
      <c r="AG659" s="208"/>
      <c r="AH659" s="209"/>
      <c r="AI659" s="210"/>
      <c r="AJ659" s="197"/>
      <c r="AK659" s="201"/>
      <c r="AL659" s="196"/>
      <c r="AM659" s="201"/>
      <c r="AN659" s="201"/>
      <c r="AO659" s="201"/>
      <c r="AP659" s="211"/>
      <c r="AQ659" s="212"/>
      <c r="AR659" s="201"/>
      <c r="AS659" s="201"/>
      <c r="AT659" s="201"/>
      <c r="AU659" s="201"/>
      <c r="AV659" s="202"/>
      <c r="AW659" s="194"/>
      <c r="AX659" s="201"/>
      <c r="AY659" s="213"/>
      <c r="AZ659" s="214"/>
      <c r="BA659" s="215"/>
      <c r="BB659" s="216"/>
      <c r="BC659" s="217" t="str">
        <f t="shared" si="139"/>
        <v/>
      </c>
      <c r="BD659" s="218"/>
      <c r="BE659" s="219"/>
      <c r="BF659" s="220"/>
      <c r="BG659" s="219"/>
      <c r="BH659" s="219"/>
      <c r="BI659" s="220"/>
      <c r="BJ659" s="218"/>
      <c r="BK659" s="219"/>
      <c r="BL659" s="197"/>
      <c r="BM659" s="215"/>
      <c r="BN659" s="221"/>
      <c r="BO659" s="222" t="str">
        <f t="shared" si="140"/>
        <v/>
      </c>
      <c r="BP659" s="217" t="str">
        <f t="shared" si="141"/>
        <v/>
      </c>
      <c r="BQ659" s="215"/>
      <c r="BR659" s="224"/>
      <c r="BS659" s="225"/>
      <c r="BT659" s="223"/>
      <c r="BU659" s="215"/>
      <c r="BV659" s="226"/>
      <c r="BW659" s="222" t="str">
        <f t="shared" si="130"/>
        <v/>
      </c>
      <c r="BX659" s="223" t="str">
        <f t="shared" si="142"/>
        <v/>
      </c>
      <c r="BY659" s="215"/>
      <c r="BZ659" s="227"/>
      <c r="CA659" s="227"/>
      <c r="CB659" s="228"/>
      <c r="CC659" s="229"/>
      <c r="CD659" s="230" t="str">
        <f t="shared" si="131"/>
        <v/>
      </c>
      <c r="CE659" s="231" t="str">
        <f t="shared" si="132"/>
        <v/>
      </c>
      <c r="CF659" s="232" t="str">
        <f t="shared" si="133"/>
        <v/>
      </c>
      <c r="CG659" s="233" t="str">
        <f t="shared" si="134"/>
        <v/>
      </c>
      <c r="CH659" s="207" t="str">
        <f>IF(OR(G659="",CC659= ""), "", IF(ISERROR(SMALL((CJ659,CN659,CV659), 1)-CC659), "",  SMALL((CJ659,CN659,CV659), 1)-CC659))</f>
        <v/>
      </c>
      <c r="CI659" s="234"/>
      <c r="CJ659" s="235"/>
      <c r="CK659" s="236"/>
      <c r="CL659" s="222" t="str">
        <f t="shared" si="135"/>
        <v/>
      </c>
      <c r="CM659" s="237" t="str">
        <f>IF(OR(G659="", CJ659="",CK659=""), "", IF(ISERROR(SMALL((CN659,CV659), 1)-CK659), "",  SMALL((CN659,CV659), 1)-CK659))</f>
        <v/>
      </c>
      <c r="CN659" s="235"/>
      <c r="CO659" s="236"/>
      <c r="CP659" s="224" t="str">
        <f t="shared" si="136"/>
        <v/>
      </c>
      <c r="CQ659" s="235"/>
      <c r="CR659" s="236"/>
      <c r="CS659" s="222" t="str">
        <f t="shared" si="137"/>
        <v/>
      </c>
      <c r="CT659" s="237" t="str">
        <f t="shared" si="138"/>
        <v/>
      </c>
      <c r="CU659" s="238"/>
      <c r="CV659" s="239"/>
      <c r="CW659" s="240"/>
    </row>
    <row r="660" spans="2:101" ht="16.5" customHeight="1">
      <c r="B660" s="122"/>
      <c r="E660" s="122"/>
      <c r="F660" s="194"/>
      <c r="G660" s="195"/>
      <c r="H660" s="195"/>
      <c r="I660" s="195"/>
      <c r="J660" s="196"/>
      <c r="K660" s="197"/>
      <c r="L660" s="198"/>
      <c r="M660" s="199"/>
      <c r="N660" s="200"/>
      <c r="O660" s="201"/>
      <c r="P660" s="201"/>
      <c r="Q660" s="201"/>
      <c r="R660" s="201"/>
      <c r="S660" s="201"/>
      <c r="T660" s="201"/>
      <c r="U660" s="201"/>
      <c r="V660" s="201"/>
      <c r="W660" s="201"/>
      <c r="X660" s="202"/>
      <c r="Y660" s="203"/>
      <c r="Z660" s="204"/>
      <c r="AA660" s="205"/>
      <c r="AB660" s="206"/>
      <c r="AC660" s="206"/>
      <c r="AD660" s="194"/>
      <c r="AE660" s="201"/>
      <c r="AF660" s="207"/>
      <c r="AG660" s="208"/>
      <c r="AH660" s="209"/>
      <c r="AI660" s="210"/>
      <c r="AJ660" s="197"/>
      <c r="AK660" s="201"/>
      <c r="AL660" s="196"/>
      <c r="AM660" s="201"/>
      <c r="AN660" s="201"/>
      <c r="AO660" s="201"/>
      <c r="AP660" s="211"/>
      <c r="AQ660" s="212"/>
      <c r="AR660" s="201"/>
      <c r="AS660" s="201"/>
      <c r="AT660" s="201"/>
      <c r="AU660" s="201"/>
      <c r="AV660" s="202"/>
      <c r="AW660" s="194"/>
      <c r="AX660" s="201"/>
      <c r="AY660" s="213"/>
      <c r="AZ660" s="214"/>
      <c r="BA660" s="215"/>
      <c r="BB660" s="216"/>
      <c r="BC660" s="217" t="str">
        <f t="shared" si="139"/>
        <v/>
      </c>
      <c r="BD660" s="218"/>
      <c r="BE660" s="219"/>
      <c r="BF660" s="220"/>
      <c r="BG660" s="219"/>
      <c r="BH660" s="219"/>
      <c r="BI660" s="220"/>
      <c r="BJ660" s="218"/>
      <c r="BK660" s="219"/>
      <c r="BL660" s="197"/>
      <c r="BM660" s="215"/>
      <c r="BN660" s="221"/>
      <c r="BO660" s="222" t="str">
        <f t="shared" si="140"/>
        <v/>
      </c>
      <c r="BP660" s="217" t="str">
        <f t="shared" si="141"/>
        <v/>
      </c>
      <c r="BQ660" s="215"/>
      <c r="BR660" s="224"/>
      <c r="BS660" s="225"/>
      <c r="BT660" s="223"/>
      <c r="BU660" s="215"/>
      <c r="BV660" s="226"/>
      <c r="BW660" s="222" t="str">
        <f t="shared" si="130"/>
        <v/>
      </c>
      <c r="BX660" s="223" t="str">
        <f t="shared" si="142"/>
        <v/>
      </c>
      <c r="BY660" s="215"/>
      <c r="BZ660" s="227"/>
      <c r="CA660" s="227"/>
      <c r="CB660" s="228"/>
      <c r="CC660" s="229"/>
      <c r="CD660" s="230" t="str">
        <f t="shared" si="131"/>
        <v/>
      </c>
      <c r="CE660" s="231" t="str">
        <f t="shared" si="132"/>
        <v/>
      </c>
      <c r="CF660" s="232" t="str">
        <f t="shared" si="133"/>
        <v/>
      </c>
      <c r="CG660" s="233" t="str">
        <f t="shared" si="134"/>
        <v/>
      </c>
      <c r="CH660" s="207" t="str">
        <f>IF(OR(G660="",CC660= ""), "", IF(ISERROR(SMALL((CJ660,CN660,CV660), 1)-CC660), "",  SMALL((CJ660,CN660,CV660), 1)-CC660))</f>
        <v/>
      </c>
      <c r="CI660" s="234"/>
      <c r="CJ660" s="235"/>
      <c r="CK660" s="236"/>
      <c r="CL660" s="222" t="str">
        <f t="shared" si="135"/>
        <v/>
      </c>
      <c r="CM660" s="237" t="str">
        <f>IF(OR(G660="", CJ660="",CK660=""), "", IF(ISERROR(SMALL((CN660,CV660), 1)-CK660), "",  SMALL((CN660,CV660), 1)-CK660))</f>
        <v/>
      </c>
      <c r="CN660" s="235"/>
      <c r="CO660" s="236"/>
      <c r="CP660" s="224" t="str">
        <f t="shared" si="136"/>
        <v/>
      </c>
      <c r="CQ660" s="235"/>
      <c r="CR660" s="236"/>
      <c r="CS660" s="222" t="str">
        <f t="shared" si="137"/>
        <v/>
      </c>
      <c r="CT660" s="237" t="str">
        <f t="shared" si="138"/>
        <v/>
      </c>
      <c r="CU660" s="238"/>
      <c r="CV660" s="239"/>
      <c r="CW660" s="240"/>
    </row>
    <row r="661" spans="2:101" ht="16.5" customHeight="1">
      <c r="B661" s="122"/>
      <c r="E661" s="122"/>
      <c r="F661" s="194"/>
      <c r="G661" s="195"/>
      <c r="H661" s="195"/>
      <c r="I661" s="195"/>
      <c r="J661" s="196"/>
      <c r="K661" s="197"/>
      <c r="L661" s="198"/>
      <c r="M661" s="199"/>
      <c r="N661" s="200"/>
      <c r="O661" s="201"/>
      <c r="P661" s="201"/>
      <c r="Q661" s="201"/>
      <c r="R661" s="201"/>
      <c r="S661" s="201"/>
      <c r="T661" s="201"/>
      <c r="U661" s="201"/>
      <c r="V661" s="201"/>
      <c r="W661" s="201"/>
      <c r="X661" s="202"/>
      <c r="Y661" s="203"/>
      <c r="Z661" s="204"/>
      <c r="AA661" s="205"/>
      <c r="AB661" s="206"/>
      <c r="AC661" s="206"/>
      <c r="AD661" s="194"/>
      <c r="AE661" s="201"/>
      <c r="AF661" s="207"/>
      <c r="AG661" s="208"/>
      <c r="AH661" s="209"/>
      <c r="AI661" s="210"/>
      <c r="AJ661" s="197"/>
      <c r="AK661" s="201"/>
      <c r="AL661" s="196"/>
      <c r="AM661" s="201"/>
      <c r="AN661" s="201"/>
      <c r="AO661" s="201"/>
      <c r="AP661" s="211"/>
      <c r="AQ661" s="212"/>
      <c r="AR661" s="201"/>
      <c r="AS661" s="201"/>
      <c r="AT661" s="201"/>
      <c r="AU661" s="201"/>
      <c r="AV661" s="202"/>
      <c r="AW661" s="194"/>
      <c r="AX661" s="201"/>
      <c r="AY661" s="213"/>
      <c r="AZ661" s="214"/>
      <c r="BA661" s="215"/>
      <c r="BB661" s="216"/>
      <c r="BC661" s="217" t="str">
        <f t="shared" si="139"/>
        <v/>
      </c>
      <c r="BD661" s="218"/>
      <c r="BE661" s="219"/>
      <c r="BF661" s="220"/>
      <c r="BG661" s="219"/>
      <c r="BH661" s="219"/>
      <c r="BI661" s="220"/>
      <c r="BJ661" s="218"/>
      <c r="BK661" s="219"/>
      <c r="BL661" s="197"/>
      <c r="BM661" s="215"/>
      <c r="BN661" s="221"/>
      <c r="BO661" s="222" t="str">
        <f t="shared" si="140"/>
        <v/>
      </c>
      <c r="BP661" s="217" t="str">
        <f t="shared" si="141"/>
        <v/>
      </c>
      <c r="BQ661" s="215"/>
      <c r="BR661" s="224"/>
      <c r="BS661" s="225"/>
      <c r="BT661" s="223"/>
      <c r="BU661" s="215"/>
      <c r="BV661" s="226"/>
      <c r="BW661" s="222" t="str">
        <f t="shared" si="130"/>
        <v/>
      </c>
      <c r="BX661" s="223" t="str">
        <f t="shared" si="142"/>
        <v/>
      </c>
      <c r="BY661" s="215"/>
      <c r="BZ661" s="227"/>
      <c r="CA661" s="227"/>
      <c r="CB661" s="228"/>
      <c r="CC661" s="229"/>
      <c r="CD661" s="230" t="str">
        <f t="shared" si="131"/>
        <v/>
      </c>
      <c r="CE661" s="231" t="str">
        <f t="shared" si="132"/>
        <v/>
      </c>
      <c r="CF661" s="232" t="str">
        <f t="shared" si="133"/>
        <v/>
      </c>
      <c r="CG661" s="233" t="str">
        <f t="shared" si="134"/>
        <v/>
      </c>
      <c r="CH661" s="207" t="str">
        <f>IF(OR(G661="",CC661= ""), "", IF(ISERROR(SMALL((CJ661,CN661,CV661), 1)-CC661), "",  SMALL((CJ661,CN661,CV661), 1)-CC661))</f>
        <v/>
      </c>
      <c r="CI661" s="234"/>
      <c r="CJ661" s="235"/>
      <c r="CK661" s="236"/>
      <c r="CL661" s="222" t="str">
        <f t="shared" si="135"/>
        <v/>
      </c>
      <c r="CM661" s="237" t="str">
        <f>IF(OR(G661="", CJ661="",CK661=""), "", IF(ISERROR(SMALL((CN661,CV661), 1)-CK661), "",  SMALL((CN661,CV661), 1)-CK661))</f>
        <v/>
      </c>
      <c r="CN661" s="235"/>
      <c r="CO661" s="236"/>
      <c r="CP661" s="224" t="str">
        <f t="shared" si="136"/>
        <v/>
      </c>
      <c r="CQ661" s="235"/>
      <c r="CR661" s="236"/>
      <c r="CS661" s="222" t="str">
        <f t="shared" si="137"/>
        <v/>
      </c>
      <c r="CT661" s="237" t="str">
        <f t="shared" si="138"/>
        <v/>
      </c>
      <c r="CU661" s="238"/>
      <c r="CV661" s="239"/>
      <c r="CW661" s="240"/>
    </row>
    <row r="662" spans="2:101" ht="16.5" customHeight="1">
      <c r="B662" s="122"/>
      <c r="E662" s="122"/>
      <c r="F662" s="194"/>
      <c r="G662" s="195"/>
      <c r="H662" s="195"/>
      <c r="I662" s="195"/>
      <c r="J662" s="196"/>
      <c r="K662" s="197"/>
      <c r="L662" s="198"/>
      <c r="M662" s="199"/>
      <c r="N662" s="200"/>
      <c r="O662" s="201"/>
      <c r="P662" s="201"/>
      <c r="Q662" s="201"/>
      <c r="R662" s="201"/>
      <c r="S662" s="201"/>
      <c r="T662" s="201"/>
      <c r="U662" s="201"/>
      <c r="V662" s="201"/>
      <c r="W662" s="201"/>
      <c r="X662" s="202"/>
      <c r="Y662" s="203"/>
      <c r="Z662" s="204"/>
      <c r="AA662" s="205"/>
      <c r="AB662" s="206"/>
      <c r="AC662" s="206"/>
      <c r="AD662" s="194"/>
      <c r="AE662" s="201"/>
      <c r="AF662" s="207"/>
      <c r="AG662" s="208"/>
      <c r="AH662" s="209"/>
      <c r="AI662" s="210"/>
      <c r="AJ662" s="197"/>
      <c r="AK662" s="201"/>
      <c r="AL662" s="196"/>
      <c r="AM662" s="201"/>
      <c r="AN662" s="201"/>
      <c r="AO662" s="201"/>
      <c r="AP662" s="211"/>
      <c r="AQ662" s="212"/>
      <c r="AR662" s="201"/>
      <c r="AS662" s="201"/>
      <c r="AT662" s="201"/>
      <c r="AU662" s="201"/>
      <c r="AV662" s="202"/>
      <c r="AW662" s="194"/>
      <c r="AX662" s="201"/>
      <c r="AY662" s="213"/>
      <c r="AZ662" s="214"/>
      <c r="BA662" s="215"/>
      <c r="BB662" s="216"/>
      <c r="BC662" s="217" t="str">
        <f t="shared" si="139"/>
        <v/>
      </c>
      <c r="BD662" s="218"/>
      <c r="BE662" s="219"/>
      <c r="BF662" s="220"/>
      <c r="BG662" s="219"/>
      <c r="BH662" s="219"/>
      <c r="BI662" s="220"/>
      <c r="BJ662" s="218"/>
      <c r="BK662" s="219"/>
      <c r="BL662" s="197"/>
      <c r="BM662" s="215"/>
      <c r="BN662" s="221"/>
      <c r="BO662" s="222" t="str">
        <f t="shared" si="140"/>
        <v/>
      </c>
      <c r="BP662" s="217" t="str">
        <f t="shared" si="141"/>
        <v/>
      </c>
      <c r="BQ662" s="215"/>
      <c r="BR662" s="224"/>
      <c r="BS662" s="225"/>
      <c r="BT662" s="223"/>
      <c r="BU662" s="215"/>
      <c r="BV662" s="226"/>
      <c r="BW662" s="222" t="str">
        <f t="shared" si="130"/>
        <v/>
      </c>
      <c r="BX662" s="223" t="str">
        <f t="shared" si="142"/>
        <v/>
      </c>
      <c r="BY662" s="215"/>
      <c r="BZ662" s="227"/>
      <c r="CA662" s="227"/>
      <c r="CB662" s="228"/>
      <c r="CC662" s="229"/>
      <c r="CD662" s="230" t="str">
        <f t="shared" si="131"/>
        <v/>
      </c>
      <c r="CE662" s="231" t="str">
        <f t="shared" si="132"/>
        <v/>
      </c>
      <c r="CF662" s="232" t="str">
        <f t="shared" si="133"/>
        <v/>
      </c>
      <c r="CG662" s="233" t="str">
        <f t="shared" si="134"/>
        <v/>
      </c>
      <c r="CH662" s="207" t="str">
        <f>IF(OR(G662="",CC662= ""), "", IF(ISERROR(SMALL((CJ662,CN662,CV662), 1)-CC662), "",  SMALL((CJ662,CN662,CV662), 1)-CC662))</f>
        <v/>
      </c>
      <c r="CI662" s="234"/>
      <c r="CJ662" s="235"/>
      <c r="CK662" s="236"/>
      <c r="CL662" s="222" t="str">
        <f t="shared" si="135"/>
        <v/>
      </c>
      <c r="CM662" s="237" t="str">
        <f>IF(OR(G662="", CJ662="",CK662=""), "", IF(ISERROR(SMALL((CN662,CV662), 1)-CK662), "",  SMALL((CN662,CV662), 1)-CK662))</f>
        <v/>
      </c>
      <c r="CN662" s="235"/>
      <c r="CO662" s="236"/>
      <c r="CP662" s="224" t="str">
        <f t="shared" si="136"/>
        <v/>
      </c>
      <c r="CQ662" s="235"/>
      <c r="CR662" s="236"/>
      <c r="CS662" s="222" t="str">
        <f t="shared" si="137"/>
        <v/>
      </c>
      <c r="CT662" s="237" t="str">
        <f t="shared" si="138"/>
        <v/>
      </c>
      <c r="CU662" s="238"/>
      <c r="CV662" s="239"/>
      <c r="CW662" s="240"/>
    </row>
    <row r="663" spans="2:101" ht="16.5" customHeight="1">
      <c r="B663" s="122"/>
      <c r="E663" s="122"/>
      <c r="F663" s="194"/>
      <c r="G663" s="195"/>
      <c r="H663" s="195"/>
      <c r="I663" s="195"/>
      <c r="J663" s="196"/>
      <c r="K663" s="197"/>
      <c r="L663" s="198"/>
      <c r="M663" s="199"/>
      <c r="N663" s="200"/>
      <c r="O663" s="201"/>
      <c r="P663" s="201"/>
      <c r="Q663" s="201"/>
      <c r="R663" s="201"/>
      <c r="S663" s="201"/>
      <c r="T663" s="201"/>
      <c r="U663" s="201"/>
      <c r="V663" s="201"/>
      <c r="W663" s="201"/>
      <c r="X663" s="202"/>
      <c r="Y663" s="203"/>
      <c r="Z663" s="204"/>
      <c r="AA663" s="205"/>
      <c r="AB663" s="206"/>
      <c r="AC663" s="206"/>
      <c r="AD663" s="194"/>
      <c r="AE663" s="201"/>
      <c r="AF663" s="207"/>
      <c r="AG663" s="208"/>
      <c r="AH663" s="209"/>
      <c r="AI663" s="210"/>
      <c r="AJ663" s="197"/>
      <c r="AK663" s="201"/>
      <c r="AL663" s="196"/>
      <c r="AM663" s="201"/>
      <c r="AN663" s="201"/>
      <c r="AO663" s="201"/>
      <c r="AP663" s="211"/>
      <c r="AQ663" s="212"/>
      <c r="AR663" s="201"/>
      <c r="AS663" s="201"/>
      <c r="AT663" s="201"/>
      <c r="AU663" s="201"/>
      <c r="AV663" s="202"/>
      <c r="AW663" s="194"/>
      <c r="AX663" s="201"/>
      <c r="AY663" s="213"/>
      <c r="AZ663" s="214"/>
      <c r="BA663" s="215"/>
      <c r="BB663" s="216"/>
      <c r="BC663" s="217" t="str">
        <f t="shared" si="139"/>
        <v/>
      </c>
      <c r="BD663" s="218"/>
      <c r="BE663" s="219"/>
      <c r="BF663" s="220"/>
      <c r="BG663" s="219"/>
      <c r="BH663" s="219"/>
      <c r="BI663" s="220"/>
      <c r="BJ663" s="218"/>
      <c r="BK663" s="219"/>
      <c r="BL663" s="197"/>
      <c r="BM663" s="215"/>
      <c r="BN663" s="221"/>
      <c r="BO663" s="222" t="str">
        <f t="shared" si="140"/>
        <v/>
      </c>
      <c r="BP663" s="217" t="str">
        <f t="shared" si="141"/>
        <v/>
      </c>
      <c r="BQ663" s="215"/>
      <c r="BR663" s="224"/>
      <c r="BS663" s="225"/>
      <c r="BT663" s="223"/>
      <c r="BU663" s="215"/>
      <c r="BV663" s="226"/>
      <c r="BW663" s="222" t="str">
        <f t="shared" si="130"/>
        <v/>
      </c>
      <c r="BX663" s="223" t="str">
        <f t="shared" si="142"/>
        <v/>
      </c>
      <c r="BY663" s="215"/>
      <c r="BZ663" s="227"/>
      <c r="CA663" s="227"/>
      <c r="CB663" s="228"/>
      <c r="CC663" s="229"/>
      <c r="CD663" s="230" t="str">
        <f t="shared" si="131"/>
        <v/>
      </c>
      <c r="CE663" s="231" t="str">
        <f t="shared" si="132"/>
        <v/>
      </c>
      <c r="CF663" s="232" t="str">
        <f t="shared" si="133"/>
        <v/>
      </c>
      <c r="CG663" s="233" t="str">
        <f t="shared" si="134"/>
        <v/>
      </c>
      <c r="CH663" s="207" t="str">
        <f>IF(OR(G663="",CC663= ""), "", IF(ISERROR(SMALL((CJ663,CN663,CV663), 1)-CC663), "",  SMALL((CJ663,CN663,CV663), 1)-CC663))</f>
        <v/>
      </c>
      <c r="CI663" s="234"/>
      <c r="CJ663" s="235"/>
      <c r="CK663" s="236"/>
      <c r="CL663" s="222" t="str">
        <f t="shared" si="135"/>
        <v/>
      </c>
      <c r="CM663" s="237" t="str">
        <f>IF(OR(G663="", CJ663="",CK663=""), "", IF(ISERROR(SMALL((CN663,CV663), 1)-CK663), "",  SMALL((CN663,CV663), 1)-CK663))</f>
        <v/>
      </c>
      <c r="CN663" s="235"/>
      <c r="CO663" s="236"/>
      <c r="CP663" s="224" t="str">
        <f t="shared" si="136"/>
        <v/>
      </c>
      <c r="CQ663" s="235"/>
      <c r="CR663" s="236"/>
      <c r="CS663" s="222" t="str">
        <f t="shared" si="137"/>
        <v/>
      </c>
      <c r="CT663" s="237" t="str">
        <f t="shared" si="138"/>
        <v/>
      </c>
      <c r="CU663" s="238"/>
      <c r="CV663" s="239"/>
      <c r="CW663" s="240"/>
    </row>
    <row r="664" spans="2:101" ht="16.5" customHeight="1">
      <c r="B664" s="122"/>
      <c r="E664" s="122"/>
      <c r="F664" s="194"/>
      <c r="G664" s="195"/>
      <c r="H664" s="195"/>
      <c r="I664" s="195"/>
      <c r="J664" s="196"/>
      <c r="K664" s="197"/>
      <c r="L664" s="198"/>
      <c r="M664" s="199"/>
      <c r="N664" s="200"/>
      <c r="O664" s="201"/>
      <c r="P664" s="201"/>
      <c r="Q664" s="201"/>
      <c r="R664" s="201"/>
      <c r="S664" s="201"/>
      <c r="T664" s="201"/>
      <c r="U664" s="201"/>
      <c r="V664" s="201"/>
      <c r="W664" s="201"/>
      <c r="X664" s="202"/>
      <c r="Y664" s="203"/>
      <c r="Z664" s="204"/>
      <c r="AA664" s="205"/>
      <c r="AB664" s="206"/>
      <c r="AC664" s="206"/>
      <c r="AD664" s="194"/>
      <c r="AE664" s="201"/>
      <c r="AF664" s="207"/>
      <c r="AG664" s="208"/>
      <c r="AH664" s="209"/>
      <c r="AI664" s="210"/>
      <c r="AJ664" s="197"/>
      <c r="AK664" s="201"/>
      <c r="AL664" s="196"/>
      <c r="AM664" s="201"/>
      <c r="AN664" s="201"/>
      <c r="AO664" s="201"/>
      <c r="AP664" s="211"/>
      <c r="AQ664" s="212"/>
      <c r="AR664" s="201"/>
      <c r="AS664" s="201"/>
      <c r="AT664" s="201"/>
      <c r="AU664" s="201"/>
      <c r="AV664" s="202"/>
      <c r="AW664" s="194"/>
      <c r="AX664" s="201"/>
      <c r="AY664" s="213"/>
      <c r="AZ664" s="214"/>
      <c r="BA664" s="215"/>
      <c r="BB664" s="216"/>
      <c r="BC664" s="217" t="str">
        <f t="shared" si="139"/>
        <v/>
      </c>
      <c r="BD664" s="218"/>
      <c r="BE664" s="219"/>
      <c r="BF664" s="220"/>
      <c r="BG664" s="219"/>
      <c r="BH664" s="219"/>
      <c r="BI664" s="220"/>
      <c r="BJ664" s="218"/>
      <c r="BK664" s="219"/>
      <c r="BL664" s="197"/>
      <c r="BM664" s="215"/>
      <c r="BN664" s="221"/>
      <c r="BO664" s="222" t="str">
        <f t="shared" si="140"/>
        <v/>
      </c>
      <c r="BP664" s="217" t="str">
        <f t="shared" si="141"/>
        <v/>
      </c>
      <c r="BQ664" s="215"/>
      <c r="BR664" s="224"/>
      <c r="BS664" s="225"/>
      <c r="BT664" s="223"/>
      <c r="BU664" s="215"/>
      <c r="BV664" s="226"/>
      <c r="BW664" s="222" t="str">
        <f t="shared" si="130"/>
        <v/>
      </c>
      <c r="BX664" s="223" t="str">
        <f t="shared" si="142"/>
        <v/>
      </c>
      <c r="BY664" s="215"/>
      <c r="BZ664" s="227"/>
      <c r="CA664" s="227"/>
      <c r="CB664" s="228"/>
      <c r="CC664" s="229"/>
      <c r="CD664" s="230" t="str">
        <f t="shared" si="131"/>
        <v/>
      </c>
      <c r="CE664" s="231" t="str">
        <f t="shared" si="132"/>
        <v/>
      </c>
      <c r="CF664" s="232" t="str">
        <f t="shared" si="133"/>
        <v/>
      </c>
      <c r="CG664" s="233" t="str">
        <f t="shared" si="134"/>
        <v/>
      </c>
      <c r="CH664" s="207" t="str">
        <f>IF(OR(G664="",CC664= ""), "", IF(ISERROR(SMALL((CJ664,CN664,CV664), 1)-CC664), "",  SMALL((CJ664,CN664,CV664), 1)-CC664))</f>
        <v/>
      </c>
      <c r="CI664" s="234"/>
      <c r="CJ664" s="235"/>
      <c r="CK664" s="236"/>
      <c r="CL664" s="222" t="str">
        <f t="shared" si="135"/>
        <v/>
      </c>
      <c r="CM664" s="237" t="str">
        <f>IF(OR(G664="", CJ664="",CK664=""), "", IF(ISERROR(SMALL((CN664,CV664), 1)-CK664), "",  SMALL((CN664,CV664), 1)-CK664))</f>
        <v/>
      </c>
      <c r="CN664" s="235"/>
      <c r="CO664" s="236"/>
      <c r="CP664" s="224" t="str">
        <f t="shared" si="136"/>
        <v/>
      </c>
      <c r="CQ664" s="235"/>
      <c r="CR664" s="236"/>
      <c r="CS664" s="222" t="str">
        <f t="shared" si="137"/>
        <v/>
      </c>
      <c r="CT664" s="237" t="str">
        <f t="shared" si="138"/>
        <v/>
      </c>
      <c r="CU664" s="238"/>
      <c r="CV664" s="239"/>
      <c r="CW664" s="240"/>
    </row>
    <row r="665" spans="2:101" ht="16.5" customHeight="1">
      <c r="B665" s="122"/>
      <c r="E665" s="122"/>
      <c r="F665" s="194"/>
      <c r="G665" s="195"/>
      <c r="H665" s="195"/>
      <c r="I665" s="195"/>
      <c r="J665" s="196"/>
      <c r="K665" s="197"/>
      <c r="L665" s="198"/>
      <c r="M665" s="199"/>
      <c r="N665" s="200"/>
      <c r="O665" s="201"/>
      <c r="P665" s="201"/>
      <c r="Q665" s="201"/>
      <c r="R665" s="201"/>
      <c r="S665" s="201"/>
      <c r="T665" s="201"/>
      <c r="U665" s="201"/>
      <c r="V665" s="201"/>
      <c r="W665" s="201"/>
      <c r="X665" s="202"/>
      <c r="Y665" s="203"/>
      <c r="Z665" s="204"/>
      <c r="AA665" s="205"/>
      <c r="AB665" s="206"/>
      <c r="AC665" s="206"/>
      <c r="AD665" s="194"/>
      <c r="AE665" s="201"/>
      <c r="AF665" s="207"/>
      <c r="AG665" s="208"/>
      <c r="AH665" s="209"/>
      <c r="AI665" s="210"/>
      <c r="AJ665" s="197"/>
      <c r="AK665" s="201"/>
      <c r="AL665" s="196"/>
      <c r="AM665" s="201"/>
      <c r="AN665" s="201"/>
      <c r="AO665" s="201"/>
      <c r="AP665" s="211"/>
      <c r="AQ665" s="212"/>
      <c r="AR665" s="201"/>
      <c r="AS665" s="201"/>
      <c r="AT665" s="201"/>
      <c r="AU665" s="201"/>
      <c r="AV665" s="202"/>
      <c r="AW665" s="194"/>
      <c r="AX665" s="201"/>
      <c r="AY665" s="213"/>
      <c r="AZ665" s="214"/>
      <c r="BA665" s="215"/>
      <c r="BB665" s="216"/>
      <c r="BC665" s="217" t="str">
        <f t="shared" si="139"/>
        <v/>
      </c>
      <c r="BD665" s="218"/>
      <c r="BE665" s="219"/>
      <c r="BF665" s="220"/>
      <c r="BG665" s="219"/>
      <c r="BH665" s="219"/>
      <c r="BI665" s="220"/>
      <c r="BJ665" s="218"/>
      <c r="BK665" s="219"/>
      <c r="BL665" s="197"/>
      <c r="BM665" s="215"/>
      <c r="BN665" s="221"/>
      <c r="BO665" s="222" t="str">
        <f t="shared" si="140"/>
        <v/>
      </c>
      <c r="BP665" s="217" t="str">
        <f t="shared" si="141"/>
        <v/>
      </c>
      <c r="BQ665" s="215"/>
      <c r="BR665" s="224"/>
      <c r="BS665" s="225"/>
      <c r="BT665" s="223"/>
      <c r="BU665" s="215"/>
      <c r="BV665" s="226"/>
      <c r="BW665" s="222" t="str">
        <f t="shared" si="130"/>
        <v/>
      </c>
      <c r="BX665" s="223" t="str">
        <f t="shared" si="142"/>
        <v/>
      </c>
      <c r="BY665" s="215"/>
      <c r="BZ665" s="227"/>
      <c r="CA665" s="227"/>
      <c r="CB665" s="228"/>
      <c r="CC665" s="229"/>
      <c r="CD665" s="230" t="str">
        <f t="shared" si="131"/>
        <v/>
      </c>
      <c r="CE665" s="231" t="str">
        <f t="shared" si="132"/>
        <v/>
      </c>
      <c r="CF665" s="232" t="str">
        <f t="shared" si="133"/>
        <v/>
      </c>
      <c r="CG665" s="233" t="str">
        <f t="shared" si="134"/>
        <v/>
      </c>
      <c r="CH665" s="207" t="str">
        <f>IF(OR(G665="",CC665= ""), "", IF(ISERROR(SMALL((CJ665,CN665,CV665), 1)-CC665), "",  SMALL((CJ665,CN665,CV665), 1)-CC665))</f>
        <v/>
      </c>
      <c r="CI665" s="234"/>
      <c r="CJ665" s="235"/>
      <c r="CK665" s="236"/>
      <c r="CL665" s="222" t="str">
        <f t="shared" si="135"/>
        <v/>
      </c>
      <c r="CM665" s="237" t="str">
        <f>IF(OR(G665="", CJ665="",CK665=""), "", IF(ISERROR(SMALL((CN665,CV665), 1)-CK665), "",  SMALL((CN665,CV665), 1)-CK665))</f>
        <v/>
      </c>
      <c r="CN665" s="235"/>
      <c r="CO665" s="236"/>
      <c r="CP665" s="224" t="str">
        <f t="shared" si="136"/>
        <v/>
      </c>
      <c r="CQ665" s="235"/>
      <c r="CR665" s="236"/>
      <c r="CS665" s="222" t="str">
        <f t="shared" si="137"/>
        <v/>
      </c>
      <c r="CT665" s="237" t="str">
        <f t="shared" si="138"/>
        <v/>
      </c>
      <c r="CU665" s="238"/>
      <c r="CV665" s="239"/>
      <c r="CW665" s="240"/>
    </row>
    <row r="666" spans="2:101" ht="16.5" customHeight="1">
      <c r="B666" s="122"/>
      <c r="E666" s="122"/>
      <c r="F666" s="194"/>
      <c r="G666" s="195"/>
      <c r="H666" s="195"/>
      <c r="I666" s="195"/>
      <c r="J666" s="196"/>
      <c r="K666" s="197"/>
      <c r="L666" s="198"/>
      <c r="M666" s="199"/>
      <c r="N666" s="200"/>
      <c r="O666" s="201"/>
      <c r="P666" s="201"/>
      <c r="Q666" s="201"/>
      <c r="R666" s="201"/>
      <c r="S666" s="201"/>
      <c r="T666" s="201"/>
      <c r="U666" s="201"/>
      <c r="V666" s="201"/>
      <c r="W666" s="201"/>
      <c r="X666" s="202"/>
      <c r="Y666" s="203"/>
      <c r="Z666" s="204"/>
      <c r="AA666" s="205"/>
      <c r="AB666" s="206"/>
      <c r="AC666" s="206"/>
      <c r="AD666" s="194"/>
      <c r="AE666" s="201"/>
      <c r="AF666" s="207"/>
      <c r="AG666" s="208"/>
      <c r="AH666" s="209"/>
      <c r="AI666" s="210"/>
      <c r="AJ666" s="197"/>
      <c r="AK666" s="201"/>
      <c r="AL666" s="196"/>
      <c r="AM666" s="201"/>
      <c r="AN666" s="201"/>
      <c r="AO666" s="201"/>
      <c r="AP666" s="211"/>
      <c r="AQ666" s="212"/>
      <c r="AR666" s="201"/>
      <c r="AS666" s="201"/>
      <c r="AT666" s="201"/>
      <c r="AU666" s="201"/>
      <c r="AV666" s="202"/>
      <c r="AW666" s="194"/>
      <c r="AX666" s="201"/>
      <c r="AY666" s="213"/>
      <c r="AZ666" s="214"/>
      <c r="BA666" s="215"/>
      <c r="BB666" s="216"/>
      <c r="BC666" s="217" t="str">
        <f t="shared" si="139"/>
        <v/>
      </c>
      <c r="BD666" s="218"/>
      <c r="BE666" s="219"/>
      <c r="BF666" s="220"/>
      <c r="BG666" s="219"/>
      <c r="BH666" s="219"/>
      <c r="BI666" s="220"/>
      <c r="BJ666" s="218"/>
      <c r="BK666" s="219"/>
      <c r="BL666" s="197"/>
      <c r="BM666" s="215"/>
      <c r="BN666" s="221"/>
      <c r="BO666" s="222" t="str">
        <f t="shared" si="140"/>
        <v/>
      </c>
      <c r="BP666" s="217" t="str">
        <f t="shared" si="141"/>
        <v/>
      </c>
      <c r="BQ666" s="215"/>
      <c r="BR666" s="224"/>
      <c r="BS666" s="225"/>
      <c r="BT666" s="223"/>
      <c r="BU666" s="215"/>
      <c r="BV666" s="226"/>
      <c r="BW666" s="222" t="str">
        <f t="shared" ref="BW666:BW670" si="143">IF(OR(H666="", BU666="", BV666=""), "", IF(ISERROR(BV666-BU666+1), "", BV666-BU666+1))</f>
        <v/>
      </c>
      <c r="BX666" s="223" t="str">
        <f t="shared" si="142"/>
        <v/>
      </c>
      <c r="BY666" s="215"/>
      <c r="BZ666" s="227"/>
      <c r="CA666" s="227"/>
      <c r="CB666" s="228"/>
      <c r="CC666" s="229"/>
      <c r="CD666" s="230" t="str">
        <f t="shared" ref="CD666:CD670" si="144">IF(OR($H666="",$BY666="",$CB666=""),"",IF((ISERROR($CB666-$BY666+1)),"",$CB666-$BY666+1))</f>
        <v/>
      </c>
      <c r="CE666" s="231" t="str">
        <f t="shared" ref="CE666:CE670" si="145">IF(OR(CB666="", CC666=""),"", IF(ISERROR(CC666-CB666+1), "",CC666-CB666+1))</f>
        <v/>
      </c>
      <c r="CF666" s="232" t="str">
        <f t="shared" ref="CF666:CF670" si="146">IF(OR(BY666="", CC666=""), "", IF(ISERROR(CC666-BY666+1), "",CC666-BY666+1))</f>
        <v/>
      </c>
      <c r="CG666" s="233" t="str">
        <f t="shared" ref="CG666:CG670" si="147">IF(OR(G666="", CC666="", CV666=""), "", IF(ISERROR(CV666-CC666), "", CV666-CC666))</f>
        <v/>
      </c>
      <c r="CH666" s="207" t="str">
        <f>IF(OR(G666="",CC666= ""), "", IF(ISERROR(SMALL((CJ666,CN666,CV666), 1)-CC666), "",  SMALL((CJ666,CN666,CV666), 1)-CC666))</f>
        <v/>
      </c>
      <c r="CI666" s="234"/>
      <c r="CJ666" s="235"/>
      <c r="CK666" s="236"/>
      <c r="CL666" s="222" t="str">
        <f t="shared" ref="CL666:CL670" si="148">IF(OR(G666="", CJ666="", CK666=""), "",   IF(ISERROR(CK666-CJ666+1), "",CK666-CJ666+1))</f>
        <v/>
      </c>
      <c r="CM666" s="237" t="str">
        <f>IF(OR(G666="", CJ666="",CK666=""), "", IF(ISERROR(SMALL((CN666,CV666), 1)-CK666), "",  SMALL((CN666,CV666), 1)-CK666))</f>
        <v/>
      </c>
      <c r="CN666" s="235"/>
      <c r="CO666" s="236"/>
      <c r="CP666" s="224" t="str">
        <f t="shared" ref="CP666:CP670" si="149">IF(OR(G666="", CN666="", CO666=""), "",   IF(ISERROR(CO666-CN666+1), "",CO666-CN666+1))</f>
        <v/>
      </c>
      <c r="CQ666" s="235"/>
      <c r="CR666" s="236"/>
      <c r="CS666" s="222" t="str">
        <f t="shared" ref="CS666:CS670" si="150">IF(OR(G666="", CQ666="", CR666=""), "",   IF(ISERROR(CR666-CQ666+1), "",CR666-CQ666+1))</f>
        <v/>
      </c>
      <c r="CT666" s="237" t="str">
        <f t="shared" ref="CT666:CT670" si="151">IF(AND(G666="", CK666="",CR666=""), "",IF(CR666="", IF(ISERROR(CV666-CK666), "",  CV666-CK666),  IF(ISERROR(CV666-CR666), "", CV666-CR666)))</f>
        <v/>
      </c>
      <c r="CU666" s="238"/>
      <c r="CV666" s="239"/>
      <c r="CW666" s="240"/>
    </row>
    <row r="667" spans="2:101" ht="16.5" customHeight="1">
      <c r="B667" s="122"/>
      <c r="E667" s="122"/>
      <c r="F667" s="194"/>
      <c r="G667" s="195"/>
      <c r="H667" s="195"/>
      <c r="I667" s="195"/>
      <c r="J667" s="196"/>
      <c r="K667" s="197"/>
      <c r="L667" s="198"/>
      <c r="M667" s="199"/>
      <c r="N667" s="200"/>
      <c r="O667" s="201"/>
      <c r="P667" s="201"/>
      <c r="Q667" s="201"/>
      <c r="R667" s="201"/>
      <c r="S667" s="201"/>
      <c r="T667" s="201"/>
      <c r="U667" s="201"/>
      <c r="V667" s="201"/>
      <c r="W667" s="201"/>
      <c r="X667" s="202"/>
      <c r="Y667" s="203"/>
      <c r="Z667" s="204"/>
      <c r="AA667" s="205"/>
      <c r="AB667" s="206"/>
      <c r="AC667" s="206"/>
      <c r="AD667" s="194"/>
      <c r="AE667" s="201"/>
      <c r="AF667" s="207"/>
      <c r="AG667" s="208"/>
      <c r="AH667" s="209"/>
      <c r="AI667" s="210"/>
      <c r="AJ667" s="197"/>
      <c r="AK667" s="201"/>
      <c r="AL667" s="196"/>
      <c r="AM667" s="201"/>
      <c r="AN667" s="201"/>
      <c r="AO667" s="201"/>
      <c r="AP667" s="211"/>
      <c r="AQ667" s="212"/>
      <c r="AR667" s="201"/>
      <c r="AS667" s="201"/>
      <c r="AT667" s="201"/>
      <c r="AU667" s="201"/>
      <c r="AV667" s="202"/>
      <c r="AW667" s="194"/>
      <c r="AX667" s="201"/>
      <c r="AY667" s="213"/>
      <c r="AZ667" s="214"/>
      <c r="BA667" s="215"/>
      <c r="BB667" s="216"/>
      <c r="BC667" s="217" t="str">
        <f t="shared" si="139"/>
        <v/>
      </c>
      <c r="BD667" s="218"/>
      <c r="BE667" s="219"/>
      <c r="BF667" s="220"/>
      <c r="BG667" s="219"/>
      <c r="BH667" s="219"/>
      <c r="BI667" s="220"/>
      <c r="BJ667" s="218"/>
      <c r="BK667" s="219"/>
      <c r="BL667" s="197"/>
      <c r="BM667" s="215"/>
      <c r="BN667" s="221"/>
      <c r="BO667" s="222" t="str">
        <f t="shared" si="140"/>
        <v/>
      </c>
      <c r="BP667" s="217" t="str">
        <f t="shared" si="141"/>
        <v/>
      </c>
      <c r="BQ667" s="215"/>
      <c r="BR667" s="224"/>
      <c r="BS667" s="225"/>
      <c r="BT667" s="223"/>
      <c r="BU667" s="215"/>
      <c r="BV667" s="226"/>
      <c r="BW667" s="222" t="str">
        <f t="shared" si="143"/>
        <v/>
      </c>
      <c r="BX667" s="223" t="str">
        <f t="shared" si="142"/>
        <v/>
      </c>
      <c r="BY667" s="215"/>
      <c r="BZ667" s="227"/>
      <c r="CA667" s="227"/>
      <c r="CB667" s="228"/>
      <c r="CC667" s="229"/>
      <c r="CD667" s="230" t="str">
        <f t="shared" si="144"/>
        <v/>
      </c>
      <c r="CE667" s="231" t="str">
        <f t="shared" si="145"/>
        <v/>
      </c>
      <c r="CF667" s="232" t="str">
        <f t="shared" si="146"/>
        <v/>
      </c>
      <c r="CG667" s="233" t="str">
        <f t="shared" si="147"/>
        <v/>
      </c>
      <c r="CH667" s="207" t="str">
        <f>IF(OR(G667="",CC667= ""), "", IF(ISERROR(SMALL((CJ667,CN667,CV667), 1)-CC667), "",  SMALL((CJ667,CN667,CV667), 1)-CC667))</f>
        <v/>
      </c>
      <c r="CI667" s="234"/>
      <c r="CJ667" s="235"/>
      <c r="CK667" s="236"/>
      <c r="CL667" s="222" t="str">
        <f t="shared" si="148"/>
        <v/>
      </c>
      <c r="CM667" s="237" t="str">
        <f>IF(OR(G667="", CJ667="",CK667=""), "", IF(ISERROR(SMALL((CN667,CV667), 1)-CK667), "",  SMALL((CN667,CV667), 1)-CK667))</f>
        <v/>
      </c>
      <c r="CN667" s="235"/>
      <c r="CO667" s="236"/>
      <c r="CP667" s="224" t="str">
        <f t="shared" si="149"/>
        <v/>
      </c>
      <c r="CQ667" s="235"/>
      <c r="CR667" s="236"/>
      <c r="CS667" s="222" t="str">
        <f t="shared" si="150"/>
        <v/>
      </c>
      <c r="CT667" s="237" t="str">
        <f t="shared" si="151"/>
        <v/>
      </c>
      <c r="CU667" s="238"/>
      <c r="CV667" s="239"/>
      <c r="CW667" s="240"/>
    </row>
    <row r="668" spans="2:101" ht="16.5" customHeight="1">
      <c r="B668" s="122"/>
      <c r="E668" s="122"/>
      <c r="F668" s="194"/>
      <c r="G668" s="195"/>
      <c r="H668" s="195"/>
      <c r="I668" s="195"/>
      <c r="J668" s="196"/>
      <c r="K668" s="197"/>
      <c r="L668" s="198"/>
      <c r="M668" s="199"/>
      <c r="N668" s="200"/>
      <c r="O668" s="201"/>
      <c r="P668" s="201"/>
      <c r="Q668" s="201"/>
      <c r="R668" s="201"/>
      <c r="S668" s="201"/>
      <c r="T668" s="201"/>
      <c r="U668" s="201"/>
      <c r="V668" s="201"/>
      <c r="W668" s="201"/>
      <c r="X668" s="202"/>
      <c r="Y668" s="203"/>
      <c r="Z668" s="204"/>
      <c r="AA668" s="205"/>
      <c r="AB668" s="206"/>
      <c r="AC668" s="206"/>
      <c r="AD668" s="194"/>
      <c r="AE668" s="201"/>
      <c r="AF668" s="207"/>
      <c r="AG668" s="208"/>
      <c r="AH668" s="209"/>
      <c r="AI668" s="210"/>
      <c r="AJ668" s="197"/>
      <c r="AK668" s="201"/>
      <c r="AL668" s="196"/>
      <c r="AM668" s="201"/>
      <c r="AN668" s="201"/>
      <c r="AO668" s="201"/>
      <c r="AP668" s="211"/>
      <c r="AQ668" s="212"/>
      <c r="AR668" s="201"/>
      <c r="AS668" s="201"/>
      <c r="AT668" s="201"/>
      <c r="AU668" s="201"/>
      <c r="AV668" s="202"/>
      <c r="AW668" s="194"/>
      <c r="AX668" s="201"/>
      <c r="AY668" s="213"/>
      <c r="AZ668" s="214"/>
      <c r="BA668" s="215"/>
      <c r="BB668" s="216"/>
      <c r="BC668" s="217" t="str">
        <f t="shared" si="139"/>
        <v/>
      </c>
      <c r="BD668" s="218"/>
      <c r="BE668" s="219"/>
      <c r="BF668" s="220"/>
      <c r="BG668" s="219"/>
      <c r="BH668" s="219"/>
      <c r="BI668" s="220"/>
      <c r="BJ668" s="218"/>
      <c r="BK668" s="219"/>
      <c r="BL668" s="197"/>
      <c r="BM668" s="215"/>
      <c r="BN668" s="221"/>
      <c r="BO668" s="222" t="str">
        <f t="shared" si="140"/>
        <v/>
      </c>
      <c r="BP668" s="217" t="str">
        <f t="shared" si="141"/>
        <v/>
      </c>
      <c r="BQ668" s="215"/>
      <c r="BR668" s="224"/>
      <c r="BS668" s="225"/>
      <c r="BT668" s="223"/>
      <c r="BU668" s="215"/>
      <c r="BV668" s="226"/>
      <c r="BW668" s="222" t="str">
        <f t="shared" si="143"/>
        <v/>
      </c>
      <c r="BX668" s="223" t="str">
        <f t="shared" si="142"/>
        <v/>
      </c>
      <c r="BY668" s="215"/>
      <c r="BZ668" s="227"/>
      <c r="CA668" s="227"/>
      <c r="CB668" s="228"/>
      <c r="CC668" s="229"/>
      <c r="CD668" s="230" t="str">
        <f t="shared" si="144"/>
        <v/>
      </c>
      <c r="CE668" s="231" t="str">
        <f t="shared" si="145"/>
        <v/>
      </c>
      <c r="CF668" s="232" t="str">
        <f t="shared" si="146"/>
        <v/>
      </c>
      <c r="CG668" s="233" t="str">
        <f t="shared" si="147"/>
        <v/>
      </c>
      <c r="CH668" s="207" t="str">
        <f>IF(OR(G668="",CC668= ""), "", IF(ISERROR(SMALL((CJ668,CN668,CV668), 1)-CC668), "",  SMALL((CJ668,CN668,CV668), 1)-CC668))</f>
        <v/>
      </c>
      <c r="CI668" s="234"/>
      <c r="CJ668" s="235"/>
      <c r="CK668" s="236"/>
      <c r="CL668" s="222" t="str">
        <f t="shared" si="148"/>
        <v/>
      </c>
      <c r="CM668" s="237" t="str">
        <f>IF(OR(G668="", CJ668="",CK668=""), "", IF(ISERROR(SMALL((CN668,CV668), 1)-CK668), "",  SMALL((CN668,CV668), 1)-CK668))</f>
        <v/>
      </c>
      <c r="CN668" s="235"/>
      <c r="CO668" s="236"/>
      <c r="CP668" s="224" t="str">
        <f t="shared" si="149"/>
        <v/>
      </c>
      <c r="CQ668" s="235"/>
      <c r="CR668" s="236"/>
      <c r="CS668" s="222" t="str">
        <f t="shared" si="150"/>
        <v/>
      </c>
      <c r="CT668" s="237" t="str">
        <f t="shared" si="151"/>
        <v/>
      </c>
      <c r="CU668" s="238"/>
      <c r="CV668" s="239"/>
      <c r="CW668" s="240"/>
    </row>
    <row r="669" spans="2:101" ht="16.5" customHeight="1">
      <c r="B669" s="122"/>
      <c r="E669" s="122"/>
      <c r="F669" s="194"/>
      <c r="G669" s="195"/>
      <c r="H669" s="195"/>
      <c r="I669" s="195"/>
      <c r="J669" s="196"/>
      <c r="K669" s="197"/>
      <c r="L669" s="198"/>
      <c r="M669" s="199"/>
      <c r="N669" s="200"/>
      <c r="O669" s="201"/>
      <c r="P669" s="201"/>
      <c r="Q669" s="201"/>
      <c r="R669" s="201"/>
      <c r="S669" s="201"/>
      <c r="T669" s="201"/>
      <c r="U669" s="201"/>
      <c r="V669" s="201"/>
      <c r="W669" s="201"/>
      <c r="X669" s="202"/>
      <c r="Y669" s="203"/>
      <c r="Z669" s="204"/>
      <c r="AA669" s="205"/>
      <c r="AB669" s="206"/>
      <c r="AC669" s="206"/>
      <c r="AD669" s="194"/>
      <c r="AE669" s="201"/>
      <c r="AF669" s="207"/>
      <c r="AG669" s="208"/>
      <c r="AH669" s="209"/>
      <c r="AI669" s="210"/>
      <c r="AJ669" s="197"/>
      <c r="AK669" s="201"/>
      <c r="AL669" s="196"/>
      <c r="AM669" s="201"/>
      <c r="AN669" s="201"/>
      <c r="AO669" s="201"/>
      <c r="AP669" s="211"/>
      <c r="AQ669" s="212"/>
      <c r="AR669" s="201"/>
      <c r="AS669" s="201"/>
      <c r="AT669" s="201"/>
      <c r="AU669" s="201"/>
      <c r="AV669" s="202"/>
      <c r="AW669" s="194"/>
      <c r="AX669" s="201"/>
      <c r="AY669" s="213"/>
      <c r="AZ669" s="214"/>
      <c r="BA669" s="215"/>
      <c r="BB669" s="216"/>
      <c r="BC669" s="217" t="str">
        <f t="shared" si="139"/>
        <v/>
      </c>
      <c r="BD669" s="218"/>
      <c r="BE669" s="219"/>
      <c r="BF669" s="220"/>
      <c r="BG669" s="219"/>
      <c r="BH669" s="219"/>
      <c r="BI669" s="220"/>
      <c r="BJ669" s="218"/>
      <c r="BK669" s="219"/>
      <c r="BL669" s="197"/>
      <c r="BM669" s="215"/>
      <c r="BN669" s="221"/>
      <c r="BO669" s="222" t="str">
        <f t="shared" si="140"/>
        <v/>
      </c>
      <c r="BP669" s="217" t="str">
        <f t="shared" si="141"/>
        <v/>
      </c>
      <c r="BQ669" s="215"/>
      <c r="BR669" s="224"/>
      <c r="BS669" s="225"/>
      <c r="BT669" s="223"/>
      <c r="BU669" s="215"/>
      <c r="BV669" s="226"/>
      <c r="BW669" s="222" t="str">
        <f t="shared" si="143"/>
        <v/>
      </c>
      <c r="BX669" s="223" t="str">
        <f t="shared" si="142"/>
        <v/>
      </c>
      <c r="BY669" s="215"/>
      <c r="BZ669" s="227"/>
      <c r="CA669" s="227"/>
      <c r="CB669" s="228"/>
      <c r="CC669" s="229"/>
      <c r="CD669" s="230" t="str">
        <f t="shared" si="144"/>
        <v/>
      </c>
      <c r="CE669" s="231" t="str">
        <f t="shared" si="145"/>
        <v/>
      </c>
      <c r="CF669" s="232" t="str">
        <f t="shared" si="146"/>
        <v/>
      </c>
      <c r="CG669" s="233" t="str">
        <f t="shared" si="147"/>
        <v/>
      </c>
      <c r="CH669" s="207" t="str">
        <f>IF(OR(G669="",CC669= ""), "", IF(ISERROR(SMALL((CJ669,CN669,CV669), 1)-CC669), "",  SMALL((CJ669,CN669,CV669), 1)-CC669))</f>
        <v/>
      </c>
      <c r="CI669" s="234"/>
      <c r="CJ669" s="235"/>
      <c r="CK669" s="236"/>
      <c r="CL669" s="222" t="str">
        <f t="shared" si="148"/>
        <v/>
      </c>
      <c r="CM669" s="237" t="str">
        <f>IF(OR(G669="", CJ669="",CK669=""), "", IF(ISERROR(SMALL((CN669,CV669), 1)-CK669), "",  SMALL((CN669,CV669), 1)-CK669))</f>
        <v/>
      </c>
      <c r="CN669" s="235"/>
      <c r="CO669" s="236"/>
      <c r="CP669" s="224" t="str">
        <f t="shared" si="149"/>
        <v/>
      </c>
      <c r="CQ669" s="235"/>
      <c r="CR669" s="236"/>
      <c r="CS669" s="222" t="str">
        <f t="shared" si="150"/>
        <v/>
      </c>
      <c r="CT669" s="237" t="str">
        <f t="shared" si="151"/>
        <v/>
      </c>
      <c r="CU669" s="238"/>
      <c r="CV669" s="239"/>
      <c r="CW669" s="240"/>
    </row>
    <row r="670" spans="2:101" ht="16.5" customHeight="1">
      <c r="B670" s="122"/>
      <c r="E670" s="122"/>
      <c r="F670" s="194"/>
      <c r="G670" s="195"/>
      <c r="H670" s="195"/>
      <c r="I670" s="195"/>
      <c r="J670" s="196"/>
      <c r="K670" s="197"/>
      <c r="L670" s="198"/>
      <c r="M670" s="199"/>
      <c r="N670" s="200"/>
      <c r="O670" s="201"/>
      <c r="P670" s="201"/>
      <c r="Q670" s="201"/>
      <c r="R670" s="201"/>
      <c r="S670" s="201"/>
      <c r="T670" s="201"/>
      <c r="U670" s="201"/>
      <c r="V670" s="201"/>
      <c r="W670" s="201"/>
      <c r="X670" s="202"/>
      <c r="Y670" s="203"/>
      <c r="Z670" s="204"/>
      <c r="AA670" s="205"/>
      <c r="AB670" s="206"/>
      <c r="AC670" s="206"/>
      <c r="AD670" s="194"/>
      <c r="AE670" s="201"/>
      <c r="AF670" s="207"/>
      <c r="AG670" s="208"/>
      <c r="AH670" s="209"/>
      <c r="AI670" s="210"/>
      <c r="AJ670" s="197"/>
      <c r="AK670" s="201"/>
      <c r="AL670" s="196"/>
      <c r="AM670" s="201"/>
      <c r="AN670" s="201"/>
      <c r="AO670" s="201"/>
      <c r="AP670" s="211"/>
      <c r="AQ670" s="212"/>
      <c r="AR670" s="201"/>
      <c r="AS670" s="201"/>
      <c r="AT670" s="201"/>
      <c r="AU670" s="201"/>
      <c r="AV670" s="202"/>
      <c r="AW670" s="194"/>
      <c r="AX670" s="201"/>
      <c r="AY670" s="213"/>
      <c r="AZ670" s="214"/>
      <c r="BA670" s="215"/>
      <c r="BB670" s="216"/>
      <c r="BC670" s="217" t="str">
        <f t="shared" si="139"/>
        <v/>
      </c>
      <c r="BD670" s="218"/>
      <c r="BE670" s="219"/>
      <c r="BF670" s="220"/>
      <c r="BG670" s="219"/>
      <c r="BH670" s="219"/>
      <c r="BI670" s="220"/>
      <c r="BJ670" s="218"/>
      <c r="BK670" s="219"/>
      <c r="BL670" s="197"/>
      <c r="BM670" s="215"/>
      <c r="BN670" s="221"/>
      <c r="BO670" s="222" t="str">
        <f t="shared" si="140"/>
        <v/>
      </c>
      <c r="BP670" s="217" t="str">
        <f t="shared" si="141"/>
        <v/>
      </c>
      <c r="BQ670" s="215"/>
      <c r="BR670" s="224"/>
      <c r="BS670" s="225"/>
      <c r="BT670" s="223"/>
      <c r="BU670" s="215"/>
      <c r="BV670" s="226"/>
      <c r="BW670" s="222" t="str">
        <f t="shared" si="143"/>
        <v/>
      </c>
      <c r="BX670" s="223" t="str">
        <f t="shared" si="142"/>
        <v/>
      </c>
      <c r="BY670" s="215"/>
      <c r="BZ670" s="227"/>
      <c r="CA670" s="227"/>
      <c r="CB670" s="228"/>
      <c r="CC670" s="229"/>
      <c r="CD670" s="230" t="str">
        <f t="shared" si="144"/>
        <v/>
      </c>
      <c r="CE670" s="231" t="str">
        <f t="shared" si="145"/>
        <v/>
      </c>
      <c r="CF670" s="232" t="str">
        <f t="shared" si="146"/>
        <v/>
      </c>
      <c r="CG670" s="233" t="str">
        <f t="shared" si="147"/>
        <v/>
      </c>
      <c r="CH670" s="207" t="str">
        <f>IF(OR(G670="",CC670= ""), "", IF(ISERROR(SMALL((CJ670,CN670,CV670), 1)-CC670), "",  SMALL((CJ670,CN670,CV670), 1)-CC670))</f>
        <v/>
      </c>
      <c r="CI670" s="234"/>
      <c r="CJ670" s="235"/>
      <c r="CK670" s="236"/>
      <c r="CL670" s="222" t="str">
        <f t="shared" si="148"/>
        <v/>
      </c>
      <c r="CM670" s="237" t="str">
        <f>IF(OR(G670="", CJ670="",CK670=""), "", IF(ISERROR(SMALL((CN670,CV670), 1)-CK670), "",  SMALL((CN670,CV670), 1)-CK670))</f>
        <v/>
      </c>
      <c r="CN670" s="235"/>
      <c r="CO670" s="236"/>
      <c r="CP670" s="224" t="str">
        <f t="shared" si="149"/>
        <v/>
      </c>
      <c r="CQ670" s="235"/>
      <c r="CR670" s="236"/>
      <c r="CS670" s="222" t="str">
        <f t="shared" si="150"/>
        <v/>
      </c>
      <c r="CT670" s="237" t="str">
        <f t="shared" si="151"/>
        <v/>
      </c>
      <c r="CU670" s="238"/>
      <c r="CV670" s="239"/>
      <c r="CW670" s="240"/>
    </row>
  </sheetData>
  <sheetProtection formatCells="0" formatColumns="0" formatRows="0" insertColumns="0" insertRows="0" insertHyperlinks="0" deleteColumns="0" deleteRows="0" sort="0" autoFilter="0" pivotTables="0"/>
  <autoFilter ref="A7:CW600" xr:uid="{00000000-0009-0000-0000-000000000000}">
    <sortState xmlns:xlrd2="http://schemas.microsoft.com/office/spreadsheetml/2017/richdata2" ref="A8:CW754">
      <sortCondition ref="E7:E600"/>
    </sortState>
  </autoFilter>
  <mergeCells count="87">
    <mergeCell ref="BU4:BX4"/>
    <mergeCell ref="M5:M6"/>
    <mergeCell ref="BY4:CH4"/>
    <mergeCell ref="CJ4:CM4"/>
    <mergeCell ref="CN4:CT4"/>
    <mergeCell ref="BM4:BP4"/>
    <mergeCell ref="BQ4:BT4"/>
    <mergeCell ref="S5:S6"/>
    <mergeCell ref="T5:T6"/>
    <mergeCell ref="U5:U6"/>
    <mergeCell ref="V5:V6"/>
    <mergeCell ref="W5:W6"/>
    <mergeCell ref="X5:X6"/>
    <mergeCell ref="AZ5:AZ6"/>
    <mergeCell ref="AC5:AC6"/>
    <mergeCell ref="AD5:AD6"/>
    <mergeCell ref="A5:A6"/>
    <mergeCell ref="B5:B6"/>
    <mergeCell ref="C5:C6"/>
    <mergeCell ref="D5:D6"/>
    <mergeCell ref="E5:E6"/>
    <mergeCell ref="F5:F6"/>
    <mergeCell ref="G5:G6"/>
    <mergeCell ref="G4:I4"/>
    <mergeCell ref="N4:X4"/>
    <mergeCell ref="BA4:BL4"/>
    <mergeCell ref="H5:H6"/>
    <mergeCell ref="I5:I6"/>
    <mergeCell ref="J5:J6"/>
    <mergeCell ref="K5:K6"/>
    <mergeCell ref="L5:L6"/>
    <mergeCell ref="Y5:Y6"/>
    <mergeCell ref="N5:N6"/>
    <mergeCell ref="O5:O6"/>
    <mergeCell ref="P5:P6"/>
    <mergeCell ref="Q5:Q6"/>
    <mergeCell ref="R5:R6"/>
    <mergeCell ref="AE5:AE6"/>
    <mergeCell ref="AF5:AF6"/>
    <mergeCell ref="AG5:AG6"/>
    <mergeCell ref="AH5:AH6"/>
    <mergeCell ref="AI5:AP5"/>
    <mergeCell ref="AQ5:AV5"/>
    <mergeCell ref="AW5:AW6"/>
    <mergeCell ref="AX5:AX6"/>
    <mergeCell ref="AY5:AY6"/>
    <mergeCell ref="BT5:BT6"/>
    <mergeCell ref="BA5:BC5"/>
    <mergeCell ref="BD5:BF5"/>
    <mergeCell ref="BG5:BI5"/>
    <mergeCell ref="BJ5:BL5"/>
    <mergeCell ref="BM5:BM6"/>
    <mergeCell ref="BN5:BN6"/>
    <mergeCell ref="BO5:BO6"/>
    <mergeCell ref="BP5:BP6"/>
    <mergeCell ref="BQ5:BQ6"/>
    <mergeCell ref="BR5:BR6"/>
    <mergeCell ref="BS5:BS6"/>
    <mergeCell ref="CF5:CF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R5:CR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S5:CS6"/>
    <mergeCell ref="CT5:CT6"/>
    <mergeCell ref="CU5:CU6"/>
    <mergeCell ref="CV5:CV6"/>
    <mergeCell ref="CW5:CW6"/>
  </mergeCells>
  <phoneticPr fontId="4" type="noConversion"/>
  <conditionalFormatting sqref="F8:F670">
    <cfRule type="cellIs" dxfId="15" priority="6" operator="equal">
      <formula>"SP"</formula>
    </cfRule>
    <cfRule type="cellIs" dxfId="14" priority="7" operator="equal">
      <formula>"S"</formula>
    </cfRule>
    <cfRule type="cellIs" dxfId="13" priority="8" operator="equal">
      <formula>"D"</formula>
    </cfRule>
  </conditionalFormatting>
  <conditionalFormatting sqref="Y8:Y670 AK8:AK670">
    <cfRule type="cellIs" dxfId="12" priority="9" operator="equal">
      <formula>"2과"</formula>
    </cfRule>
    <cfRule type="cellIs" dxfId="11" priority="10" operator="equal">
      <formula>"1과"</formula>
    </cfRule>
  </conditionalFormatting>
  <conditionalFormatting sqref="BA8:BB670 BM8:BN670 BU8:BV670 BY8:CC670 CJ8:CK670 CN8:CO670 CQ8:CR670 CU8:CV670">
    <cfRule type="expression" dxfId="10" priority="12">
      <formula>$G$4&gt;BA8</formula>
    </cfRule>
  </conditionalFormatting>
  <conditionalFormatting sqref="BQ8:BQ670 BS8:BS670">
    <cfRule type="expression" dxfId="9" priority="3">
      <formula>AND(BQ8&gt;#REF!,BQ8&lt;$G$4)</formula>
    </cfRule>
  </conditionalFormatting>
  <conditionalFormatting sqref="BU8:BV670 CU8:CV670 BA8:BB670 BM8:BN670 BY8:CC670 CJ8:CK670 CN8:CO670 CQ8:CR670">
    <cfRule type="expression" dxfId="8" priority="11">
      <formula>$G$4=BA8</formula>
    </cfRule>
  </conditionalFormatting>
  <conditionalFormatting sqref="BU8:BV670">
    <cfRule type="expression" dxfId="7" priority="4">
      <formula>$G$4=BU8</formula>
    </cfRule>
    <cfRule type="expression" dxfId="6" priority="5">
      <formula>AND(#REF!&lt;BU8, $G$4&gt;BU8)</formula>
    </cfRule>
  </conditionalFormatting>
  <conditionalFormatting sqref="CG8:CG670">
    <cfRule type="expression" dxfId="5" priority="13">
      <formula>AND($M8="PE",$CG8&lt;41)</formula>
    </cfRule>
    <cfRule type="expression" dxfId="4" priority="14">
      <formula>AND($M8="정반PE",$CG8&lt;31)</formula>
    </cfRule>
    <cfRule type="expression" dxfId="3" priority="15">
      <formula>AND($M8="선PE",$CG8&lt;31)</formula>
    </cfRule>
    <cfRule type="expression" dxfId="2" priority="16">
      <formula>AND($M8="단",$CG8&lt;21)</formula>
    </cfRule>
  </conditionalFormatting>
  <conditionalFormatting sqref="CU8:CU670">
    <cfRule type="expression" dxfId="1" priority="1">
      <formula>$G$4&gt;CU8</formula>
    </cfRule>
    <cfRule type="expression" dxfId="0" priority="2">
      <formula>$G$4=$CU8</formula>
    </cfRule>
  </conditionalFormatting>
  <printOptions horizontalCentered="1"/>
  <pageMargins left="0.25" right="0.25" top="0.75" bottom="0.75" header="0.3" footer="0.3"/>
  <pageSetup paperSize="9" scale="63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소조1과(9월)</vt:lpstr>
      <vt:lpstr>소조2과(9월)</vt:lpstr>
      <vt:lpstr>SCHEDULE</vt:lpstr>
      <vt:lpstr>SCHEDULE!Print_Area</vt:lpstr>
      <vt:lpstr>SCHEDULE!Print_Titles</vt:lpstr>
    </vt:vector>
  </TitlesOfParts>
  <Company>semo co.,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2026-08-07T04:39:17Z</cp:lastPrinted>
  <dcterms:created xsi:type="dcterms:W3CDTF">1988-01-12T13:59:05Z</dcterms:created>
  <dcterms:modified xsi:type="dcterms:W3CDTF">2026-09-14T06:34:20Z</dcterms:modified>
</cp:coreProperties>
</file>